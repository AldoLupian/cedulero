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(NCT)-TERM" sheetId="1" state="visible" r:id="rId1"/>
  </sheets>
  <definedNames>
    <definedName name="_xlnm.Print_Area" localSheetId="0">'(NCT)-TERM'!$A$1:$CL$81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h:mm:ss;@"/>
    <numFmt numFmtId="165" formatCode="dd/mm/yyyy;@"/>
    <numFmt numFmtId="166" formatCode="&quot;$&quot;#,##0.00"/>
    <numFmt numFmtId="167" formatCode="00\-00"/>
    <numFmt numFmtId="168" formatCode="#,##0_ ;\-#,##0\ ;;@"/>
    <numFmt numFmtId="169" formatCode="hh:mm:ss;@"/>
    <numFmt numFmtId="170" formatCode="dd\-mm\-yy;@"/>
    <numFmt numFmtId="171" formatCode="dd/mm/yy;@"/>
    <numFmt numFmtId="172" formatCode="d/mm/yy;@"/>
  </numFmts>
  <fonts count="37">
    <font>
      <name val="Calibri"/>
      <family val="2"/>
      <color theme="1"/>
      <sz val="11"/>
      <scheme val="minor"/>
    </font>
    <font>
      <name val="Arial"/>
      <family val="2"/>
      <b val="1"/>
      <i val="1"/>
      <sz val="8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2"/>
    </font>
    <font>
      <name val="Arial Narrow"/>
      <family val="2"/>
      <b val="1"/>
      <sz val="8"/>
    </font>
    <font>
      <name val="Arial"/>
      <family val="2"/>
      <sz val="8"/>
    </font>
    <font>
      <name val="Arial"/>
      <family val="2"/>
      <b val="1"/>
      <sz val="8"/>
    </font>
    <font>
      <name val="Arial Narrow"/>
      <family val="2"/>
      <b val="1"/>
      <sz val="10"/>
    </font>
    <font>
      <name val="Arial Narrow"/>
      <family val="2"/>
      <b val="1"/>
      <sz val="12"/>
    </font>
    <font>
      <name val="Arial Narrow"/>
      <family val="2"/>
      <b val="1"/>
      <sz val="9"/>
    </font>
    <font>
      <name val="Arial Narrow"/>
      <family val="2"/>
      <sz val="8"/>
    </font>
    <font>
      <name val="Arial Narrow"/>
      <family val="2"/>
      <b val="1"/>
      <sz val="6"/>
    </font>
    <font>
      <name val="Arial"/>
      <family val="2"/>
      <sz val="10"/>
    </font>
    <font>
      <name val="Arial Narrow"/>
      <family val="2"/>
      <sz val="7"/>
    </font>
    <font>
      <name val="Arial Narrow"/>
      <family val="2"/>
      <b val="1"/>
      <sz val="11"/>
    </font>
    <font>
      <name val="Arial Narrow"/>
      <family val="2"/>
      <sz val="12"/>
    </font>
    <font>
      <name val="Calibri"/>
      <family val="2"/>
      <sz val="11"/>
      <scheme val="minor"/>
    </font>
    <font>
      <name val="Arial Black"/>
      <family val="2"/>
      <b val="1"/>
      <sz val="10"/>
    </font>
    <font>
      <name val="Arial"/>
      <family val="2"/>
      <b val="1"/>
      <i val="1"/>
      <sz val="9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Cambria"/>
      <family val="1"/>
      <b val="1"/>
      <sz val="11"/>
      <scheme val="major"/>
    </font>
    <font>
      <name val="Cambria"/>
      <family val="1"/>
      <sz val="11"/>
      <scheme val="major"/>
    </font>
    <font>
      <name val="Cambria"/>
      <family val="1"/>
      <b val="1"/>
      <sz val="10"/>
      <scheme val="major"/>
    </font>
    <font>
      <name val="Cambria"/>
      <family val="1"/>
      <b val="1"/>
      <sz val="9"/>
      <scheme val="major"/>
    </font>
    <font>
      <name val="Cambria"/>
      <family val="1"/>
      <sz val="10"/>
      <scheme val="major"/>
    </font>
    <font>
      <name val="Arial Narrow"/>
      <family val="2"/>
      <sz val="10"/>
    </font>
    <font>
      <name val="Calibri"/>
      <family val="2"/>
      <b val="1"/>
      <sz val="10"/>
      <scheme val="minor"/>
    </font>
    <font>
      <name val="Arial Narrow"/>
      <family val="2"/>
      <sz val="9"/>
    </font>
    <font>
      <name val="Arial Narrow"/>
      <family val="2"/>
      <sz val="11"/>
    </font>
    <font>
      <name val="Cambria"/>
      <family val="1"/>
      <sz val="8"/>
      <scheme val="major"/>
    </font>
    <font>
      <name val="Cambria"/>
      <family val="1"/>
      <b val="1"/>
      <sz val="8"/>
      <scheme val="major"/>
    </font>
    <font>
      <name val="Arial"/>
      <family val="2"/>
      <sz val="11"/>
    </font>
    <font>
      <name val="Cambria"/>
      <family val="1"/>
      <b val="1"/>
      <color theme="1"/>
      <sz val="10"/>
      <scheme val="major"/>
    </font>
    <font>
      <name val="Cambria"/>
      <family val="1"/>
      <b val="1"/>
      <sz val="12"/>
      <scheme val="major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3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18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6" fillId="0" borderId="23" applyAlignment="1" pivotButton="0" quotePrefix="0" xfId="0">
      <alignment vertical="top" wrapText="1"/>
    </xf>
    <xf numFmtId="0" fontId="6" fillId="0" borderId="32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7" fillId="0" borderId="5" pivotButton="0" quotePrefix="0" xfId="0"/>
    <xf numFmtId="0" fontId="18" fillId="0" borderId="4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49" fontId="2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9" fillId="0" borderId="1" pivotButton="0" quotePrefix="0" xfId="0"/>
    <xf numFmtId="0" fontId="29" fillId="0" borderId="13" pivotButton="0" quotePrefix="0" xfId="0"/>
    <xf numFmtId="0" fontId="3" fillId="0" borderId="0" pivotButton="0" quotePrefix="0" xfId="0"/>
    <xf numFmtId="0" fontId="18" fillId="0" borderId="4" pivotButton="0" quotePrefix="0" xfId="0"/>
    <xf numFmtId="0" fontId="3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0" fontId="7" fillId="0" borderId="5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8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7" fillId="2" borderId="5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165" fontId="2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textRotation="90" wrapText="1"/>
    </xf>
    <xf numFmtId="0" fontId="30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3" fillId="0" borderId="12" applyAlignment="1" pivotButton="0" quotePrefix="0" xfId="0">
      <alignment vertical="center" wrapText="1"/>
    </xf>
    <xf numFmtId="0" fontId="12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12" fillId="2" borderId="5" applyAlignment="1" pivotButton="0" quotePrefix="0" xfId="0">
      <alignment vertical="center"/>
    </xf>
    <xf numFmtId="14" fontId="12" fillId="0" borderId="0" applyAlignment="1" pivotButton="0" quotePrefix="0" xfId="0">
      <alignment vertical="center"/>
    </xf>
    <xf numFmtId="165" fontId="16" fillId="0" borderId="0" applyAlignment="1" pivotButton="0" quotePrefix="0" xfId="0">
      <alignment vertical="center"/>
    </xf>
    <xf numFmtId="3" fontId="24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3" fontId="30" fillId="0" borderId="0" applyAlignment="1" pivotButton="0" quotePrefix="0" xfId="0">
      <alignment horizontal="right" vertical="center"/>
    </xf>
    <xf numFmtId="0" fontId="8" fillId="0" borderId="1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166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3" fontId="24" fillId="0" borderId="0" applyAlignment="1" pivotButton="0" quotePrefix="0" xfId="0">
      <alignment horizontal="right" vertical="center"/>
    </xf>
    <xf numFmtId="0" fontId="7" fillId="0" borderId="11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9" fillId="0" borderId="0" applyAlignment="1" pivotButton="0" quotePrefix="0" xfId="0">
      <alignment vertical="center" textRotation="90" wrapText="1"/>
    </xf>
    <xf numFmtId="0" fontId="16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6" fillId="0" borderId="0" applyAlignment="1" pivotButton="0" quotePrefix="0" xfId="0">
      <alignment vertical="top"/>
    </xf>
    <xf numFmtId="14" fontId="30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 wrapText="1"/>
    </xf>
    <xf numFmtId="165" fontId="26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 wrapText="1"/>
    </xf>
    <xf numFmtId="0" fontId="15" fillId="2" borderId="0" applyAlignment="1" pivotButton="0" quotePrefix="0" xfId="0">
      <alignment vertical="center" wrapText="1"/>
    </xf>
    <xf numFmtId="0" fontId="31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2" fillId="0" borderId="5" applyAlignment="1" pivotButton="0" quotePrefix="0" xfId="0">
      <alignment vertical="center"/>
    </xf>
    <xf numFmtId="0" fontId="30" fillId="0" borderId="22" applyAlignment="1" pivotButton="0" quotePrefix="0" xfId="0">
      <alignment horizontal="center" vertical="center"/>
    </xf>
    <xf numFmtId="0" fontId="30" fillId="0" borderId="29" applyAlignment="1" pivotButton="0" quotePrefix="0" xfId="0">
      <alignment horizontal="center" vertical="center"/>
    </xf>
    <xf numFmtId="0" fontId="30" fillId="0" borderId="31" applyAlignment="1" pivotButton="0" quotePrefix="0" xfId="0">
      <alignment horizontal="center" vertical="center"/>
    </xf>
    <xf numFmtId="0" fontId="12" fillId="0" borderId="37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12" fillId="0" borderId="15" applyAlignment="1" pivotButton="0" quotePrefix="0" xfId="0">
      <alignment vertical="center"/>
    </xf>
    <xf numFmtId="0" fontId="6" fillId="0" borderId="15" applyAlignment="1" pivotButton="0" quotePrefix="0" xfId="0">
      <alignment horizontal="center" vertical="center"/>
    </xf>
    <xf numFmtId="0" fontId="12" fillId="2" borderId="38" applyAlignment="1" pivotButton="0" quotePrefix="0" xfId="0">
      <alignment vertical="center"/>
    </xf>
    <xf numFmtId="0" fontId="3" fillId="2" borderId="15" applyAlignment="1" pivotButton="0" quotePrefix="0" xfId="0">
      <alignment vertical="center"/>
    </xf>
    <xf numFmtId="0" fontId="3" fillId="2" borderId="9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12" fillId="0" borderId="9" applyAlignment="1" pivotButton="0" quotePrefix="0" xfId="0">
      <alignment vertical="center"/>
    </xf>
    <xf numFmtId="0" fontId="6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8" fillId="0" borderId="15" applyAlignment="1" pivotButton="0" quotePrefix="0" xfId="0">
      <alignment horizontal="center" vertical="center"/>
    </xf>
    <xf numFmtId="0" fontId="7" fillId="0" borderId="15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0" fontId="3" fillId="0" borderId="14" pivotButton="0" quotePrefix="0" xfId="0"/>
    <xf numFmtId="0" fontId="3" fillId="0" borderId="15" pivotButton="0" quotePrefix="0" xfId="0"/>
    <xf numFmtId="0" fontId="7" fillId="0" borderId="12" applyAlignment="1" pivotButton="0" quotePrefix="0" xfId="0">
      <alignment vertical="center"/>
    </xf>
    <xf numFmtId="0" fontId="12" fillId="2" borderId="39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19" pivotButton="0" quotePrefix="0" xfId="0"/>
    <xf numFmtId="0" fontId="7" fillId="0" borderId="1" pivotButton="0" quotePrefix="0" xfId="0"/>
    <xf numFmtId="0" fontId="7" fillId="0" borderId="21" pivotButton="0" quotePrefix="0" xfId="0"/>
    <xf numFmtId="0" fontId="7" fillId="2" borderId="1" pivotButton="0" quotePrefix="0" xfId="0"/>
    <xf numFmtId="0" fontId="7" fillId="0" borderId="20" pivotButton="0" quotePrefix="0" xfId="0"/>
    <xf numFmtId="0" fontId="7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2" fillId="0" borderId="15" pivotButton="0" quotePrefix="0" xfId="0"/>
    <xf numFmtId="0" fontId="7" fillId="0" borderId="15" pivotButton="0" quotePrefix="0" xfId="0"/>
    <xf numFmtId="0" fontId="4" fillId="4" borderId="0" pivotButton="0" quotePrefix="0" xfId="0"/>
    <xf numFmtId="0" fontId="7" fillId="4" borderId="0" pivotButton="0" quotePrefix="0" xfId="0"/>
    <xf numFmtId="0" fontId="4" fillId="0" borderId="0" pivotButton="0" quotePrefix="0" xfId="0"/>
    <xf numFmtId="0" fontId="8" fillId="4" borderId="0" pivotButton="0" quotePrefix="0" xfId="0"/>
    <xf numFmtId="0" fontId="7" fillId="4" borderId="0" applyAlignment="1" pivotButton="0" quotePrefix="0" xfId="0">
      <alignment vertical="center"/>
    </xf>
    <xf numFmtId="0" fontId="22" fillId="4" borderId="0" applyAlignment="1" pivotButton="0" quotePrefix="0" xfId="0">
      <alignment vertical="center"/>
    </xf>
    <xf numFmtId="0" fontId="0" fillId="4" borderId="0" pivotButton="0" quotePrefix="0" xfId="0"/>
    <xf numFmtId="0" fontId="21" fillId="4" borderId="0" pivotButton="0" quotePrefix="0" xfId="0"/>
    <xf numFmtId="0" fontId="18" fillId="4" borderId="0" pivotButton="0" quotePrefix="0" xfId="0"/>
    <xf numFmtId="0" fontId="7" fillId="4" borderId="0" applyAlignment="1" pivotButton="0" quotePrefix="0" xfId="0">
      <alignment horizontal="center"/>
    </xf>
    <xf numFmtId="167" fontId="17" fillId="0" borderId="17" applyAlignment="1" applyProtection="1" pivotButton="0" quotePrefix="0" xfId="0">
      <alignment vertical="center" wrapText="1"/>
      <protection locked="0" hidden="0"/>
    </xf>
    <xf numFmtId="0" fontId="17" fillId="3" borderId="18" applyAlignment="1" applyProtection="1" pivotButton="0" quotePrefix="0" xfId="0">
      <alignment horizontal="center" vertical="center" wrapText="1"/>
      <protection locked="0" hidden="0"/>
    </xf>
    <xf numFmtId="167" fontId="17" fillId="0" borderId="18" applyAlignment="1" applyProtection="1" pivotButton="0" quotePrefix="0" xfId="0">
      <alignment vertical="center" wrapText="1"/>
      <protection locked="0" hidden="0"/>
    </xf>
    <xf numFmtId="1" fontId="17" fillId="0" borderId="17" applyAlignment="1" applyProtection="1" pivotButton="0" quotePrefix="0" xfId="0">
      <alignment horizontal="center" vertical="center" wrapText="1"/>
      <protection locked="0" hidden="0"/>
    </xf>
    <xf numFmtId="167" fontId="17" fillId="0" borderId="17" applyAlignment="1" applyProtection="1" pivotButton="0" quotePrefix="0" xfId="0">
      <alignment horizontal="center" vertical="center" wrapText="1"/>
      <protection locked="0" hidden="0"/>
    </xf>
    <xf numFmtId="165" fontId="23" fillId="0" borderId="0" applyAlignment="1" pivotButton="0" quotePrefix="0" xfId="0">
      <alignment vertical="center"/>
    </xf>
    <xf numFmtId="0" fontId="17" fillId="3" borderId="17" applyAlignment="1" applyProtection="1" pivotButton="0" quotePrefix="0" xfId="0">
      <alignment horizontal="center" vertical="center" wrapText="1"/>
      <protection locked="0" hidden="0"/>
    </xf>
    <xf numFmtId="0" fontId="11" fillId="2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30" pivotButton="0" quotePrefix="0" xfId="0"/>
    <xf numFmtId="49" fontId="17" fillId="0" borderId="17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14" fontId="23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8" fontId="17" fillId="0" borderId="17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3" fontId="17" fillId="0" borderId="17" applyAlignment="1" applyProtection="1" pivotButton="0" quotePrefix="0" xfId="0">
      <alignment vertical="center" wrapText="1"/>
      <protection locked="0" hidden="0"/>
    </xf>
    <xf numFmtId="0" fontId="9" fillId="3" borderId="17" applyAlignment="1" applyProtection="1" pivotButton="0" quotePrefix="0" xfId="0">
      <alignment horizontal="center" vertical="center"/>
      <protection locked="0" hidden="0"/>
    </xf>
    <xf numFmtId="168" fontId="10" fillId="0" borderId="24" applyAlignment="1" pivotButton="0" quotePrefix="0" xfId="0">
      <alignment vertical="center"/>
    </xf>
    <xf numFmtId="0" fontId="0" fillId="0" borderId="16" pivotButton="0" quotePrefix="0" xfId="0"/>
    <xf numFmtId="0" fontId="17" fillId="3" borderId="17" applyAlignment="1" applyProtection="1" pivotButton="0" quotePrefix="0" xfId="0">
      <alignment horizontal="center" vertical="center"/>
      <protection locked="0" hidden="0"/>
    </xf>
    <xf numFmtId="1" fontId="17" fillId="0" borderId="17" applyAlignment="1" applyProtection="1" pivotButton="0" quotePrefix="0" xfId="0">
      <alignment horizontal="center" vertical="center" wrapText="1"/>
      <protection locked="0" hidden="0"/>
    </xf>
    <xf numFmtId="3" fontId="17" fillId="0" borderId="27" applyAlignment="1" applyProtection="1" pivotButton="0" quotePrefix="0" xfId="0">
      <alignment vertical="center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23" fillId="0" borderId="17" applyAlignment="1" applyProtection="1" pivotButton="0" quotePrefix="0" xfId="0">
      <alignment horizontal="center" vertical="center"/>
      <protection locked="0" hidden="0"/>
    </xf>
    <xf numFmtId="0" fontId="17" fillId="3" borderId="17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 wrapText="1"/>
    </xf>
    <xf numFmtId="0" fontId="0" fillId="0" borderId="29" pivotButton="0" quotePrefix="0" xfId="0"/>
    <xf numFmtId="0" fontId="11" fillId="3" borderId="17" applyAlignment="1" applyProtection="1" pivotButton="0" quotePrefix="0" xfId="0">
      <alignment horizontal="left" vertical="center"/>
      <protection locked="0" hidden="0"/>
    </xf>
    <xf numFmtId="169" fontId="23" fillId="0" borderId="17" applyAlignment="1" applyProtection="1" pivotButton="0" quotePrefix="0" xfId="0">
      <alignment horizontal="center" vertical="center"/>
      <protection locked="0" hidden="0"/>
    </xf>
    <xf numFmtId="0" fontId="17" fillId="3" borderId="17" applyAlignment="1" applyProtection="1" pivotButton="0" quotePrefix="0" xfId="0">
      <alignment horizontal="left" vertical="center"/>
      <protection locked="0" hidden="0"/>
    </xf>
    <xf numFmtId="3" fontId="10" fillId="0" borderId="17" applyAlignment="1" pivotButton="0" quotePrefix="0" xfId="0">
      <alignment vertical="center" wrapText="1"/>
    </xf>
    <xf numFmtId="170" fontId="17" fillId="0" borderId="17" applyAlignment="1" applyProtection="1" pivotButton="0" quotePrefix="0" xfId="0">
      <alignment horizontal="center" vertical="center" wrapText="1"/>
      <protection locked="0" hidden="0"/>
    </xf>
    <xf numFmtId="0" fontId="6" fillId="0" borderId="42" applyAlignment="1" pivotButton="0" quotePrefix="0" xfId="0">
      <alignment horizontal="center" vertical="top" wrapText="1"/>
    </xf>
    <xf numFmtId="0" fontId="0" fillId="0" borderId="36" pivotButton="0" quotePrefix="0" xfId="0"/>
    <xf numFmtId="0" fontId="0" fillId="0" borderId="41" pivotButton="0" quotePrefix="0" xfId="0"/>
    <xf numFmtId="0" fontId="6" fillId="2" borderId="17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5" pivotButton="0" quotePrefix="0" xfId="0"/>
    <xf numFmtId="168" fontId="17" fillId="0" borderId="17" applyAlignment="1" pivotButton="0" quotePrefix="0" xfId="0">
      <alignment vertical="center"/>
    </xf>
    <xf numFmtId="165" fontId="23" fillId="0" borderId="17" applyAlignment="1" applyProtection="1" pivotButton="0" quotePrefix="0" xfId="0">
      <alignment horizontal="center" vertical="center"/>
      <protection locked="0" hidden="0"/>
    </xf>
    <xf numFmtId="0" fontId="17" fillId="3" borderId="17" applyAlignment="1" applyProtection="1" pivotButton="0" quotePrefix="0" xfId="0">
      <alignment horizontal="center" vertical="center" wrapText="1"/>
      <protection locked="0" hidden="0"/>
    </xf>
    <xf numFmtId="0" fontId="6" fillId="0" borderId="17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9" fillId="0" borderId="17" applyAlignment="1" pivotButton="0" quotePrefix="0" xfId="0">
      <alignment horizontal="left" vertical="center"/>
    </xf>
    <xf numFmtId="0" fontId="11" fillId="3" borderId="17" applyAlignment="1" applyProtection="1" pivotButton="0" quotePrefix="0" xfId="0">
      <alignment horizontal="center" vertical="center"/>
      <protection locked="0" hidden="0"/>
    </xf>
    <xf numFmtId="0" fontId="12" fillId="0" borderId="45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0" fillId="0" borderId="4" pivotButton="0" quotePrefix="0" xfId="0"/>
    <xf numFmtId="0" fontId="7" fillId="0" borderId="0" applyAlignment="1" pivotButton="0" quotePrefix="0" xfId="0">
      <alignment vertical="center"/>
    </xf>
    <xf numFmtId="0" fontId="7" fillId="0" borderId="0" pivotButton="0" quotePrefix="0" xfId="0"/>
    <xf numFmtId="0" fontId="0" fillId="0" borderId="19" pivotButton="0" quotePrefix="0" xfId="0"/>
    <xf numFmtId="0" fontId="0" fillId="0" borderId="1" pivotButton="0" quotePrefix="0" xfId="0"/>
    <xf numFmtId="0" fontId="0" fillId="0" borderId="13" pivotButton="0" quotePrefix="0" xfId="0"/>
    <xf numFmtId="1" fontId="28" fillId="3" borderId="17" applyAlignment="1" applyProtection="1" pivotButton="0" quotePrefix="0" xfId="0">
      <alignment horizontal="left" vertical="center"/>
      <protection locked="0" hidden="0"/>
    </xf>
    <xf numFmtId="0" fontId="23" fillId="3" borderId="17" applyAlignment="1" applyProtection="1" pivotButton="0" quotePrefix="0" xfId="0">
      <alignment horizontal="left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171" fontId="23" fillId="0" borderId="17" applyAlignment="1" applyProtection="1" pivotButton="0" quotePrefix="0" xfId="0">
      <alignment horizontal="center" vertical="center"/>
      <protection locked="0" hidden="0"/>
    </xf>
    <xf numFmtId="0" fontId="25" fillId="3" borderId="17" applyAlignment="1" applyProtection="1" pivotButton="0" quotePrefix="0" xfId="0">
      <alignment horizontal="center" vertical="center"/>
      <protection locked="0" hidden="0"/>
    </xf>
    <xf numFmtId="168" fontId="17" fillId="0" borderId="27" applyAlignment="1" pivotButton="0" quotePrefix="0" xfId="0">
      <alignment vertical="center" wrapText="1"/>
    </xf>
    <xf numFmtId="0" fontId="0" fillId="0" borderId="25" pivotButton="0" quotePrefix="0" xfId="0"/>
    <xf numFmtId="0" fontId="0" fillId="0" borderId="26" pivotButton="0" quotePrefix="0" xfId="0"/>
    <xf numFmtId="0" fontId="25" fillId="0" borderId="17" applyAlignment="1" applyProtection="1" pivotButton="0" quotePrefix="0" xfId="0">
      <alignment horizontal="center" vertical="center"/>
      <protection locked="0" hidden="0"/>
    </xf>
    <xf numFmtId="0" fontId="17" fillId="3" borderId="18" applyAlignment="1" pivotButton="0" quotePrefix="0" xfId="0">
      <alignment horizontal="center" vertical="center"/>
    </xf>
    <xf numFmtId="3" fontId="10" fillId="0" borderId="34" applyAlignment="1" pivotButton="0" quotePrefix="0" xfId="0">
      <alignment vertical="center" wrapText="1"/>
    </xf>
    <xf numFmtId="0" fontId="0" fillId="0" borderId="21" pivotButton="0" quotePrefix="0" xfId="0"/>
    <xf numFmtId="0" fontId="23" fillId="3" borderId="17" applyAlignment="1" applyProtection="1" pivotButton="0" quotePrefix="0" xfId="0">
      <alignment vertical="center"/>
      <protection locked="0" hidden="0"/>
    </xf>
    <xf numFmtId="3" fontId="10" fillId="0" borderId="40" applyAlignment="1" pivotButton="0" quotePrefix="0" xfId="0">
      <alignment vertical="center" wrapText="1"/>
    </xf>
    <xf numFmtId="1" fontId="28" fillId="3" borderId="18" applyAlignment="1" applyProtection="1" pivotButton="0" quotePrefix="0" xfId="0">
      <alignment horizontal="center" vertical="center"/>
      <protection locked="0" hidden="0"/>
    </xf>
    <xf numFmtId="3" fontId="25" fillId="0" borderId="17" applyAlignment="1" applyProtection="1" pivotButton="0" quotePrefix="0" xfId="0">
      <alignment horizontal="center" vertical="center"/>
      <protection locked="0" hidden="0"/>
    </xf>
    <xf numFmtId="0" fontId="23" fillId="0" borderId="17" applyAlignment="1" pivotButton="0" quotePrefix="0" xfId="0">
      <alignment horizontal="center" vertical="center"/>
    </xf>
    <xf numFmtId="3" fontId="10" fillId="0" borderId="27" applyAlignment="1" pivotButton="0" quotePrefix="0" xfId="0">
      <alignment vertical="center" wrapText="1"/>
    </xf>
    <xf numFmtId="168" fontId="17" fillId="0" borderId="27" applyAlignment="1" pivotButton="0" quotePrefix="0" xfId="0">
      <alignment vertical="center"/>
    </xf>
    <xf numFmtId="0" fontId="17" fillId="3" borderId="18" applyAlignment="1" applyProtection="1" pivotButton="0" quotePrefix="0" xfId="0">
      <alignment horizontal="center" vertical="center"/>
      <protection locked="0" hidden="0"/>
    </xf>
    <xf numFmtId="3" fontId="23" fillId="0" borderId="17" applyAlignment="1" applyProtection="1" pivotButton="0" quotePrefix="0" xfId="0">
      <alignment horizontal="center" vertical="center"/>
      <protection locked="0" hidden="0"/>
    </xf>
    <xf numFmtId="0" fontId="17" fillId="0" borderId="17" applyAlignment="1" pivotButton="0" quotePrefix="0" xfId="0">
      <alignment horizontal="center" vertical="center"/>
    </xf>
    <xf numFmtId="0" fontId="17" fillId="3" borderId="18" applyAlignment="1" applyProtection="1" pivotButton="0" quotePrefix="0" xfId="0">
      <alignment horizontal="left" vertical="center"/>
      <protection locked="0" hidden="0"/>
    </xf>
    <xf numFmtId="170" fontId="17" fillId="0" borderId="18" applyAlignment="1" applyProtection="1" pivotButton="0" quotePrefix="0" xfId="0">
      <alignment horizontal="center" vertical="center" wrapText="1"/>
      <protection locked="0" hidden="0"/>
    </xf>
    <xf numFmtId="0" fontId="3" fillId="2" borderId="0" applyAlignment="1" pivotButton="0" quotePrefix="0" xfId="0">
      <alignment horizontal="center" vertical="center"/>
    </xf>
    <xf numFmtId="165" fontId="25" fillId="0" borderId="17" applyAlignment="1" applyProtection="1" pivotButton="0" quotePrefix="0" xfId="0">
      <alignment horizontal="center" vertical="center"/>
      <protection locked="0" hidden="0"/>
    </xf>
    <xf numFmtId="0" fontId="3" fillId="2" borderId="17" applyAlignment="1" pivotButton="0" quotePrefix="0" xfId="0">
      <alignment horizontal="center" vertical="center" textRotation="90" wrapText="1"/>
    </xf>
    <xf numFmtId="0" fontId="0" fillId="0" borderId="11" pivotButton="0" quotePrefix="0" xfId="0"/>
    <xf numFmtId="0" fontId="0" fillId="0" borderId="12" pivotButton="0" quotePrefix="0" xfId="0"/>
    <xf numFmtId="0" fontId="6" fillId="2" borderId="24" applyAlignment="1" pivotButton="0" quotePrefix="0" xfId="0">
      <alignment horizontal="center" vertical="center" wrapText="1"/>
    </xf>
    <xf numFmtId="0" fontId="11" fillId="0" borderId="17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4" fontId="23" fillId="0" borderId="17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horizontal="center" vertical="center"/>
    </xf>
    <xf numFmtId="1" fontId="17" fillId="0" borderId="18" applyAlignment="1" applyProtection="1" pivotButton="0" quotePrefix="0" xfId="0">
      <alignment horizontal="center" vertical="center" wrapText="1"/>
      <protection locked="0" hidden="0"/>
    </xf>
    <xf numFmtId="0" fontId="17" fillId="0" borderId="27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5" fillId="3" borderId="17" applyAlignment="1" applyProtection="1" pivotButton="0" quotePrefix="0" xfId="0">
      <alignment horizontal="left" vertical="center"/>
      <protection locked="0" hidden="0"/>
    </xf>
    <xf numFmtId="49" fontId="10" fillId="0" borderId="17" applyAlignment="1" applyProtection="1" pivotButton="0" quotePrefix="0" xfId="0">
      <alignment horizontal="center" vertical="center" wrapText="1"/>
      <protection locked="0" hidden="0"/>
    </xf>
    <xf numFmtId="0" fontId="25" fillId="0" borderId="17" applyAlignment="1" applyProtection="1" pivotButton="0" quotePrefix="0" xfId="0">
      <alignment horizontal="center"/>
      <protection locked="0" hidden="0"/>
    </xf>
    <xf numFmtId="0" fontId="9" fillId="0" borderId="0" applyAlignment="1" pivotButton="0" quotePrefix="0" xfId="0">
      <alignment horizontal="center" vertical="center" wrapText="1"/>
    </xf>
    <xf numFmtId="49" fontId="10" fillId="0" borderId="17" applyAlignment="1" applyProtection="1" pivotButton="0" quotePrefix="0" xfId="0">
      <alignment horizontal="center" vertical="center"/>
      <protection locked="0" hidden="0"/>
    </xf>
    <xf numFmtId="0" fontId="17" fillId="3" borderId="18" applyAlignment="1" applyProtection="1" pivotButton="0" quotePrefix="0" xfId="0">
      <alignment horizontal="center" vertical="center" wrapText="1"/>
      <protection locked="0" hidden="0"/>
    </xf>
    <xf numFmtId="0" fontId="11" fillId="2" borderId="17" applyAlignment="1" pivotButton="0" quotePrefix="0" xfId="0">
      <alignment horizontal="center" vertical="center"/>
    </xf>
    <xf numFmtId="172" fontId="23" fillId="0" borderId="17" applyAlignment="1" applyProtection="1" pivotButton="0" quotePrefix="0" xfId="0">
      <alignment horizontal="center" vertical="center"/>
      <protection locked="0" hidden="0"/>
    </xf>
    <xf numFmtId="3" fontId="10" fillId="0" borderId="43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168" fontId="10" fillId="0" borderId="33" applyAlignment="1" pivotButton="0" quotePrefix="0" xfId="0">
      <alignment vertical="center"/>
    </xf>
    <xf numFmtId="0" fontId="0" fillId="0" borderId="28" pivotButton="0" quotePrefix="0" xfId="0"/>
    <xf numFmtId="0" fontId="35" fillId="3" borderId="1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0" fillId="0" borderId="3" pivotButton="0" quotePrefix="0" xfId="0"/>
    <xf numFmtId="3" fontId="10" fillId="0" borderId="34" applyAlignment="1" pivotButton="0" quotePrefix="0" xfId="0">
      <alignment vertical="center"/>
    </xf>
    <xf numFmtId="0" fontId="3" fillId="2" borderId="6" applyAlignment="1" pivotButton="0" quotePrefix="0" xfId="0">
      <alignment horizontal="center" vertical="center"/>
    </xf>
    <xf numFmtId="3" fontId="16" fillId="0" borderId="17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 wrapText="1"/>
    </xf>
    <xf numFmtId="0" fontId="10" fillId="0" borderId="35" applyAlignment="1" pivotButton="0" quotePrefix="0" xfId="0">
      <alignment horizontal="right" vertical="center"/>
    </xf>
    <xf numFmtId="0" fontId="0" fillId="0" borderId="23" pivotButton="0" quotePrefix="0" xfId="0"/>
    <xf numFmtId="14" fontId="25" fillId="0" borderId="17" applyAlignment="1" applyProtection="1" pivotButton="0" quotePrefix="0" xfId="0">
      <alignment horizontal="center" vertical="center"/>
      <protection locked="0" hidden="0"/>
    </xf>
    <xf numFmtId="0" fontId="0" fillId="0" borderId="44" pivotButton="0" quotePrefix="0" xfId="0"/>
    <xf numFmtId="0" fontId="9" fillId="2" borderId="24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center"/>
    </xf>
    <xf numFmtId="14" fontId="23" fillId="0" borderId="17" applyAlignment="1" pivotButton="0" quotePrefix="0" xfId="0">
      <alignment horizontal="center" vertical="center"/>
    </xf>
    <xf numFmtId="0" fontId="23" fillId="0" borderId="17" applyAlignment="1" applyProtection="1" pivotButton="0" quotePrefix="0" xfId="0">
      <alignment horizontal="center" wrapText="1"/>
      <protection locked="0" hidden="0"/>
    </xf>
    <xf numFmtId="0" fontId="36" fillId="0" borderId="17" applyAlignment="1" applyProtection="1" pivotButton="0" quotePrefix="0" xfId="0">
      <alignment horizontal="left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98612</colOff>
      <row>0</row>
      <rowOff>57148</rowOff>
    </from>
    <to>
      <col>13</col>
      <colOff>146851</colOff>
      <row>5</row>
      <rowOff>71716</rowOff>
    </to>
    <pic>
      <nvPicPr>
        <cNvPr id="3" name="Imagen 2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259" y="57148"/>
          <a:ext cx="2308905" cy="5972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I2107"/>
  <sheetViews>
    <sheetView showGridLines="0" tabSelected="1" topLeftCell="D1" zoomScale="85" zoomScaleNormal="85" workbookViewId="0">
      <selection activeCell="D39" sqref="D39:J39"/>
    </sheetView>
  </sheetViews>
  <sheetFormatPr baseColWidth="10" defaultRowHeight="15"/>
  <cols>
    <col width="1.28515625" customWidth="1" style="199" min="1" max="1"/>
    <col width="3" customWidth="1" style="199" min="2" max="2"/>
    <col width="3.7109375" customWidth="1" style="199" min="3" max="3"/>
    <col width="2.7109375" customWidth="1" style="199" min="4" max="11"/>
    <col width="2" customWidth="1" style="199" min="12" max="12"/>
    <col width="3.28515625" customWidth="1" style="199" min="13" max="14"/>
    <col width="2.7109375" customWidth="1" style="199" min="15" max="16"/>
    <col width="1.42578125" customWidth="1" style="199" min="17" max="17"/>
    <col width="2.7109375" customWidth="1" style="199" min="18" max="19"/>
    <col width="1.42578125" customWidth="1" style="199" min="20" max="21"/>
    <col width="2.7109375" customWidth="1" style="199" min="22" max="27"/>
    <col width="1.5703125" customWidth="1" style="199" min="28" max="28"/>
    <col width="2.7109375" customWidth="1" style="199" min="29" max="32"/>
    <col width="18.7109375" customWidth="1" style="199" min="33" max="33"/>
    <col width="3.140625" customWidth="1" style="199" min="34" max="34"/>
    <col width="2.7109375" customWidth="1" style="199" min="35" max="35"/>
    <col width="3" customWidth="1" style="199" min="36" max="38"/>
    <col width="2.7109375" customWidth="1" style="199" min="39" max="40"/>
    <col width="2.42578125" customWidth="1" style="199" min="41" max="41"/>
    <col width="3.42578125" customWidth="1" style="199" min="42" max="42"/>
    <col width="2.7109375" customWidth="1" style="199" min="43" max="52"/>
    <col width="4" customWidth="1" style="199" min="53" max="53"/>
    <col width="2.7109375" customWidth="1" style="199" min="54" max="60"/>
    <col width="3" customWidth="1" style="199" min="61" max="61"/>
    <col width="4.28515625" customWidth="1" style="199" min="62" max="62"/>
    <col width="2.7109375" customWidth="1" style="199" min="63" max="63"/>
    <col width="3.42578125" customWidth="1" style="199" min="64" max="64"/>
    <col width="3.28515625" customWidth="1" style="199" min="65" max="65"/>
    <col width="3.7109375" customWidth="1" style="199" min="66" max="66"/>
    <col width="2.7109375" customWidth="1" style="199" min="67" max="68"/>
    <col width="3" customWidth="1" style="199" min="69" max="69"/>
    <col width="2.7109375" customWidth="1" style="199" min="70" max="73"/>
    <col width="3.28515625" customWidth="1" style="199" min="74" max="74"/>
    <col width="2.7109375" customWidth="1" style="199" min="75" max="77"/>
    <col width="3.42578125" customWidth="1" style="199" min="78" max="78"/>
    <col width="3.5703125" customWidth="1" style="199" min="79" max="80"/>
    <col width="3.42578125" customWidth="1" style="199" min="81" max="81"/>
    <col width="3.5703125" customWidth="1" style="199" min="82" max="86"/>
    <col width="2.7109375" customWidth="1" style="199" min="87" max="87"/>
    <col width="1.28515625" customWidth="1" style="199" min="88" max="88"/>
    <col width="2.7109375" customWidth="1" style="199" min="89" max="89"/>
    <col width="2.5703125" customWidth="1" style="199" min="90" max="90"/>
    <col width="1.140625" customWidth="1" style="199" min="91" max="91"/>
    <col width="2.7109375" customWidth="1" style="199" min="92" max="97"/>
    <col width="1.7109375" customWidth="1" style="199" min="98" max="98"/>
    <col width="5.28515625" customWidth="1" style="199" min="99" max="99"/>
    <col width="37.85546875" customWidth="1" style="199" min="100" max="100"/>
    <col width="1.7109375" customWidth="1" style="199" min="101" max="103"/>
    <col width="35.85546875" customWidth="1" style="199" min="104" max="104"/>
    <col width="1.7109375" customWidth="1" style="199" min="105" max="223"/>
  </cols>
  <sheetData>
    <row r="1" ht="13.5" customHeight="1" s="199" thickBot="1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8" t="n"/>
      <c r="CB1" s="8" t="n"/>
      <c r="CC1" s="8" t="n"/>
      <c r="CD1" s="8" t="n"/>
      <c r="CE1" s="270" t="inlineStr">
        <is>
          <t>FORMATO 04</t>
        </is>
      </c>
      <c r="CK1" s="270" t="n"/>
      <c r="CL1" s="8" t="n"/>
      <c r="CM1" s="8" t="n"/>
      <c r="CN1" s="8" t="n"/>
      <c r="CO1" s="8" t="n"/>
      <c r="CP1" s="8" t="n"/>
      <c r="CQ1" s="8" t="n"/>
      <c r="CR1" s="8" t="n"/>
      <c r="CS1" s="8" t="n"/>
      <c r="CT1" s="8" t="n"/>
      <c r="CU1" s="8" t="n"/>
      <c r="CV1" s="8" t="n"/>
      <c r="CW1" s="8" t="n"/>
      <c r="CX1" s="8" t="n"/>
      <c r="CY1" s="8" t="n"/>
      <c r="CZ1" s="8" t="n"/>
      <c r="DA1" s="8" t="n"/>
      <c r="DB1" s="8" t="n"/>
      <c r="DC1" s="8" t="n"/>
    </row>
    <row r="2" ht="15" customHeight="1" s="199" thickBo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10" t="n"/>
      <c r="O2" s="10" t="n"/>
      <c r="P2" s="274" t="inlineStr">
        <is>
          <t>C E D U L A   D E   T E R M I N A C I O N</t>
        </is>
      </c>
      <c r="Q2" s="275" t="n"/>
      <c r="R2" s="275" t="n"/>
      <c r="S2" s="275" t="n"/>
      <c r="T2" s="275" t="n"/>
      <c r="U2" s="275" t="n"/>
      <c r="V2" s="275" t="n"/>
      <c r="W2" s="275" t="n"/>
      <c r="X2" s="275" t="n"/>
      <c r="Y2" s="275" t="n"/>
      <c r="Z2" s="275" t="n"/>
      <c r="AA2" s="275" t="n"/>
      <c r="AB2" s="275" t="n"/>
      <c r="AC2" s="275" t="n"/>
      <c r="AD2" s="275" t="n"/>
      <c r="AE2" s="275" t="n"/>
      <c r="AF2" s="275" t="n"/>
      <c r="AG2" s="275" t="n"/>
      <c r="AH2" s="275" t="n"/>
      <c r="AI2" s="275" t="n"/>
      <c r="AJ2" s="275" t="n"/>
      <c r="AK2" s="275" t="n"/>
      <c r="AL2" s="275" t="n"/>
      <c r="AM2" s="275" t="n"/>
      <c r="AN2" s="275" t="n"/>
      <c r="AO2" s="275" t="n"/>
      <c r="AP2" s="275" t="n"/>
      <c r="AQ2" s="275" t="n"/>
      <c r="AR2" s="275" t="n"/>
      <c r="AS2" s="275" t="n"/>
      <c r="AT2" s="275" t="n"/>
      <c r="AU2" s="275" t="n"/>
      <c r="AV2" s="275" t="n"/>
      <c r="AW2" s="275" t="n"/>
      <c r="AX2" s="275" t="n"/>
      <c r="AY2" s="275" t="n"/>
      <c r="AZ2" s="275" t="n"/>
      <c r="BA2" s="275" t="n"/>
      <c r="BB2" s="275" t="n"/>
      <c r="BC2" s="275" t="n"/>
      <c r="BD2" s="275" t="n"/>
      <c r="BE2" s="275" t="n"/>
      <c r="BF2" s="275" t="n"/>
      <c r="BG2" s="275" t="n"/>
      <c r="BH2" s="275" t="n"/>
      <c r="BI2" s="275" t="n"/>
      <c r="BJ2" s="275" t="n"/>
      <c r="BK2" s="275" t="n"/>
      <c r="BL2" s="275" t="n"/>
      <c r="BM2" s="11" t="n"/>
      <c r="BN2" s="194" t="inlineStr">
        <is>
          <t>OBSERVACION ADICIONAL</t>
        </is>
      </c>
      <c r="BO2" s="195" t="n"/>
      <c r="BP2" s="195" t="n"/>
      <c r="BQ2" s="195" t="n"/>
      <c r="BR2" s="195" t="n"/>
      <c r="BS2" s="195" t="n"/>
      <c r="BT2" s="195" t="n"/>
      <c r="BU2" s="195" t="n"/>
      <c r="BV2" s="195" t="n"/>
      <c r="BW2" s="195" t="n"/>
      <c r="BX2" s="195" t="n"/>
      <c r="BY2" s="195" t="n"/>
      <c r="BZ2" s="195" t="n"/>
      <c r="CA2" s="195" t="n"/>
      <c r="CB2" s="195" t="n"/>
      <c r="CC2" s="195" t="n"/>
      <c r="CD2" s="195" t="n"/>
      <c r="CE2" s="195" t="n"/>
      <c r="CF2" s="195" t="n"/>
      <c r="CG2" s="195" t="n"/>
      <c r="CH2" s="195" t="n"/>
      <c r="CI2" s="195" t="n"/>
      <c r="CJ2" s="195" t="n"/>
      <c r="CK2" s="196" t="n"/>
      <c r="CL2" s="12" t="n"/>
      <c r="CM2" s="8" t="n"/>
      <c r="CN2" s="8" t="n"/>
      <c r="CO2" s="8" t="n"/>
      <c r="CP2" s="8" t="n"/>
      <c r="CQ2" s="8" t="n"/>
      <c r="CR2" s="8" t="n"/>
      <c r="CS2" s="8" t="n"/>
      <c r="CT2" s="8" t="n"/>
      <c r="CU2" s="8" t="n"/>
      <c r="CV2" s="8" t="n"/>
      <c r="CW2" s="8" t="n"/>
      <c r="CX2" s="8" t="n"/>
      <c r="CY2" s="8" t="n"/>
      <c r="CZ2" s="8" t="n"/>
      <c r="DA2" s="8" t="n"/>
      <c r="DB2" s="8" t="n"/>
      <c r="DC2" s="8" t="n"/>
    </row>
    <row r="3" ht="3" customHeight="1" s="199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13" t="n"/>
      <c r="O3" s="13" t="n"/>
      <c r="P3" s="14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8" t="n"/>
      <c r="BH3" s="8" t="n"/>
      <c r="BI3" s="8" t="n"/>
      <c r="BJ3" s="8" t="n"/>
      <c r="BK3" s="8" t="n"/>
      <c r="BL3" s="8" t="n"/>
      <c r="BM3" s="8" t="n"/>
      <c r="BN3" s="204" t="inlineStr">
        <is>
          <t>SE REPORTAN CIFRAS POR AUTOCORRECCION FISCAL CORRESPONDIENTE AL PERIODO DE JUNIO DEL EJERCICIO FISCAL 2026</t>
        </is>
      </c>
      <c r="BO3" s="205" t="n"/>
      <c r="BP3" s="205" t="n"/>
      <c r="BQ3" s="205" t="n"/>
      <c r="BR3" s="205" t="n"/>
      <c r="BS3" s="205" t="n"/>
      <c r="BT3" s="205" t="n"/>
      <c r="BU3" s="205" t="n"/>
      <c r="BV3" s="205" t="n"/>
      <c r="BW3" s="205" t="n"/>
      <c r="BX3" s="205" t="n"/>
      <c r="BY3" s="205" t="n"/>
      <c r="BZ3" s="205" t="n"/>
      <c r="CA3" s="205" t="n"/>
      <c r="CB3" s="205" t="n"/>
      <c r="CC3" s="205" t="n"/>
      <c r="CD3" s="205" t="n"/>
      <c r="CE3" s="205" t="n"/>
      <c r="CF3" s="205" t="n"/>
      <c r="CG3" s="205" t="n"/>
      <c r="CH3" s="205" t="n"/>
      <c r="CI3" s="205" t="n"/>
      <c r="CJ3" s="205" t="n"/>
      <c r="CK3" s="206" t="n"/>
      <c r="CL3" s="15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</row>
    <row r="4" ht="12" customHeight="1" s="199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16" t="n"/>
      <c r="S4" s="17" t="inlineStr">
        <is>
          <t>R. F. C.</t>
        </is>
      </c>
      <c r="T4" s="185" t="inlineStr">
        <is>
          <t>RPY1209188IA</t>
        </is>
      </c>
      <c r="U4" s="169" t="n"/>
      <c r="V4" s="169" t="n"/>
      <c r="W4" s="169" t="n"/>
      <c r="X4" s="169" t="n"/>
      <c r="Y4" s="169" t="n"/>
      <c r="Z4" s="169" t="n"/>
      <c r="AA4" s="169" t="n"/>
      <c r="AB4" s="169" t="n"/>
      <c r="AC4" s="169" t="n"/>
      <c r="AD4" s="169" t="n"/>
      <c r="AE4" s="169" t="n"/>
      <c r="AF4" s="170" t="n"/>
      <c r="AG4" s="4" t="n"/>
      <c r="AH4" s="4" t="n"/>
      <c r="AI4" s="4" t="n"/>
      <c r="AJ4" s="217" t="n"/>
      <c r="AK4" s="217" t="n"/>
      <c r="AL4" s="217" t="n"/>
      <c r="AM4" s="17" t="inlineStr">
        <is>
          <t>TIPO Y ORDEN No.</t>
        </is>
      </c>
      <c r="AN4" s="185" t="inlineStr">
        <is>
          <t>CI-MCA1409573/26</t>
        </is>
      </c>
      <c r="AO4" s="169" t="n"/>
      <c r="AP4" s="169" t="n"/>
      <c r="AQ4" s="169" t="n"/>
      <c r="AR4" s="169" t="n"/>
      <c r="AS4" s="169" t="n"/>
      <c r="AT4" s="169" t="n"/>
      <c r="AU4" s="169" t="n"/>
      <c r="AV4" s="169" t="n"/>
      <c r="AW4" s="169" t="n"/>
      <c r="AX4" s="169" t="n"/>
      <c r="AY4" s="170" t="n"/>
      <c r="AZ4" s="18" t="n"/>
      <c r="BA4" s="18" t="inlineStr">
        <is>
          <t>REGIMEN</t>
        </is>
      </c>
      <c r="BB4" s="18" t="n"/>
      <c r="BC4" s="227" t="inlineStr">
        <is>
          <t>PMRGL</t>
        </is>
      </c>
      <c r="BD4" s="169" t="n"/>
      <c r="BE4" s="169" t="n"/>
      <c r="BF4" s="170" t="n"/>
      <c r="BG4" s="7" t="n"/>
      <c r="BL4" s="19" t="n"/>
      <c r="BM4" s="17" t="n"/>
      <c r="BN4" s="207" t="n"/>
      <c r="BO4" s="172" t="n"/>
      <c r="BP4" s="172" t="n"/>
      <c r="BQ4" s="172" t="n"/>
      <c r="BR4" s="172" t="n"/>
      <c r="BS4" s="172" t="n"/>
      <c r="BT4" s="172" t="n"/>
      <c r="BU4" s="172" t="n"/>
      <c r="BV4" s="172" t="n"/>
      <c r="BW4" s="172" t="n"/>
      <c r="BX4" s="172" t="n"/>
      <c r="BY4" s="172" t="n"/>
      <c r="BZ4" s="172" t="n"/>
      <c r="CA4" s="172" t="n"/>
      <c r="CB4" s="172" t="n"/>
      <c r="CC4" s="172" t="n"/>
      <c r="CD4" s="172" t="n"/>
      <c r="CE4" s="172" t="n"/>
      <c r="CF4" s="172" t="n"/>
      <c r="CG4" s="172" t="n"/>
      <c r="CH4" s="172" t="n"/>
      <c r="CI4" s="172" t="n"/>
      <c r="CJ4" s="172" t="n"/>
      <c r="CK4" s="208" t="n"/>
      <c r="CL4" s="15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</row>
    <row r="5" ht="3" customHeight="1" s="199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16" t="n"/>
      <c r="Q5" s="20" t="n"/>
      <c r="R5" s="21" t="n"/>
      <c r="S5" s="21" t="n"/>
      <c r="T5" s="22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4" t="n"/>
      <c r="BD5" s="7" t="n"/>
      <c r="BE5" s="7" t="n"/>
      <c r="BF5" s="7" t="n"/>
      <c r="BG5" s="7" t="n"/>
      <c r="BL5" s="19" t="n"/>
      <c r="BM5" s="7" t="n"/>
      <c r="BN5" s="207" t="n"/>
      <c r="BO5" s="172" t="n"/>
      <c r="BP5" s="172" t="n"/>
      <c r="BQ5" s="172" t="n"/>
      <c r="BR5" s="172" t="n"/>
      <c r="BS5" s="172" t="n"/>
      <c r="BT5" s="172" t="n"/>
      <c r="BU5" s="172" t="n"/>
      <c r="BV5" s="172" t="n"/>
      <c r="BW5" s="172" t="n"/>
      <c r="BX5" s="172" t="n"/>
      <c r="BY5" s="172" t="n"/>
      <c r="BZ5" s="172" t="n"/>
      <c r="CA5" s="172" t="n"/>
      <c r="CB5" s="172" t="n"/>
      <c r="CC5" s="172" t="n"/>
      <c r="CD5" s="172" t="n"/>
      <c r="CE5" s="172" t="n"/>
      <c r="CF5" s="172" t="n"/>
      <c r="CG5" s="172" t="n"/>
      <c r="CH5" s="172" t="n"/>
      <c r="CI5" s="172" t="n"/>
      <c r="CJ5" s="172" t="n"/>
      <c r="CK5" s="208" t="n"/>
      <c r="CL5" s="15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</row>
    <row r="6" ht="12" customHeight="1" s="199">
      <c r="A6" s="8" t="n"/>
      <c r="B6" s="198" t="inlineStr">
        <is>
          <t>DIRECCION GENERAL DE FISCALIZACION</t>
        </is>
      </c>
      <c r="O6" s="200" t="n"/>
      <c r="P6" s="16" t="n"/>
      <c r="S6" s="17" t="inlineStr">
        <is>
          <t>A. D. A. F</t>
        </is>
      </c>
      <c r="T6" s="231" t="inlineStr">
        <is>
          <t xml:space="preserve"> (3) ZAPOPAN</t>
        </is>
      </c>
      <c r="U6" s="169" t="n"/>
      <c r="V6" s="169" t="n"/>
      <c r="W6" s="169" t="n"/>
      <c r="X6" s="169" t="n"/>
      <c r="Y6" s="169" t="n"/>
      <c r="Z6" s="169" t="n"/>
      <c r="AA6" s="169" t="n"/>
      <c r="AB6" s="169" t="n"/>
      <c r="AC6" s="169" t="n"/>
      <c r="AD6" s="169" t="n"/>
      <c r="AE6" s="169" t="n"/>
      <c r="AF6" s="170" t="n"/>
      <c r="AH6" s="22" t="n"/>
      <c r="AI6" s="21" t="n"/>
      <c r="AJ6" s="21" t="n"/>
      <c r="AK6" s="21" t="n"/>
      <c r="AL6" s="21" t="n"/>
      <c r="AM6" s="17" t="inlineStr">
        <is>
          <t>CONTRIBUYENTE</t>
        </is>
      </c>
      <c r="AN6" s="289" t="inlineStr">
        <is>
          <t>RIELES PROYECTO Y OBRA, S.A. DE C.V.</t>
        </is>
      </c>
      <c r="AO6" s="169" t="n"/>
      <c r="AP6" s="169" t="n"/>
      <c r="AQ6" s="169" t="n"/>
      <c r="AR6" s="169" t="n"/>
      <c r="AS6" s="169" t="n"/>
      <c r="AT6" s="169" t="n"/>
      <c r="AU6" s="169" t="n"/>
      <c r="AV6" s="169" t="n"/>
      <c r="AW6" s="169" t="n"/>
      <c r="AX6" s="169" t="n"/>
      <c r="AY6" s="169" t="n"/>
      <c r="AZ6" s="169" t="n"/>
      <c r="BA6" s="169" t="n"/>
      <c r="BB6" s="169" t="n"/>
      <c r="BC6" s="169" t="n"/>
      <c r="BD6" s="169" t="n"/>
      <c r="BE6" s="169" t="n"/>
      <c r="BF6" s="169" t="n"/>
      <c r="BG6" s="169" t="n"/>
      <c r="BH6" s="169" t="n"/>
      <c r="BI6" s="169" t="n"/>
      <c r="BJ6" s="169" t="n"/>
      <c r="BK6" s="169" t="n"/>
      <c r="BL6" s="170" t="n"/>
      <c r="BM6" s="7" t="n"/>
      <c r="BN6" s="207" t="n"/>
      <c r="BO6" s="172" t="n"/>
      <c r="BP6" s="172" t="n"/>
      <c r="BQ6" s="172" t="n"/>
      <c r="BR6" s="172" t="n"/>
      <c r="BS6" s="172" t="n"/>
      <c r="BT6" s="172" t="n"/>
      <c r="BU6" s="172" t="n"/>
      <c r="BV6" s="172" t="n"/>
      <c r="BW6" s="172" t="n"/>
      <c r="BX6" s="172" t="n"/>
      <c r="BY6" s="172" t="n"/>
      <c r="BZ6" s="172" t="n"/>
      <c r="CA6" s="172" t="n"/>
      <c r="CB6" s="172" t="n"/>
      <c r="CC6" s="172" t="n"/>
      <c r="CD6" s="172" t="n"/>
      <c r="CE6" s="172" t="n"/>
      <c r="CF6" s="172" t="n"/>
      <c r="CG6" s="172" t="n"/>
      <c r="CH6" s="172" t="n"/>
      <c r="CI6" s="172" t="n"/>
      <c r="CJ6" s="172" t="n"/>
      <c r="CK6" s="208" t="n"/>
      <c r="CL6" s="15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</row>
    <row r="7" ht="3" customHeight="1" s="199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16" t="n"/>
      <c r="Q7" s="20" t="n"/>
      <c r="R7" s="21" t="n"/>
      <c r="S7" s="21" t="n"/>
      <c r="T7" s="21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7" t="n"/>
      <c r="BE7" s="7" t="n"/>
      <c r="BF7" s="7" t="n"/>
      <c r="BG7" s="7" t="n"/>
      <c r="BL7" s="19" t="n"/>
      <c r="BM7" s="7" t="n"/>
      <c r="BN7" s="207" t="n"/>
      <c r="BO7" s="172" t="n"/>
      <c r="BP7" s="172" t="n"/>
      <c r="BQ7" s="172" t="n"/>
      <c r="BR7" s="172" t="n"/>
      <c r="BS7" s="172" t="n"/>
      <c r="BT7" s="172" t="n"/>
      <c r="BU7" s="172" t="n"/>
      <c r="BV7" s="172" t="n"/>
      <c r="BW7" s="172" t="n"/>
      <c r="BX7" s="172" t="n"/>
      <c r="BY7" s="172" t="n"/>
      <c r="BZ7" s="172" t="n"/>
      <c r="CA7" s="172" t="n"/>
      <c r="CB7" s="172" t="n"/>
      <c r="CC7" s="172" t="n"/>
      <c r="CD7" s="172" t="n"/>
      <c r="CE7" s="172" t="n"/>
      <c r="CF7" s="172" t="n"/>
      <c r="CG7" s="172" t="n"/>
      <c r="CH7" s="172" t="n"/>
      <c r="CI7" s="172" t="n"/>
      <c r="CJ7" s="172" t="n"/>
      <c r="CK7" s="208" t="n"/>
      <c r="CL7" s="15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</row>
    <row r="8" ht="12" customHeight="1" s="199" thickBot="1">
      <c r="A8" s="8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6" t="n"/>
      <c r="P8" s="16" t="n"/>
      <c r="Q8" s="4" t="inlineStr">
        <is>
          <t>N°. GIRO FEDERAL</t>
        </is>
      </c>
      <c r="R8" s="21" t="n"/>
      <c r="S8" s="21" t="n"/>
      <c r="T8" s="21" t="n"/>
      <c r="U8" s="21" t="n"/>
      <c r="V8" s="263" t="n">
        <v>155</v>
      </c>
      <c r="W8" s="169" t="n"/>
      <c r="X8" s="169" t="n"/>
      <c r="Y8" s="169" t="n"/>
      <c r="Z8" s="170" t="n"/>
      <c r="AA8" s="27" t="n"/>
      <c r="AB8" s="27" t="n"/>
      <c r="AC8" s="27" t="n"/>
      <c r="AD8" s="27" t="n"/>
      <c r="AE8" s="27" t="n"/>
      <c r="AF8" s="17" t="inlineStr">
        <is>
          <t>NOMBRE GIRO</t>
        </is>
      </c>
      <c r="AH8" s="273">
        <f>LOOKUP(V8,BJ98:BJ2107,BK98:BK2107)</f>
        <v/>
      </c>
      <c r="AI8" s="174" t="n"/>
      <c r="AJ8" s="174" t="n"/>
      <c r="AK8" s="174" t="n"/>
      <c r="AL8" s="174" t="n"/>
      <c r="AM8" s="174" t="n"/>
      <c r="AN8" s="174" t="n"/>
      <c r="AO8" s="174" t="n"/>
      <c r="AP8" s="174" t="n"/>
      <c r="AQ8" s="174" t="n"/>
      <c r="AR8" s="174" t="n"/>
      <c r="AS8" s="174" t="n"/>
      <c r="AT8" s="174" t="n"/>
      <c r="AU8" s="174" t="n"/>
      <c r="AV8" s="174" t="n"/>
      <c r="AW8" s="174" t="n"/>
      <c r="AX8" s="174" t="n"/>
      <c r="AY8" s="174" t="n"/>
      <c r="AZ8" s="174" t="n"/>
      <c r="BA8" s="174" t="n"/>
      <c r="BB8" s="174" t="n"/>
      <c r="BC8" s="174" t="n"/>
      <c r="BD8" s="174" t="n"/>
      <c r="BE8" s="174" t="n"/>
      <c r="BF8" s="174" t="n"/>
      <c r="BG8" s="174" t="n"/>
      <c r="BH8" s="174" t="n"/>
      <c r="BI8" s="174" t="n"/>
      <c r="BJ8" s="174" t="n"/>
      <c r="BK8" s="174" t="n"/>
      <c r="BL8" s="175" t="n"/>
      <c r="BM8" s="7" t="n"/>
      <c r="BN8" s="207" t="n"/>
      <c r="BO8" s="172" t="n"/>
      <c r="BP8" s="172" t="n"/>
      <c r="BQ8" s="172" t="n"/>
      <c r="BR8" s="172" t="n"/>
      <c r="BS8" s="172" t="n"/>
      <c r="BT8" s="172" t="n"/>
      <c r="BU8" s="172" t="n"/>
      <c r="BV8" s="172" t="n"/>
      <c r="BW8" s="172" t="n"/>
      <c r="BX8" s="172" t="n"/>
      <c r="BY8" s="172" t="n"/>
      <c r="BZ8" s="172" t="n"/>
      <c r="CA8" s="172" t="n"/>
      <c r="CB8" s="172" t="n"/>
      <c r="CC8" s="172" t="n"/>
      <c r="CD8" s="172" t="n"/>
      <c r="CE8" s="172" t="n"/>
      <c r="CF8" s="172" t="n"/>
      <c r="CG8" s="172" t="n"/>
      <c r="CH8" s="172" t="n"/>
      <c r="CI8" s="172" t="n"/>
      <c r="CJ8" s="172" t="n"/>
      <c r="CK8" s="208" t="n"/>
      <c r="CL8" s="15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</row>
    <row r="9" ht="3" customHeight="1" s="199">
      <c r="A9" s="8" t="n"/>
      <c r="B9" s="2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20" t="n"/>
      <c r="P9" s="21" t="n"/>
      <c r="Q9" s="21" t="n"/>
      <c r="R9" s="21" t="n"/>
      <c r="S9" s="21" t="n"/>
      <c r="T9" s="21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 t="n"/>
      <c r="AW9" s="24" t="n"/>
      <c r="AX9" s="24" t="n"/>
      <c r="AY9" s="24" t="n"/>
      <c r="AZ9" s="24" t="n"/>
      <c r="BA9" s="24" t="n"/>
      <c r="BB9" s="24" t="n"/>
      <c r="BC9" s="24" t="n"/>
      <c r="BD9" s="24" t="n"/>
      <c r="BE9" s="24" t="n"/>
      <c r="BF9" s="8" t="n"/>
      <c r="BG9" s="8" t="n"/>
      <c r="BH9" s="8" t="n"/>
      <c r="BI9" s="8" t="n"/>
      <c r="BJ9" s="8" t="n"/>
      <c r="BK9" s="8" t="n"/>
      <c r="BL9" s="8" t="n"/>
      <c r="BM9" s="7" t="n"/>
      <c r="BN9" s="207" t="n"/>
      <c r="BO9" s="172" t="n"/>
      <c r="BP9" s="172" t="n"/>
      <c r="BQ9" s="172" t="n"/>
      <c r="BR9" s="172" t="n"/>
      <c r="BS9" s="172" t="n"/>
      <c r="BT9" s="172" t="n"/>
      <c r="BU9" s="172" t="n"/>
      <c r="BV9" s="172" t="n"/>
      <c r="BW9" s="172" t="n"/>
      <c r="BX9" s="172" t="n"/>
      <c r="BY9" s="172" t="n"/>
      <c r="BZ9" s="172" t="n"/>
      <c r="CA9" s="172" t="n"/>
      <c r="CB9" s="172" t="n"/>
      <c r="CC9" s="172" t="n"/>
      <c r="CD9" s="172" t="n"/>
      <c r="CE9" s="172" t="n"/>
      <c r="CF9" s="172" t="n"/>
      <c r="CG9" s="172" t="n"/>
      <c r="CH9" s="172" t="n"/>
      <c r="CI9" s="172" t="n"/>
      <c r="CJ9" s="172" t="n"/>
      <c r="CK9" s="208" t="n"/>
      <c r="CL9" s="15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</row>
    <row r="10" ht="3" customFormat="1" customHeight="1" s="217">
      <c r="B10" s="29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31" t="n"/>
      <c r="BM10" s="7" t="n"/>
      <c r="BN10" s="207" t="n"/>
      <c r="BO10" s="172" t="n"/>
      <c r="BP10" s="172" t="n"/>
      <c r="BQ10" s="172" t="n"/>
      <c r="BR10" s="172" t="n"/>
      <c r="BS10" s="172" t="n"/>
      <c r="BT10" s="172" t="n"/>
      <c r="BU10" s="172" t="n"/>
      <c r="BV10" s="172" t="n"/>
      <c r="BW10" s="172" t="n"/>
      <c r="BX10" s="172" t="n"/>
      <c r="BY10" s="172" t="n"/>
      <c r="BZ10" s="172" t="n"/>
      <c r="CA10" s="172" t="n"/>
      <c r="CB10" s="172" t="n"/>
      <c r="CC10" s="172" t="n"/>
      <c r="CD10" s="172" t="n"/>
      <c r="CE10" s="172" t="n"/>
      <c r="CF10" s="172" t="n"/>
      <c r="CG10" s="172" t="n"/>
      <c r="CH10" s="172" t="n"/>
      <c r="CI10" s="172" t="n"/>
      <c r="CJ10" s="172" t="n"/>
      <c r="CK10" s="208" t="n"/>
      <c r="CL10" s="15" t="n"/>
    </row>
    <row r="11" ht="12" customFormat="1" customHeight="1" s="217">
      <c r="B11" s="255" t="inlineStr">
        <is>
          <t>T I P O   D E   M O V I M I E N T O</t>
        </is>
      </c>
      <c r="T11" s="235" t="inlineStr">
        <is>
          <t>AUTOCORRECCION</t>
        </is>
      </c>
      <c r="U11" s="169" t="n"/>
      <c r="V11" s="169" t="n"/>
      <c r="W11" s="169" t="n"/>
      <c r="X11" s="169" t="n"/>
      <c r="Y11" s="169" t="n"/>
      <c r="Z11" s="169" t="n"/>
      <c r="AA11" s="169" t="n"/>
      <c r="AB11" s="169" t="n"/>
      <c r="AC11" s="169" t="n"/>
      <c r="AD11" s="169" t="n"/>
      <c r="AE11" s="169" t="n"/>
      <c r="AF11" s="169" t="n"/>
      <c r="AG11" s="169" t="n"/>
      <c r="AH11" s="169" t="n"/>
      <c r="AI11" s="169" t="n"/>
      <c r="AJ11" s="169" t="n"/>
      <c r="AK11" s="169" t="n"/>
      <c r="AL11" s="170" t="n"/>
      <c r="AQ11" s="32" t="inlineStr">
        <is>
          <t>CAUSA S/O</t>
        </is>
      </c>
      <c r="AS11" s="235" t="n"/>
      <c r="AT11" s="169" t="n"/>
      <c r="AU11" s="169" t="n"/>
      <c r="AV11" s="169" t="n"/>
      <c r="AW11" s="169" t="n"/>
      <c r="AX11" s="169" t="n"/>
      <c r="AY11" s="169" t="n"/>
      <c r="AZ11" s="169" t="n"/>
      <c r="BA11" s="169" t="n"/>
      <c r="BB11" s="169" t="n"/>
      <c r="BC11" s="169" t="n"/>
      <c r="BD11" s="169" t="n"/>
      <c r="BE11" s="169" t="n"/>
      <c r="BF11" s="169" t="n"/>
      <c r="BG11" s="169" t="n"/>
      <c r="BH11" s="169" t="n"/>
      <c r="BI11" s="169" t="n"/>
      <c r="BJ11" s="169" t="n"/>
      <c r="BK11" s="169" t="n"/>
      <c r="BL11" s="170" t="n"/>
      <c r="BM11" s="7" t="n"/>
      <c r="BN11" s="209" t="n"/>
      <c r="BO11" s="210" t="n"/>
      <c r="BP11" s="210" t="n"/>
      <c r="BQ11" s="210" t="n"/>
      <c r="BR11" s="210" t="n"/>
      <c r="BS11" s="210" t="n"/>
      <c r="BT11" s="210" t="n"/>
      <c r="BU11" s="210" t="n"/>
      <c r="BV11" s="210" t="n"/>
      <c r="BW11" s="210" t="n"/>
      <c r="BX11" s="210" t="n"/>
      <c r="BY11" s="210" t="n"/>
      <c r="BZ11" s="210" t="n"/>
      <c r="CA11" s="210" t="n"/>
      <c r="CB11" s="210" t="n"/>
      <c r="CC11" s="210" t="n"/>
      <c r="CD11" s="210" t="n"/>
      <c r="CE11" s="210" t="n"/>
      <c r="CF11" s="210" t="n"/>
      <c r="CG11" s="210" t="n"/>
      <c r="CH11" s="210" t="n"/>
      <c r="CI11" s="210" t="n"/>
      <c r="CJ11" s="210" t="n"/>
      <c r="CK11" s="211" t="n"/>
      <c r="CL11" s="33" t="n"/>
    </row>
    <row r="12" ht="3" customFormat="1" customHeight="1" s="217">
      <c r="B12" s="34" t="n"/>
      <c r="C12" s="35" t="n"/>
      <c r="D12" s="20" t="n"/>
      <c r="AN12" s="31" t="n"/>
      <c r="AO12" s="31" t="n"/>
      <c r="AP12" s="31" t="n"/>
      <c r="AQ12" s="31" t="n"/>
      <c r="AR12" s="31" t="n"/>
      <c r="AS12" s="31" t="n"/>
      <c r="AT12" s="31" t="n"/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  <c r="BD12" s="31" t="n"/>
      <c r="BE12" s="31" t="n"/>
      <c r="BF12" s="31" t="n"/>
      <c r="BG12" s="31" t="n"/>
      <c r="BH12" s="31" t="n"/>
      <c r="BI12" s="31" t="n"/>
      <c r="BJ12" s="31" t="n"/>
      <c r="BK12" s="31" t="n"/>
      <c r="BL12" s="31" t="n"/>
      <c r="BM12" s="31" t="n"/>
      <c r="BN12" s="31" t="n"/>
      <c r="BO12" s="31" t="n"/>
      <c r="BP12" s="31" t="n"/>
      <c r="BQ12" s="31" t="n"/>
      <c r="BR12" s="31" t="n"/>
      <c r="BS12" s="31" t="n"/>
      <c r="BT12" s="31" t="n"/>
      <c r="BU12" s="31" t="n"/>
      <c r="BV12" s="31" t="n"/>
      <c r="BW12" s="31" t="n"/>
      <c r="BX12" s="31" t="n"/>
      <c r="BY12" s="31" t="n"/>
      <c r="BZ12" s="31" t="n"/>
      <c r="CA12" s="31" t="n"/>
      <c r="CB12" s="31" t="n"/>
      <c r="CC12" s="31" t="n"/>
      <c r="CD12" s="31" t="n"/>
      <c r="CE12" s="31" t="n"/>
      <c r="CF12" s="31" t="n"/>
      <c r="CG12" s="31" t="n"/>
      <c r="CH12" s="31" t="n"/>
      <c r="CI12" s="31" t="n"/>
      <c r="CJ12" s="31" t="n"/>
      <c r="CK12" s="31" t="n"/>
      <c r="CL12" s="36" t="n"/>
      <c r="CM12" s="31" t="n"/>
    </row>
    <row r="13" ht="12" customFormat="1" customHeight="1" s="217">
      <c r="B13" s="255" t="inlineStr">
        <is>
          <t>D A T O S   D E    T E R M I N A C I O N</t>
        </is>
      </c>
      <c r="BA13" s="37" t="n"/>
      <c r="BB13" s="247" t="inlineStr">
        <is>
          <t>OTROS MOVIMIENTOS</t>
        </is>
      </c>
      <c r="BT13" s="37" t="n"/>
      <c r="BU13" s="247" t="inlineStr">
        <is>
          <t>DATO EXCLUSIVO DE LIQUIDACIÓN</t>
        </is>
      </c>
      <c r="CK13" s="247" t="n"/>
      <c r="CL13" s="39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</row>
    <row r="14" ht="3" customFormat="1" customHeight="1" s="217">
      <c r="B14" s="34" t="n"/>
      <c r="C14" s="20" t="n"/>
      <c r="V14" s="30" t="n"/>
      <c r="W14" s="30" t="n"/>
      <c r="X14" s="30" t="n"/>
      <c r="Y14" s="30" t="n"/>
      <c r="Z14" s="30" t="n"/>
      <c r="AA14" s="30" t="n"/>
      <c r="AB14" s="30" t="n"/>
      <c r="AC14" s="40" t="n"/>
      <c r="AD14" s="41" t="n"/>
      <c r="BA14" s="42" t="n"/>
      <c r="BT14" s="40" t="n"/>
      <c r="CL14" s="43" t="n"/>
      <c r="CQ14" s="31" t="n"/>
    </row>
    <row r="15" ht="12.6" customFormat="1" customHeight="1" s="217">
      <c r="B15" s="34" t="n"/>
      <c r="C15" s="44" t="inlineStr">
        <is>
          <t>DOCUMENTO TERMINACION</t>
        </is>
      </c>
      <c r="D15" s="4" t="n"/>
      <c r="E15" s="4" t="n"/>
      <c r="F15" s="4" t="n"/>
      <c r="G15" s="4" t="n"/>
      <c r="H15" s="4" t="n"/>
      <c r="K15" s="261" t="inlineStr">
        <is>
          <t>CARTA INVITACION</t>
        </is>
      </c>
      <c r="L15" s="169" t="n"/>
      <c r="M15" s="169" t="n"/>
      <c r="N15" s="170" t="n"/>
      <c r="O15" s="41" t="n"/>
      <c r="P15" s="44" t="inlineStr">
        <is>
          <t>FECHA TERM (NOTIF)</t>
        </is>
      </c>
      <c r="V15" s="202" t="n">
        <v>46248</v>
      </c>
      <c r="W15" s="169" t="n"/>
      <c r="X15" s="169" t="n"/>
      <c r="Y15" s="169" t="n"/>
      <c r="Z15" s="169" t="n"/>
      <c r="AA15" s="170" t="n"/>
      <c r="AC15" s="40" t="n"/>
      <c r="AD15" s="45" t="inlineStr">
        <is>
          <t>NUM. DE PRINCIPAL IRREGULARIDAD DETECTADA</t>
        </is>
      </c>
      <c r="AQ15" s="223" t="inlineStr">
        <is>
          <t>11. Omisión de pagos provisionales</t>
        </is>
      </c>
      <c r="AR15" s="169" t="n"/>
      <c r="AS15" s="169" t="n"/>
      <c r="AT15" s="169" t="n"/>
      <c r="AU15" s="169" t="n"/>
      <c r="AV15" s="169" t="n"/>
      <c r="AW15" s="169" t="n"/>
      <c r="AX15" s="169" t="n"/>
      <c r="AY15" s="170" t="n"/>
      <c r="AZ15" s="46" t="n"/>
      <c r="BA15" s="40" t="n"/>
      <c r="BC15" s="47" t="inlineStr">
        <is>
          <t>PARCIALIDADES</t>
        </is>
      </c>
      <c r="BF15" s="48" t="n"/>
      <c r="BG15" s="48" t="n"/>
      <c r="BH15" s="48" t="n"/>
      <c r="BI15" s="185" t="n"/>
      <c r="BJ15" s="170" t="n"/>
      <c r="BK15" s="4" t="inlineStr">
        <is>
          <t>TOTAL PARCIALIDADES</t>
        </is>
      </c>
      <c r="BN15" s="48" t="n"/>
      <c r="BO15" s="48" t="n"/>
      <c r="BP15" s="48" t="n"/>
      <c r="BQ15" s="185" t="n"/>
      <c r="BR15" s="170" t="n"/>
      <c r="BT15" s="40" t="n"/>
      <c r="BV15" s="4" t="inlineStr">
        <is>
          <t>OFICIO</t>
        </is>
      </c>
      <c r="BY15" s="225" t="inlineStr">
        <is>
          <t>SET-400-</t>
        </is>
      </c>
      <c r="BZ15" s="174" t="n"/>
      <c r="CA15" s="175" t="n"/>
      <c r="CB15" s="239">
        <f>IF(T11="LIQUIDACION",Q23," ")</f>
        <v/>
      </c>
      <c r="CC15" s="174" t="n"/>
      <c r="CD15" s="174" t="n"/>
      <c r="CE15" s="174" t="n"/>
      <c r="CF15" s="174" t="n"/>
      <c r="CG15" s="174" t="n"/>
      <c r="CH15" s="174" t="n"/>
      <c r="CI15" s="174" t="n"/>
      <c r="CJ15" s="175" t="n"/>
      <c r="CL15" s="43" t="n"/>
      <c r="CR15" s="4" t="n"/>
      <c r="DE15" s="49" t="n"/>
      <c r="DF15" s="50" t="n"/>
      <c r="DS15" s="7" t="n"/>
      <c r="DT15" s="7" t="n"/>
      <c r="DU15" s="7" t="n"/>
      <c r="DV15" s="7" t="n"/>
      <c r="DW15" s="7" t="n"/>
      <c r="DX15" s="7" t="n"/>
      <c r="DY15" s="7" t="n"/>
    </row>
    <row r="16" ht="3" customFormat="1" customHeight="1" s="217">
      <c r="B16" s="34" t="n"/>
      <c r="C16" s="44" t="n"/>
      <c r="D16" s="4" t="n"/>
      <c r="E16" s="4" t="n"/>
      <c r="F16" s="4" t="n"/>
      <c r="G16" s="4" t="n"/>
      <c r="H16" s="4" t="n"/>
      <c r="I16" s="49" t="n"/>
      <c r="J16" s="50" t="n"/>
      <c r="K16" s="51" t="n"/>
      <c r="L16" s="51" t="n"/>
      <c r="M16" s="52" t="n"/>
      <c r="N16" s="52" t="n"/>
      <c r="V16" s="53" t="n"/>
      <c r="W16" s="53" t="n"/>
      <c r="X16" s="53" t="n"/>
      <c r="Y16" s="53" t="n"/>
      <c r="Z16" s="53" t="n"/>
      <c r="AA16" s="53" t="n"/>
      <c r="AB16" s="54" t="n"/>
      <c r="AC16" s="40" t="n"/>
      <c r="AD16" s="45" t="n"/>
      <c r="AQ16" s="20" t="n"/>
      <c r="AR16" s="20" t="n"/>
      <c r="AS16" s="20" t="n"/>
      <c r="AT16" s="20" t="n"/>
      <c r="AU16" s="20" t="n"/>
      <c r="AV16" s="52" t="n"/>
      <c r="AW16" s="52" t="n"/>
      <c r="AX16" s="52" t="n"/>
      <c r="AY16" s="52" t="n"/>
      <c r="AZ16" s="46" t="n"/>
      <c r="BA16" s="40" t="n"/>
      <c r="BF16" s="48" t="n"/>
      <c r="BG16" s="48" t="n"/>
      <c r="BH16" s="48" t="n"/>
      <c r="BI16" s="48" t="n"/>
      <c r="BJ16" s="48" t="n"/>
      <c r="BN16" s="48" t="n"/>
      <c r="BO16" s="48" t="n"/>
      <c r="BP16" s="48" t="n"/>
      <c r="BQ16" s="48" t="n"/>
      <c r="BR16" s="48" t="n"/>
      <c r="BT16" s="40" t="n"/>
      <c r="CL16" s="43" t="n"/>
      <c r="CR16" s="4" t="n"/>
      <c r="DE16" s="49" t="n"/>
      <c r="DF16" s="50" t="n"/>
      <c r="DS16" s="55" t="n"/>
      <c r="DT16" s="55" t="n"/>
      <c r="DU16" s="55" t="n"/>
      <c r="DV16" s="55" t="n"/>
      <c r="DW16" s="55" t="n"/>
      <c r="DX16" s="55" t="n"/>
      <c r="DY16" s="55" t="n"/>
    </row>
    <row r="17" ht="12.6" customFormat="1" customHeight="1" s="217">
      <c r="B17" s="34" t="n"/>
      <c r="C17" s="4" t="inlineStr">
        <is>
          <t>ULTIMA ACTA PARCIAL (VISITA)</t>
        </is>
      </c>
      <c r="D17" s="56" t="n"/>
      <c r="E17" s="4" t="n"/>
      <c r="G17" s="4" t="n"/>
      <c r="H17" s="4" t="n"/>
      <c r="I17" s="18" t="n"/>
      <c r="K17" s="248" t="n"/>
      <c r="L17" s="169" t="n"/>
      <c r="M17" s="169" t="n"/>
      <c r="N17" s="170" t="n"/>
      <c r="O17" s="4" t="n"/>
      <c r="P17" s="4" t="inlineStr">
        <is>
          <t>FECHA</t>
        </is>
      </c>
      <c r="Q17" s="4" t="n"/>
      <c r="R17" s="4" t="n"/>
      <c r="S17" s="4" t="n"/>
      <c r="T17" s="4" t="n"/>
      <c r="V17" s="202" t="n"/>
      <c r="W17" s="169" t="n"/>
      <c r="X17" s="169" t="n"/>
      <c r="Y17" s="169" t="n"/>
      <c r="Z17" s="169" t="n"/>
      <c r="AA17" s="170" t="n"/>
      <c r="AC17" s="40" t="n"/>
      <c r="AD17" s="45" t="inlineStr">
        <is>
          <t>NUM. DE SUB CAUSA DE PRINCIPAL IRREGULARIDAD</t>
        </is>
      </c>
      <c r="AE17" s="4" t="n"/>
      <c r="AF17" s="4" t="n"/>
      <c r="AG17" s="4" t="n"/>
      <c r="AH17" s="4" t="n"/>
      <c r="AI17" s="4" t="n"/>
      <c r="AQ17" s="223" t="n"/>
      <c r="AR17" s="169" t="n"/>
      <c r="AS17" s="169" t="n"/>
      <c r="AT17" s="169" t="n"/>
      <c r="AU17" s="169" t="n"/>
      <c r="AV17" s="169" t="n"/>
      <c r="AW17" s="169" t="n"/>
      <c r="AX17" s="169" t="n"/>
      <c r="AY17" s="170" t="n"/>
      <c r="AZ17" s="46" t="n"/>
      <c r="BA17" s="40" t="n"/>
      <c r="BC17" s="4" t="inlineStr">
        <is>
          <t>PARCIALIDAD QUE PAGO</t>
        </is>
      </c>
      <c r="BF17" s="48" t="n"/>
      <c r="BG17" s="48" t="n"/>
      <c r="BH17" s="48" t="n"/>
      <c r="BI17" s="185" t="n"/>
      <c r="BJ17" s="170" t="n"/>
      <c r="BK17" s="4" t="inlineStr">
        <is>
          <t>TOTAL CREDITO</t>
        </is>
      </c>
      <c r="BN17" s="48" t="n"/>
      <c r="BO17" s="243" t="n"/>
      <c r="BP17" s="169" t="n"/>
      <c r="BQ17" s="169" t="n"/>
      <c r="BR17" s="170" t="n"/>
      <c r="BT17" s="40" t="n"/>
      <c r="BV17" s="4" t="inlineStr">
        <is>
          <t>FECHA DEL OFICIO</t>
        </is>
      </c>
      <c r="BX17" s="160" t="n"/>
      <c r="BY17" s="160" t="n"/>
      <c r="BZ17" s="160" t="n"/>
      <c r="CA17" s="160" t="n"/>
      <c r="CB17" s="226" t="n"/>
      <c r="CC17" s="169" t="n"/>
      <c r="CD17" s="169" t="n"/>
      <c r="CE17" s="170" t="n"/>
      <c r="CL17" s="43" t="n"/>
      <c r="CM17" s="57" t="n"/>
      <c r="CN17" s="57" t="n"/>
      <c r="CR17" s="4" t="n"/>
      <c r="DE17" s="4" t="n"/>
      <c r="DF17" s="6" t="n"/>
      <c r="DG17" s="6" t="n"/>
      <c r="DH17" s="6" t="n"/>
      <c r="DI17" s="6" t="n"/>
      <c r="DJ17" s="215" t="n"/>
      <c r="DL17" s="58" t="n"/>
      <c r="DM17" s="58" t="n"/>
      <c r="DN17" s="58" t="n"/>
      <c r="DO17" s="58" t="n"/>
      <c r="DP17" s="58" t="n"/>
      <c r="DS17" s="55" t="n"/>
      <c r="DT17" s="55" t="n"/>
      <c r="DU17" s="55" t="n"/>
      <c r="DV17" s="55" t="n"/>
      <c r="DW17" s="55" t="n"/>
      <c r="DX17" s="55" t="n"/>
      <c r="DY17" s="55" t="n"/>
    </row>
    <row r="18" ht="3" customFormat="1" customHeight="1" s="217">
      <c r="B18" s="34" t="n"/>
      <c r="C18" s="56" t="n"/>
      <c r="D18" s="56" t="n"/>
      <c r="E18" s="215" t="n"/>
      <c r="F18" s="215" t="n"/>
      <c r="G18" s="215" t="n"/>
      <c r="H18" s="215" t="n"/>
      <c r="I18" s="215" t="n"/>
      <c r="J18" s="215" t="n"/>
      <c r="K18" s="215" t="n"/>
      <c r="L18" s="215" t="n"/>
      <c r="M18" s="215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3" t="n"/>
      <c r="W18" s="53" t="n"/>
      <c r="X18" s="53" t="n"/>
      <c r="Y18" s="53" t="n"/>
      <c r="Z18" s="53" t="n"/>
      <c r="AA18" s="53" t="n"/>
      <c r="AB18" s="60" t="n"/>
      <c r="AC18" s="40" t="n"/>
      <c r="AD18" s="61" t="n"/>
      <c r="AE18" s="215" t="n"/>
      <c r="AF18" s="215" t="n"/>
      <c r="AG18" s="215" t="n"/>
      <c r="AH18" s="215" t="n"/>
      <c r="AI18" s="215" t="n"/>
      <c r="AS18" s="215" t="n"/>
      <c r="AT18" s="215" t="n"/>
      <c r="AU18" s="215" t="n"/>
      <c r="AV18" s="62" t="n"/>
      <c r="AW18" s="62" t="n"/>
      <c r="AX18" s="62" t="n"/>
      <c r="AY18" s="62" t="n"/>
      <c r="AZ18" s="62" t="n"/>
      <c r="BA18" s="42" t="n"/>
      <c r="BF18" s="48" t="n"/>
      <c r="BG18" s="48" t="n"/>
      <c r="BH18" s="48" t="n"/>
      <c r="BI18" s="48" t="n"/>
      <c r="BJ18" s="48" t="n"/>
      <c r="BN18" s="48" t="n"/>
      <c r="BO18" s="48" t="n"/>
      <c r="BP18" s="48" t="n"/>
      <c r="BQ18" s="48" t="n"/>
      <c r="BR18" s="48" t="n"/>
      <c r="BT18" s="40" t="n"/>
      <c r="CL18" s="43" t="n"/>
      <c r="CQ18" s="31" t="n"/>
      <c r="DF18" s="2" t="n"/>
      <c r="DG18" s="2" t="n"/>
      <c r="DH18" s="2" t="n"/>
      <c r="DI18" s="2" t="n"/>
      <c r="DT18" s="2" t="n"/>
      <c r="DU18" s="2" t="n"/>
      <c r="DV18" s="2" t="n"/>
      <c r="DW18" s="2" t="n"/>
      <c r="DX18" s="2" t="n"/>
      <c r="DY18" s="2" t="n"/>
    </row>
    <row r="19" ht="12.6" customFormat="1" customHeight="1" s="215">
      <c r="A19" s="217" t="n"/>
      <c r="B19" s="63" t="n"/>
      <c r="C19" s="4" t="inlineStr">
        <is>
          <t>FECHA DE NOTIFICACION ACTA FINAL u OF. DE OBSERVACIONES</t>
        </is>
      </c>
      <c r="D19" s="56" t="n"/>
      <c r="E19" s="56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5" t="n"/>
      <c r="V19" s="202" t="n"/>
      <c r="W19" s="169" t="n"/>
      <c r="X19" s="169" t="n"/>
      <c r="Y19" s="169" t="n"/>
      <c r="Z19" s="169" t="n"/>
      <c r="AA19" s="170" t="n"/>
      <c r="AC19" s="66" t="n"/>
      <c r="AD19" s="45" t="inlineStr">
        <is>
          <t>MONTO DEL CREDITO DETERMINADO O ESTIMADO</t>
        </is>
      </c>
      <c r="AU19" s="59" t="inlineStr">
        <is>
          <t>$</t>
        </is>
      </c>
      <c r="AV19" s="238" t="n">
        <v>273805</v>
      </c>
      <c r="AW19" s="169" t="n"/>
      <c r="AX19" s="169" t="n"/>
      <c r="AY19" s="169" t="n"/>
      <c r="AZ19" s="170" t="n"/>
      <c r="BA19" s="67" t="n"/>
      <c r="BB19" s="217" t="n"/>
      <c r="BC19" s="68" t="inlineStr">
        <is>
          <t>FECHA G I F</t>
        </is>
      </c>
      <c r="BD19" s="217" t="n"/>
      <c r="BF19" s="202" t="n"/>
      <c r="BG19" s="169" t="n"/>
      <c r="BH19" s="169" t="n"/>
      <c r="BI19" s="169" t="n"/>
      <c r="BJ19" s="170" t="n"/>
      <c r="BK19" s="4" t="inlineStr">
        <is>
          <t>TIPO G I F</t>
        </is>
      </c>
      <c r="BN19" s="223" t="n"/>
      <c r="BO19" s="169" t="n"/>
      <c r="BP19" s="169" t="n"/>
      <c r="BQ19" s="169" t="n"/>
      <c r="BR19" s="170" t="n"/>
      <c r="BT19" s="66" t="n"/>
      <c r="CL19" s="69" t="n"/>
      <c r="CQ19" s="4" t="n"/>
      <c r="CR19" s="4" t="n"/>
      <c r="DE19" s="68" t="n"/>
      <c r="DF19" s="6" t="n"/>
      <c r="DG19" s="6" t="n"/>
      <c r="DH19" s="6" t="n"/>
      <c r="DI19" s="6" t="n"/>
      <c r="DL19" s="68" t="n"/>
      <c r="DM19" s="68" t="n"/>
      <c r="DN19" s="70" t="n"/>
      <c r="DO19" s="70" t="n"/>
      <c r="DP19" s="70" t="n"/>
      <c r="DS19" s="4" t="n"/>
      <c r="DT19" s="5" t="n"/>
      <c r="DU19" s="5" t="n"/>
      <c r="DV19" s="5" t="n"/>
      <c r="DW19" s="5" t="n"/>
      <c r="DX19" s="5" t="n"/>
      <c r="DY19" s="5" t="n"/>
    </row>
    <row r="20" ht="3" customFormat="1" customHeight="1" s="215">
      <c r="A20" s="217" t="n"/>
      <c r="B20" s="63" t="n"/>
      <c r="C20" s="56" t="n"/>
      <c r="D20" s="56" t="n"/>
      <c r="E20" s="56" t="n"/>
      <c r="V20" s="71" t="n"/>
      <c r="W20" s="71" t="n"/>
      <c r="X20" s="71" t="n"/>
      <c r="Y20" s="71" t="n"/>
      <c r="Z20" s="71" t="n"/>
      <c r="AA20" s="71" t="n"/>
      <c r="AB20" s="71" t="n"/>
      <c r="AC20" s="66" t="n"/>
      <c r="AD20" s="61" t="n"/>
      <c r="BA20" s="66" t="n"/>
      <c r="BB20" s="217" t="n"/>
      <c r="BD20" s="217" t="n"/>
      <c r="BT20" s="66" t="n"/>
      <c r="CL20" s="69" t="n"/>
      <c r="DD20" s="217" t="n"/>
      <c r="DE20" s="2" t="n"/>
      <c r="DF20" s="72" t="n"/>
      <c r="DG20" s="72" t="n"/>
      <c r="DH20" s="72" t="n"/>
      <c r="DI20" s="72" t="n"/>
      <c r="DK20" s="217" t="n"/>
      <c r="DL20" s="217" t="n"/>
      <c r="DM20" s="217" t="n"/>
      <c r="DN20" s="217" t="n"/>
      <c r="DO20" s="217" t="n"/>
      <c r="DP20" s="217" t="n"/>
      <c r="DQ20" s="217" t="n"/>
      <c r="DR20" s="217" t="n"/>
      <c r="DS20" s="217" t="n"/>
      <c r="DT20" s="6" t="n"/>
      <c r="DU20" s="6" t="n"/>
      <c r="DV20" s="6" t="n"/>
      <c r="DW20" s="6" t="n"/>
      <c r="DX20" s="6" t="n"/>
      <c r="DY20" s="6" t="n"/>
    </row>
    <row r="21" ht="12.75" customFormat="1" customHeight="1" s="215" thickBot="1">
      <c r="A21" s="217" t="n"/>
      <c r="B21" s="63" t="n"/>
      <c r="C21" s="4" t="inlineStr">
        <is>
          <t xml:space="preserve">PRIMER FOLIO </t>
        </is>
      </c>
      <c r="D21" s="73" t="n"/>
      <c r="E21" s="56" t="n"/>
      <c r="H21" s="73" t="n"/>
      <c r="I21" s="243" t="n"/>
      <c r="J21" s="169" t="n"/>
      <c r="K21" s="170" t="n"/>
      <c r="L21" s="4" t="n"/>
      <c r="M21" s="4" t="inlineStr">
        <is>
          <t>No. OFICIO DE TERMINACION</t>
        </is>
      </c>
      <c r="Q21" s="7" t="n"/>
      <c r="R21" s="7" t="n"/>
      <c r="S21" s="4" t="n"/>
      <c r="T21" s="4" t="n"/>
      <c r="U21" s="4" t="n"/>
      <c r="V21" s="257" t="n"/>
      <c r="W21" s="257" t="n"/>
      <c r="X21" s="257" t="n"/>
      <c r="Y21" s="257" t="n"/>
      <c r="Z21" s="75" t="n"/>
      <c r="AA21" s="75" t="n"/>
      <c r="AC21" s="66" t="n"/>
      <c r="AD21" s="76" t="inlineStr">
        <is>
          <t>TIPO DE CONTRIBUYENTE :</t>
        </is>
      </c>
      <c r="AM21" s="4" t="inlineStr">
        <is>
          <t>DICTAMINADO</t>
        </is>
      </c>
      <c r="AN21" s="4" t="n"/>
      <c r="AO21" s="4" t="n"/>
      <c r="AQ21" s="185" t="n"/>
      <c r="AR21" s="169" t="n"/>
      <c r="AS21" s="170" t="n"/>
      <c r="AU21" s="4" t="inlineStr">
        <is>
          <t>OTROS</t>
        </is>
      </c>
      <c r="AX21" s="185" t="n"/>
      <c r="AY21" s="169" t="n"/>
      <c r="AZ21" s="170" t="n"/>
      <c r="BA21" s="66" t="n"/>
      <c r="BB21" s="77" t="n"/>
      <c r="BC21" s="78" t="n"/>
      <c r="BD21" s="77" t="n"/>
      <c r="BE21" s="79" t="n"/>
      <c r="BF21" s="79" t="n"/>
      <c r="BG21" s="79" t="n"/>
      <c r="BH21" s="79" t="n"/>
      <c r="BI21" s="79" t="n"/>
      <c r="BJ21" s="79" t="n"/>
      <c r="BK21" s="79" t="n"/>
      <c r="BL21" s="79" t="n"/>
      <c r="BM21" s="79" t="n"/>
      <c r="BN21" s="79" t="n"/>
      <c r="BO21" s="79" t="n"/>
      <c r="BP21" s="79" t="n"/>
      <c r="BQ21" s="79" t="n"/>
      <c r="BR21" s="79" t="n"/>
      <c r="BS21" s="79" t="n"/>
      <c r="BT21" s="66" t="n"/>
      <c r="BV21" s="4" t="inlineStr">
        <is>
          <t>FECHA NOTIFICACION DE CREDITO</t>
        </is>
      </c>
      <c r="CE21" s="268" t="n"/>
      <c r="CF21" s="169" t="n"/>
      <c r="CG21" s="169" t="n"/>
      <c r="CH21" s="169" t="n"/>
      <c r="CI21" s="170" t="n"/>
      <c r="CL21" s="69" t="n"/>
      <c r="CR21" s="44" t="n"/>
      <c r="CS21" s="44" t="n"/>
      <c r="CT21" s="44" t="n"/>
      <c r="CU21" s="44" t="n"/>
      <c r="CV21" s="44" t="n"/>
      <c r="CW21" s="44" t="n"/>
      <c r="CX21" s="44" t="n"/>
      <c r="CY21" s="44" t="n"/>
      <c r="CZ21" s="44" t="n"/>
      <c r="DA21" s="44" t="n"/>
      <c r="DB21" s="44" t="n"/>
      <c r="DC21" s="44" t="n"/>
      <c r="DD21" s="50" t="n"/>
      <c r="DF21" s="4" t="n"/>
      <c r="DG21" s="6" t="n"/>
      <c r="DH21" s="6" t="n"/>
      <c r="DI21" s="50" t="n"/>
      <c r="DK21" s="59" t="n"/>
      <c r="DL21" s="59" t="n"/>
      <c r="DS21" s="80" t="n"/>
      <c r="DT21" s="80" t="n"/>
      <c r="DU21" s="80" t="n"/>
      <c r="DV21" s="80" t="n"/>
      <c r="DW21" s="80" t="n"/>
      <c r="DX21" s="80" t="n"/>
      <c r="DY21" s="80" t="n"/>
    </row>
    <row r="22" ht="3" customFormat="1" customHeight="1" s="215">
      <c r="A22" s="217" t="n"/>
      <c r="B22" s="63" t="n"/>
      <c r="C22" s="81" t="n"/>
      <c r="D22" s="81" t="n"/>
      <c r="E22" s="56" t="n"/>
      <c r="H22" s="81" t="n"/>
      <c r="I22" s="82" t="n"/>
      <c r="J22" s="82" t="n"/>
      <c r="K22" s="82" t="n"/>
      <c r="L22" s="81" t="n"/>
      <c r="Q22" s="7" t="n"/>
      <c r="R22" s="7" t="n"/>
      <c r="V22" s="47" t="n"/>
      <c r="W22" s="47" t="n"/>
      <c r="X22" s="47" t="n"/>
      <c r="Y22" s="47" t="n"/>
      <c r="Z22" s="75" t="n"/>
      <c r="AA22" s="75" t="n"/>
      <c r="AC22" s="66" t="n"/>
      <c r="AD22" s="83" t="n"/>
      <c r="AE22" s="31" t="n"/>
      <c r="AF22" s="31" t="n"/>
      <c r="AG22" s="31" t="n"/>
      <c r="AH22" s="31" t="n"/>
      <c r="AI22" s="31" t="n"/>
      <c r="AJ22" s="31" t="n"/>
      <c r="AK22" s="31" t="n"/>
      <c r="AL22" s="31" t="n"/>
      <c r="AM22" s="31" t="n"/>
      <c r="AN22" s="31" t="n"/>
      <c r="AO22" s="31" t="n"/>
      <c r="AP22" s="31" t="n"/>
      <c r="AQ22" s="31" t="n"/>
      <c r="AR22" s="31" t="n"/>
      <c r="AS22" s="31" t="n"/>
      <c r="AT22" s="31" t="n"/>
      <c r="AU22" s="31" t="n"/>
      <c r="AV22" s="31" t="n"/>
      <c r="AW22" s="31" t="n"/>
      <c r="AX22" s="49" t="n"/>
      <c r="AY22" s="49" t="n"/>
      <c r="AZ22" s="49" t="n"/>
      <c r="BA22" s="66" t="n"/>
      <c r="BB22" s="217" t="n"/>
      <c r="BD22" s="217" t="n"/>
      <c r="BT22" s="66" t="n"/>
      <c r="CE22" s="84" t="n"/>
      <c r="CF22" s="84" t="n"/>
      <c r="CG22" s="84" t="n"/>
      <c r="CH22" s="84" t="n"/>
      <c r="CI22" s="84" t="n"/>
      <c r="CL22" s="69" t="n"/>
      <c r="CR22" s="44" t="n"/>
      <c r="CS22" s="44" t="n"/>
      <c r="CT22" s="44" t="n"/>
      <c r="CU22" s="44" t="n"/>
      <c r="CV22" s="44" t="n"/>
      <c r="CW22" s="44" t="n"/>
      <c r="CX22" s="44" t="n"/>
      <c r="CY22" s="44" t="n"/>
      <c r="CZ22" s="44" t="n"/>
      <c r="DA22" s="44" t="n"/>
      <c r="DB22" s="44" t="n"/>
      <c r="DC22" s="44" t="n"/>
      <c r="DG22" s="2" t="n"/>
      <c r="DH22" s="2" t="n"/>
      <c r="DI22" s="2" t="n"/>
    </row>
    <row r="23" ht="12.6" customFormat="1" customHeight="1" s="215">
      <c r="A23" s="217" t="n"/>
      <c r="B23" s="85" t="n"/>
      <c r="C23" s="4" t="inlineStr">
        <is>
          <t xml:space="preserve">FOLIO (AUTO / RESUMEN) </t>
        </is>
      </c>
      <c r="E23" s="56" t="n"/>
      <c r="I23" s="243" t="n"/>
      <c r="J23" s="169" t="n"/>
      <c r="K23" s="170" t="n"/>
      <c r="M23" s="278" t="inlineStr">
        <is>
          <t>SET-400-</t>
        </is>
      </c>
      <c r="N23" s="174" t="n"/>
      <c r="O23" s="174" t="n"/>
      <c r="P23" s="175" t="n"/>
      <c r="Q23" s="288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  <c r="AA23" s="170" t="n"/>
      <c r="AC23" s="66" t="n"/>
      <c r="AD23" s="66" t="n"/>
      <c r="AE23" s="66" t="n"/>
      <c r="AF23" s="66" t="n"/>
      <c r="AG23" s="66" t="n"/>
      <c r="AH23" s="66" t="n"/>
      <c r="AI23" s="247" t="inlineStr">
        <is>
          <t>SI PAGA EL DIA DE CITATORIO O NOTIFICACION</t>
        </is>
      </c>
      <c r="BA23" s="67" t="n"/>
      <c r="BB23" s="217" t="n"/>
      <c r="BC23" s="47" t="inlineStr">
        <is>
          <t>ESTIMULO FISCAL</t>
        </is>
      </c>
      <c r="BD23" s="217" t="n"/>
      <c r="BT23" s="66" t="n"/>
      <c r="BV23" s="4" t="inlineStr">
        <is>
          <t>OFICIO ENVIO CREDITO A EJECUCION</t>
        </is>
      </c>
      <c r="CL23" s="69" t="n"/>
      <c r="CQ23" s="4" t="n"/>
      <c r="CR23" s="44" t="n"/>
      <c r="CS23" s="44" t="n"/>
      <c r="CT23" s="44" t="n"/>
      <c r="CU23" s="44" t="n"/>
      <c r="CV23" s="44" t="n"/>
      <c r="CW23" s="44" t="n"/>
      <c r="CX23" s="44" t="n"/>
      <c r="CY23" s="44" t="n"/>
      <c r="CZ23" s="44" t="n"/>
      <c r="DA23" s="44" t="n"/>
      <c r="DB23" s="44" t="n"/>
      <c r="DC23" s="44" t="n"/>
      <c r="DD23" s="50" t="n"/>
      <c r="DF23" s="4" t="n"/>
      <c r="DG23" s="6" t="n"/>
      <c r="DH23" s="6" t="n"/>
      <c r="DI23" s="50" t="n"/>
      <c r="DK23" s="59" t="n"/>
      <c r="DL23" s="59" t="n"/>
    </row>
    <row r="24" ht="3" customFormat="1" customHeight="1" s="215">
      <c r="A24" s="217" t="n"/>
      <c r="B24" s="63" t="n"/>
      <c r="C24" s="81" t="n"/>
      <c r="D24" s="81" t="n"/>
      <c r="E24" s="56" t="n"/>
      <c r="H24" s="81" t="n"/>
      <c r="I24" s="82" t="n"/>
      <c r="J24" s="82" t="n"/>
      <c r="K24" s="82" t="n"/>
      <c r="L24" s="81" t="n"/>
      <c r="Q24" s="7" t="n"/>
      <c r="R24" s="7" t="n"/>
      <c r="V24" s="47" t="n"/>
      <c r="W24" s="47" t="n"/>
      <c r="X24" s="47" t="n"/>
      <c r="Y24" s="47" t="n"/>
      <c r="Z24" s="75" t="n"/>
      <c r="AA24" s="75" t="n"/>
      <c r="AE24" s="31" t="n"/>
      <c r="AF24" s="31" t="n"/>
      <c r="AG24" s="31" t="n"/>
      <c r="AH24" s="66" t="n"/>
      <c r="AI24" s="31" t="n"/>
      <c r="AJ24" s="31" t="n"/>
      <c r="AK24" s="31" t="n"/>
      <c r="AL24" s="31" t="n"/>
      <c r="AM24" s="31" t="n"/>
      <c r="AN24" s="31" t="n"/>
      <c r="AO24" s="31" t="n"/>
      <c r="AP24" s="31" t="n"/>
      <c r="AQ24" s="31" t="n"/>
      <c r="AR24" s="31" t="n"/>
      <c r="AS24" s="31" t="n"/>
      <c r="AT24" s="31" t="n"/>
      <c r="AU24" s="31" t="n"/>
      <c r="AV24" s="31" t="n"/>
      <c r="AW24" s="31" t="n"/>
      <c r="AX24" s="49" t="n"/>
      <c r="AY24" s="49" t="n"/>
      <c r="AZ24" s="49" t="n"/>
      <c r="BA24" s="66" t="n"/>
      <c r="BB24" s="217" t="n"/>
      <c r="BD24" s="217" t="n"/>
      <c r="BT24" s="66" t="n"/>
      <c r="CE24" s="84" t="n"/>
      <c r="CF24" s="84" t="n"/>
      <c r="CG24" s="84" t="n"/>
      <c r="CH24" s="84" t="n"/>
      <c r="CI24" s="84" t="n"/>
      <c r="CL24" s="69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E24" s="4" t="n"/>
      <c r="DF24" s="4" t="n"/>
      <c r="DG24" s="4" t="n"/>
      <c r="DH24" s="4" t="n"/>
      <c r="DI24" s="4" t="n"/>
      <c r="DP24" s="4" t="n"/>
      <c r="DS24" s="217" t="n"/>
      <c r="DT24" s="4" t="n"/>
      <c r="DU24" s="4" t="n"/>
      <c r="DV24" s="4" t="n"/>
      <c r="DW24" s="4" t="n"/>
      <c r="DX24" s="4" t="n"/>
      <c r="DY24" s="4" t="n"/>
    </row>
    <row r="25" ht="12.6" customFormat="1" customHeight="1" s="215">
      <c r="A25" s="217" t="n"/>
      <c r="B25" s="63" t="n"/>
      <c r="C25" s="4" t="inlineStr">
        <is>
          <t>ULTIMO FOLIO (FIRMAS)</t>
        </is>
      </c>
      <c r="D25" s="4" t="n"/>
      <c r="E25" s="56" t="n"/>
      <c r="H25" s="4" t="n"/>
      <c r="I25" s="243" t="n"/>
      <c r="J25" s="169" t="n"/>
      <c r="K25" s="170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171" t="n"/>
      <c r="X25" s="172" t="n"/>
      <c r="Y25" s="172" t="n"/>
      <c r="Z25" s="172" t="n"/>
      <c r="AA25" s="172" t="n"/>
      <c r="AH25" s="66" t="n"/>
      <c r="AI25" s="47" t="n"/>
      <c r="AO25" s="257" t="inlineStr">
        <is>
          <t>FECHA Y HORA DE</t>
        </is>
      </c>
      <c r="AZ25" s="46" t="n"/>
      <c r="BA25" s="67" t="n"/>
      <c r="BB25" s="217" t="n"/>
      <c r="BC25" s="261" t="n"/>
      <c r="BD25" s="169" t="n"/>
      <c r="BE25" s="169" t="n"/>
      <c r="BF25" s="169" t="n"/>
      <c r="BG25" s="169" t="n"/>
      <c r="BH25" s="169" t="n"/>
      <c r="BI25" s="169" t="n"/>
      <c r="BJ25" s="169" t="n"/>
      <c r="BK25" s="169" t="n"/>
      <c r="BL25" s="169" t="n"/>
      <c r="BM25" s="169" t="n"/>
      <c r="BN25" s="169" t="n"/>
      <c r="BO25" s="169" t="n"/>
      <c r="BP25" s="169" t="n"/>
      <c r="BQ25" s="169" t="n"/>
      <c r="BR25" s="170" t="n"/>
      <c r="BT25" s="66" t="n"/>
      <c r="BV25" s="225" t="inlineStr">
        <is>
          <t>SET-400-</t>
        </is>
      </c>
      <c r="BW25" s="174" t="n"/>
      <c r="BX25" s="175" t="n"/>
      <c r="BY25" s="253" t="n"/>
      <c r="BZ25" s="169" t="n"/>
      <c r="CA25" s="169" t="n"/>
      <c r="CB25" s="169" t="n"/>
      <c r="CC25" s="169" t="n"/>
      <c r="CD25" s="169" t="n"/>
      <c r="CE25" s="169" t="n"/>
      <c r="CF25" s="169" t="n"/>
      <c r="CG25" s="169" t="n"/>
      <c r="CH25" s="169" t="n"/>
      <c r="CI25" s="170" t="n"/>
      <c r="CL25" s="69" t="n"/>
      <c r="CQ25" s="47" t="n"/>
      <c r="CR25" s="47" t="n"/>
      <c r="CS25" s="47" t="n"/>
      <c r="CT25" s="47" t="n"/>
      <c r="CU25" s="47" t="n"/>
      <c r="CV25" s="47" t="n"/>
      <c r="CW25" s="47" t="n"/>
      <c r="CX25" s="47" t="n"/>
      <c r="CY25" s="47" t="n"/>
      <c r="CZ25" s="47" t="n"/>
      <c r="DA25" s="47" t="n"/>
      <c r="DB25" s="47" t="n"/>
      <c r="DC25" s="47" t="n"/>
      <c r="DD25" s="47" t="n"/>
      <c r="DE25" s="47" t="n"/>
      <c r="DF25" s="47" t="n"/>
      <c r="DG25" s="47" t="n"/>
      <c r="DH25" s="47" t="n"/>
      <c r="DI25" s="47" t="n"/>
      <c r="DJ25" s="47" t="n"/>
      <c r="DK25" s="47" t="n"/>
      <c r="DL25" s="47" t="n"/>
      <c r="DM25" s="47" t="n"/>
      <c r="DN25" s="47" t="n"/>
      <c r="DO25" s="47" t="n"/>
      <c r="DP25" s="47" t="n"/>
      <c r="DQ25" s="47" t="n"/>
      <c r="DR25" s="47" t="n"/>
      <c r="DS25" s="47" t="n"/>
      <c r="DT25" s="47" t="n"/>
      <c r="DU25" s="47" t="n"/>
      <c r="DV25" s="47" t="n"/>
      <c r="DW25" s="47" t="n"/>
      <c r="DX25" s="47" t="n"/>
      <c r="DY25" s="47" t="n"/>
      <c r="DZ25" s="47" t="n"/>
    </row>
    <row r="26" ht="3" customFormat="1" customHeight="1" s="215">
      <c r="A26" s="217" t="n"/>
      <c r="B26" s="63" t="n"/>
      <c r="C26" s="56" t="n"/>
      <c r="D26" s="56" t="n"/>
      <c r="E26" s="86" t="n"/>
      <c r="Q26" s="7" t="n"/>
      <c r="R26" s="7" t="n"/>
      <c r="AH26" s="66" t="n"/>
      <c r="AJ26" s="20" t="n"/>
      <c r="AK26" s="20" t="n"/>
      <c r="AL26" s="20" t="n"/>
      <c r="AX26" s="4" t="n"/>
      <c r="AY26" s="4" t="n"/>
      <c r="BA26" s="66" t="n"/>
      <c r="BB26" s="217" t="n"/>
      <c r="BD26" s="217" t="n"/>
      <c r="BT26" s="66" t="n"/>
      <c r="CL26" s="69" t="n"/>
    </row>
    <row r="27" ht="12.75" customFormat="1" customHeight="1" s="215">
      <c r="A27" s="217" t="n"/>
      <c r="B27" s="279" t="inlineStr">
        <is>
          <t>CLASIFICACION Y DESGLOSE DE CIFRAS</t>
        </is>
      </c>
      <c r="AH27" s="66" t="n"/>
      <c r="AJ27" s="44" t="inlineStr">
        <is>
          <t>CITATORIO</t>
        </is>
      </c>
      <c r="AO27" s="202" t="n"/>
      <c r="AP27" s="169" t="n"/>
      <c r="AQ27" s="169" t="n"/>
      <c r="AR27" s="169" t="n"/>
      <c r="AS27" s="169" t="n"/>
      <c r="AT27" s="170" t="n"/>
      <c r="AV27" s="190" t="n"/>
      <c r="AW27" s="169" t="n"/>
      <c r="AX27" s="169" t="n"/>
      <c r="AY27" s="170" t="n"/>
      <c r="AZ27" s="46" t="n"/>
      <c r="BA27" s="67" t="n"/>
      <c r="BB27" s="217" t="n"/>
      <c r="BC27" s="4" t="inlineStr">
        <is>
          <t>IMPUESTO AL QUE APLICA</t>
        </is>
      </c>
      <c r="BD27" s="217" t="n"/>
      <c r="BI27" s="185" t="n"/>
      <c r="BJ27" s="170" t="n"/>
      <c r="BL27" s="4" t="inlineStr">
        <is>
          <t>TOTAL</t>
        </is>
      </c>
      <c r="BN27" s="243" t="n"/>
      <c r="BO27" s="169" t="n"/>
      <c r="BP27" s="169" t="n"/>
      <c r="BQ27" s="169" t="n"/>
      <c r="BR27" s="170" t="n"/>
      <c r="BT27" s="66" t="n"/>
      <c r="BV27" s="4" t="inlineStr">
        <is>
          <t xml:space="preserve">FECHA RECEPCION EJECUCION </t>
        </is>
      </c>
      <c r="CE27" s="202" t="n"/>
      <c r="CF27" s="169" t="n"/>
      <c r="CG27" s="169" t="n"/>
      <c r="CH27" s="169" t="n"/>
      <c r="CI27" s="170" t="n"/>
      <c r="CL27" s="69" t="n"/>
      <c r="CR27" s="4" t="n"/>
      <c r="DD27" s="87" t="n"/>
      <c r="DE27" s="87" t="n"/>
      <c r="DF27" s="87" t="n"/>
      <c r="DG27" s="87" t="n"/>
      <c r="DH27" s="87" t="n"/>
      <c r="DI27" s="87" t="n"/>
      <c r="DJ27" s="87" t="n"/>
      <c r="DK27" s="87" t="n"/>
      <c r="DL27" s="87" t="n"/>
      <c r="DM27" s="87" t="n"/>
      <c r="DN27" s="87" t="n"/>
      <c r="DU27" s="88" t="n"/>
      <c r="DV27" s="88" t="n"/>
      <c r="DW27" s="88" t="n"/>
      <c r="DX27" s="88" t="n"/>
      <c r="DY27" s="88" t="n"/>
      <c r="DZ27" s="88" t="n"/>
    </row>
    <row r="28" ht="3" customFormat="1" customHeight="1" s="215">
      <c r="A28" s="217" t="n"/>
      <c r="B28" s="63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7" t="n"/>
      <c r="R28" s="7" t="n"/>
      <c r="S28" s="18" t="n"/>
      <c r="T28" s="18" t="n"/>
      <c r="V28" s="89" t="n"/>
      <c r="W28" s="89" t="n"/>
      <c r="X28" s="89" t="n"/>
      <c r="Y28" s="89" t="n"/>
      <c r="Z28" s="89" t="n"/>
      <c r="AA28" s="89" t="n"/>
      <c r="AB28" s="89" t="n"/>
      <c r="AC28" s="89" t="n"/>
      <c r="AD28" s="89" t="n"/>
      <c r="AE28" s="89" t="n"/>
      <c r="AF28" s="89" t="n"/>
      <c r="AG28" s="89" t="n"/>
      <c r="AH28" s="66" t="n"/>
      <c r="AJ28" s="59" t="n"/>
      <c r="AK28" s="59" t="n"/>
      <c r="AL28" s="59" t="n"/>
      <c r="AM28" s="20" t="n"/>
      <c r="AN28" s="20" t="n"/>
      <c r="AO28" s="84" t="n"/>
      <c r="AP28" s="90" t="n"/>
      <c r="AQ28" s="84" t="n"/>
      <c r="AR28" s="90" t="n"/>
      <c r="AS28" s="84" t="n"/>
      <c r="AT28" s="84" t="n"/>
      <c r="AU28" s="91" t="n"/>
      <c r="AV28" s="6" t="n"/>
      <c r="AW28" s="6" t="n"/>
      <c r="AX28" s="6" t="n"/>
      <c r="AY28" s="90" t="n"/>
      <c r="AZ28" s="18" t="n"/>
      <c r="BA28" s="92" t="n"/>
      <c r="BB28" s="217" t="n"/>
      <c r="BD28" s="217" t="n"/>
      <c r="BT28" s="66" t="n"/>
      <c r="CL28" s="69" t="n"/>
      <c r="CQ28" s="18" t="n"/>
      <c r="DK28" s="93" t="n"/>
      <c r="DL28" s="87" t="n"/>
      <c r="DM28" s="84" t="n"/>
      <c r="DN28" s="84" t="n"/>
      <c r="DO28" s="84" t="n"/>
      <c r="DP28" s="84" t="n"/>
      <c r="DQ28" s="84" t="n"/>
      <c r="DR28" s="84" t="n"/>
      <c r="DS28" s="84" t="n"/>
      <c r="DT28" s="84" t="n"/>
      <c r="DU28" s="84" t="n"/>
    </row>
    <row r="29" ht="12.6" customFormat="1" customHeight="1" s="215">
      <c r="A29" s="217" t="n"/>
      <c r="B29" s="63" t="n"/>
      <c r="C29" s="94" t="inlineStr">
        <is>
          <t>IMPTO(S) REVISADO(S)</t>
        </is>
      </c>
      <c r="D29" s="4" t="n"/>
      <c r="E29" s="4" t="n"/>
      <c r="F29" s="4" t="n"/>
      <c r="G29" s="4" t="n"/>
      <c r="H29" s="4" t="n"/>
      <c r="I29" s="4" t="n"/>
      <c r="J29" s="4" t="n"/>
      <c r="K29" s="185" t="inlineStr">
        <is>
          <t>ISR, IVA, ISR RET, IVA RET</t>
        </is>
      </c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70" t="n"/>
      <c r="AC29" s="264" t="inlineStr">
        <is>
          <t>COMPENSACION SALDO A FAVOR</t>
        </is>
      </c>
      <c r="AH29" s="66" t="n"/>
      <c r="AK29" s="44" t="inlineStr">
        <is>
          <t>PAGO</t>
        </is>
      </c>
      <c r="AL29" s="44" t="n"/>
      <c r="AO29" s="202" t="n"/>
      <c r="AP29" s="169" t="n"/>
      <c r="AQ29" s="169" t="n"/>
      <c r="AR29" s="169" t="n"/>
      <c r="AS29" s="169" t="n"/>
      <c r="AT29" s="170" t="n"/>
      <c r="AV29" s="190" t="n"/>
      <c r="AW29" s="169" t="n"/>
      <c r="AX29" s="169" t="n"/>
      <c r="AY29" s="170" t="n"/>
      <c r="AZ29" s="46" t="n"/>
      <c r="BA29" s="67" t="n"/>
      <c r="BB29" s="217" t="n"/>
      <c r="BC29" s="47" t="inlineStr">
        <is>
          <t>CUMPLIMENTACION</t>
        </is>
      </c>
      <c r="BD29" s="217" t="n"/>
      <c r="BT29" s="66" t="n"/>
      <c r="BV29" s="4" t="inlineStr">
        <is>
          <t>¿ REALIZO EMBARGOS ?</t>
        </is>
      </c>
      <c r="CH29" s="185" t="n"/>
      <c r="CI29" s="170" t="n"/>
      <c r="CL29" s="69" t="n"/>
      <c r="CQ29" s="4" t="n"/>
      <c r="CR29" s="95" t="n"/>
      <c r="DD29" s="95" t="n"/>
      <c r="DE29" s="95" t="n"/>
      <c r="DF29" s="95" t="n"/>
      <c r="DG29" s="96" t="n"/>
      <c r="DH29" s="57" t="n"/>
      <c r="DI29" s="57" t="n"/>
      <c r="DJ29" s="57" t="n"/>
      <c r="DK29" s="57" t="n"/>
      <c r="DL29" s="87" t="n"/>
      <c r="DM29" s="87" t="n"/>
      <c r="DN29" s="87" t="n"/>
      <c r="DO29" s="87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</row>
    <row r="30" ht="3" customFormat="1" customHeight="1" s="215">
      <c r="A30" s="217" t="n"/>
      <c r="B30" s="63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S30" s="4" t="n"/>
      <c r="T30" s="4" t="n"/>
      <c r="U30" s="89" t="n"/>
      <c r="V30" s="89" t="n"/>
      <c r="W30" s="89" t="n"/>
      <c r="X30" s="89" t="n"/>
      <c r="Y30" s="89" t="n"/>
      <c r="Z30" s="89" t="n"/>
      <c r="AA30" s="89" t="n"/>
      <c r="AB30" s="89" t="n"/>
      <c r="AH30" s="66" t="n"/>
      <c r="AJ30" s="59" t="n"/>
      <c r="AK30" s="59" t="n"/>
      <c r="AL30" s="59" t="n"/>
      <c r="AM30" s="59" t="n"/>
      <c r="AN30" s="59" t="n"/>
      <c r="AO30" s="84" t="n"/>
      <c r="AP30" s="93" t="n"/>
      <c r="AQ30" s="93" t="n"/>
      <c r="AR30" s="93" t="n"/>
      <c r="AS30" s="84" t="n"/>
      <c r="AT30" s="93" t="n"/>
      <c r="AU30" s="97" t="n"/>
      <c r="AV30" s="6" t="n"/>
      <c r="AW30" s="6" t="n"/>
      <c r="AX30" s="6" t="n"/>
      <c r="AY30" s="87" t="n"/>
      <c r="AZ30" s="7" t="n"/>
      <c r="BA30" s="98" t="n"/>
      <c r="BB30" s="217" t="n"/>
      <c r="BD30" s="217" t="n"/>
      <c r="BT30" s="66" t="n"/>
      <c r="CH30" s="84" t="n"/>
      <c r="CI30" s="84" t="n"/>
      <c r="CL30" s="69" t="n"/>
      <c r="CQ30" s="7" t="n"/>
      <c r="DE30" s="47" t="n"/>
      <c r="DK30" s="93" t="n"/>
      <c r="DL30" s="87" t="n"/>
      <c r="DM30" s="84" t="n"/>
      <c r="DN30" s="84" t="n"/>
      <c r="DO30" s="84" t="n"/>
      <c r="DP30" s="84" t="n"/>
      <c r="DQ30" s="84" t="n"/>
      <c r="DR30" s="84" t="n"/>
      <c r="DS30" s="84" t="n"/>
      <c r="DT30" s="84" t="n"/>
      <c r="DU30" s="84" t="n"/>
    </row>
    <row r="31" ht="12.6" customFormat="1" customHeight="1" s="215">
      <c r="A31" s="217" t="n"/>
      <c r="B31" s="63" t="n"/>
      <c r="C31" s="44" t="inlineStr">
        <is>
          <t>PERIODO O EJERCICIO REVISADO, INICIAL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262" t="inlineStr">
        <is>
          <t>01-06-26</t>
        </is>
      </c>
      <c r="O31" s="169" t="n"/>
      <c r="P31" s="169" t="n"/>
      <c r="Q31" s="169" t="n"/>
      <c r="R31" s="170" t="n"/>
      <c r="S31" s="4" t="n"/>
      <c r="T31" s="44" t="n"/>
      <c r="U31" s="99" t="n"/>
      <c r="V31" s="265" t="inlineStr">
        <is>
          <t>30-06-26</t>
        </is>
      </c>
      <c r="W31" s="169" t="n"/>
      <c r="X31" s="169" t="n"/>
      <c r="Y31" s="169" t="n"/>
      <c r="Z31" s="169" t="n"/>
      <c r="AA31" s="170" t="n"/>
      <c r="AH31" s="66" t="n"/>
      <c r="AJ31" s="44" t="inlineStr">
        <is>
          <t>NOTIFICACION</t>
        </is>
      </c>
      <c r="AO31" s="202" t="n">
        <v>46234</v>
      </c>
      <c r="AP31" s="169" t="n"/>
      <c r="AQ31" s="169" t="n"/>
      <c r="AR31" s="169" t="n"/>
      <c r="AS31" s="169" t="n"/>
      <c r="AT31" s="170" t="n"/>
      <c r="AV31" s="190" t="inlineStr">
        <is>
          <t>10:30 HRS</t>
        </is>
      </c>
      <c r="AW31" s="169" t="n"/>
      <c r="AX31" s="169" t="n"/>
      <c r="AY31" s="170" t="n"/>
      <c r="AZ31" s="46" t="n"/>
      <c r="BA31" s="67" t="n"/>
      <c r="BB31" s="217" t="n"/>
      <c r="BC31" s="4" t="inlineStr">
        <is>
          <t>OFICIO RESOLUCION IMPUGNADO</t>
        </is>
      </c>
      <c r="BD31" s="217" t="n"/>
      <c r="BK31" s="185" t="n"/>
      <c r="BL31" s="169" t="n"/>
      <c r="BM31" s="169" t="n"/>
      <c r="BN31" s="169" t="n"/>
      <c r="BO31" s="169" t="n"/>
      <c r="BP31" s="169" t="n"/>
      <c r="BQ31" s="169" t="n"/>
      <c r="BR31" s="170" t="n"/>
      <c r="BT31" s="66" t="n"/>
      <c r="BV31" s="4" t="inlineStr">
        <is>
          <t>¿ CASOS DE IMPUGNACION ?</t>
        </is>
      </c>
      <c r="CH31" s="185" t="n"/>
      <c r="CI31" s="170" t="n"/>
      <c r="CL31" s="69" t="n"/>
      <c r="CQ31" s="4" t="n"/>
      <c r="CR31" s="4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44" t="n"/>
      <c r="DE31" s="44" t="n"/>
      <c r="DF31" s="44" t="n"/>
      <c r="DG31" s="44" t="n"/>
      <c r="DH31" s="44" t="n"/>
      <c r="DI31" s="44" t="n"/>
      <c r="DJ31" s="44" t="n"/>
      <c r="DK31" s="44" t="n"/>
      <c r="DL31" s="87" t="n"/>
      <c r="DM31" s="87" t="n"/>
      <c r="DP31" s="44" t="n"/>
      <c r="DQ31" s="44" t="n"/>
      <c r="DR31" s="44" t="n"/>
      <c r="DS31" s="44" t="n"/>
      <c r="DT31" s="44" t="n"/>
      <c r="DU31" s="44" t="n"/>
      <c r="DV31" s="44" t="n"/>
      <c r="DW31" s="44" t="n"/>
      <c r="DX31" s="44" t="n"/>
      <c r="DY31" s="44" t="n"/>
      <c r="DZ31" s="44" t="n"/>
    </row>
    <row r="32" ht="3" customFormat="1" customHeight="1" s="215">
      <c r="A32" s="217" t="n"/>
      <c r="B32" s="6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S32" s="4" t="n"/>
      <c r="T32" s="4" t="n"/>
      <c r="U32" s="89" t="n"/>
      <c r="V32" s="100" t="n"/>
      <c r="W32" s="100" t="n"/>
      <c r="X32" s="100" t="n"/>
      <c r="Y32" s="100" t="n"/>
      <c r="Z32" s="100" t="n"/>
      <c r="AA32" s="100" t="n"/>
      <c r="AB32" s="89" t="n"/>
      <c r="AC32" s="89" t="n"/>
      <c r="AD32" s="89" t="n"/>
      <c r="AE32" s="89" t="n"/>
      <c r="AF32" s="89" t="n"/>
      <c r="AG32" s="89" t="n"/>
      <c r="AH32" s="66" t="n"/>
      <c r="AI32" s="59" t="n"/>
      <c r="AM32" s="59" t="n"/>
      <c r="AN32" s="59" t="n"/>
      <c r="AO32" s="93" t="n"/>
      <c r="AP32" s="93" t="n"/>
      <c r="AQ32" s="93" t="n"/>
      <c r="AR32" s="93" t="n"/>
      <c r="AS32" s="93" t="n"/>
      <c r="AT32" s="93" t="n"/>
      <c r="AU32" s="97" t="n"/>
      <c r="AV32" s="2" t="n"/>
      <c r="AW32" s="2" t="n"/>
      <c r="AX32" s="6" t="n"/>
      <c r="AY32" s="87" t="n"/>
      <c r="AZ32" s="4" t="n"/>
      <c r="BA32" s="98" t="n"/>
      <c r="BB32" s="217" t="n"/>
      <c r="BD32" s="217" t="n"/>
      <c r="BK32" s="84" t="n"/>
      <c r="BL32" s="84" t="n"/>
      <c r="BM32" s="84" t="n"/>
      <c r="BN32" s="84" t="n"/>
      <c r="BO32" s="84" t="n"/>
      <c r="BP32" s="84" t="n"/>
      <c r="BQ32" s="84" t="n"/>
      <c r="BR32" s="84" t="n"/>
      <c r="BT32" s="66" t="n"/>
      <c r="CH32" s="84" t="n"/>
      <c r="CI32" s="84" t="n"/>
      <c r="CL32" s="69" t="n"/>
      <c r="CQ32" s="7" t="n"/>
      <c r="DE32" s="47" t="n"/>
      <c r="DK32" s="93" t="n"/>
      <c r="DL32" s="87" t="n"/>
      <c r="DM32" s="84" t="n"/>
      <c r="DN32" s="84" t="n"/>
      <c r="DO32" s="84" t="n"/>
      <c r="DP32" s="84" t="n"/>
      <c r="DQ32" s="84" t="n"/>
      <c r="DR32" s="84" t="n"/>
      <c r="DS32" s="84" t="n"/>
      <c r="DT32" s="84" t="n"/>
      <c r="DU32" s="84" t="n"/>
    </row>
    <row r="33" ht="12.75" customFormat="1" customHeight="1" s="215">
      <c r="A33" s="217" t="n"/>
      <c r="B33" s="63" t="n"/>
      <c r="C33" s="44" t="inlineStr">
        <is>
          <t>INICIO DE FACULTADES</t>
        </is>
      </c>
      <c r="E33" s="4" t="n"/>
      <c r="F33" s="4" t="n"/>
      <c r="G33" s="4" t="n"/>
      <c r="H33" s="4" t="n"/>
      <c r="I33" s="256" t="n">
        <v>46234</v>
      </c>
      <c r="J33" s="169" t="n"/>
      <c r="K33" s="169" t="n"/>
      <c r="L33" s="169" t="n"/>
      <c r="M33" s="170" t="n"/>
      <c r="O33" s="44" t="inlineStr">
        <is>
          <t>TERMINO DE FACULTADES</t>
        </is>
      </c>
      <c r="P33" s="4" t="n"/>
      <c r="Q33" s="4" t="n"/>
      <c r="S33" s="4" t="n"/>
      <c r="T33" s="4" t="n"/>
      <c r="U33" s="4" t="n"/>
      <c r="V33" s="202" t="n">
        <v>46248</v>
      </c>
      <c r="W33" s="169" t="n"/>
      <c r="X33" s="169" t="n"/>
      <c r="Y33" s="169" t="n"/>
      <c r="Z33" s="169" t="n"/>
      <c r="AA33" s="170" t="n"/>
      <c r="AC33" s="254" t="inlineStr">
        <is>
          <t>FECHA DGAF</t>
        </is>
      </c>
      <c r="AH33" s="66" t="n"/>
      <c r="AK33" s="44" t="inlineStr">
        <is>
          <t>PAGO</t>
        </is>
      </c>
      <c r="AL33" s="44" t="n"/>
      <c r="AO33" s="202" t="n">
        <v>46238</v>
      </c>
      <c r="AP33" s="169" t="n"/>
      <c r="AQ33" s="169" t="n"/>
      <c r="AR33" s="169" t="n"/>
      <c r="AS33" s="169" t="n"/>
      <c r="AT33" s="170" t="n"/>
      <c r="AV33" s="190" t="inlineStr">
        <is>
          <t>21;08 HRS</t>
        </is>
      </c>
      <c r="AW33" s="169" t="n"/>
      <c r="AX33" s="169" t="n"/>
      <c r="AY33" s="170" t="n"/>
      <c r="BA33" s="66" t="n"/>
      <c r="BB33" s="217" t="n"/>
      <c r="BC33" s="95" t="inlineStr">
        <is>
          <t>FECHA</t>
        </is>
      </c>
      <c r="BD33" s="217" t="n"/>
      <c r="BE33" s="226" t="n"/>
      <c r="BF33" s="169" t="n"/>
      <c r="BG33" s="169" t="n"/>
      <c r="BH33" s="170" t="n"/>
      <c r="BJ33" s="17" t="inlineStr">
        <is>
          <t>TIPO</t>
        </is>
      </c>
      <c r="BK33" s="223" t="n"/>
      <c r="BL33" s="169" t="n"/>
      <c r="BM33" s="169" t="n"/>
      <c r="BN33" s="169" t="n"/>
      <c r="BO33" s="169" t="n"/>
      <c r="BP33" s="169" t="n"/>
      <c r="BQ33" s="169" t="n"/>
      <c r="BR33" s="170" t="n"/>
      <c r="BT33" s="66" t="n"/>
      <c r="BV33" s="4" t="inlineStr">
        <is>
          <t>¿ CUMPLIMENTACION DE SENTENCIAS ?</t>
        </is>
      </c>
      <c r="CH33" s="185" t="n"/>
      <c r="CI33" s="170" t="n"/>
      <c r="CL33" s="69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</row>
    <row r="34" ht="3" customFormat="1" customHeight="1" s="215">
      <c r="A34" s="217" t="n"/>
      <c r="B34" s="63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S34" s="4" t="n"/>
      <c r="T34" s="4" t="n"/>
      <c r="U34" s="89" t="n"/>
      <c r="V34" s="100" t="n"/>
      <c r="W34" s="100" t="n"/>
      <c r="X34" s="100" t="n"/>
      <c r="Y34" s="100" t="n"/>
      <c r="Z34" s="100" t="n"/>
      <c r="AA34" s="100" t="n"/>
      <c r="AB34" s="89" t="n"/>
      <c r="AC34" s="89" t="n"/>
      <c r="AD34" s="89" t="n"/>
      <c r="AE34" s="89" t="n"/>
      <c r="AF34" s="89" t="n"/>
      <c r="AG34" s="89" t="n"/>
      <c r="AH34" s="66" t="n"/>
      <c r="AK34" s="89" t="n"/>
      <c r="AL34" s="89" t="n"/>
      <c r="AM34" s="89" t="n"/>
      <c r="AN34" s="89" t="n"/>
      <c r="AO34" s="89" t="n"/>
      <c r="AP34" s="89" t="n"/>
      <c r="AQ34" s="89" t="n"/>
      <c r="AR34" s="89" t="n"/>
      <c r="AS34" s="89" t="n"/>
      <c r="AT34" s="89" t="n"/>
      <c r="AU34" s="89" t="n"/>
      <c r="AV34" s="89" t="n"/>
      <c r="AW34" s="89" t="n"/>
      <c r="AX34" s="89" t="n"/>
      <c r="AY34" s="89" t="n"/>
      <c r="AZ34" s="89" t="n"/>
      <c r="BA34" s="101" t="n"/>
      <c r="BB34" s="89" t="n"/>
      <c r="BC34" s="89" t="n"/>
      <c r="BE34" s="7" t="n"/>
      <c r="BQ34" s="47" t="n"/>
      <c r="BT34" s="102" t="n"/>
      <c r="BW34" s="87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L34" s="69" t="n"/>
    </row>
    <row r="35" ht="12.75" customFormat="1" customHeight="1" s="215">
      <c r="A35" s="217" t="n"/>
      <c r="B35" s="63" t="n"/>
      <c r="C35" s="44" t="inlineStr">
        <is>
          <t>FECHA COMITÉ</t>
        </is>
      </c>
      <c r="E35" s="4" t="n"/>
      <c r="F35" s="4" t="n"/>
      <c r="G35" s="283" t="n">
        <v>46234</v>
      </c>
      <c r="H35" s="169" t="n"/>
      <c r="I35" s="169" t="n"/>
      <c r="J35" s="169" t="n"/>
      <c r="K35" s="170" t="n"/>
      <c r="L35" s="4" t="n"/>
      <c r="M35" s="103" t="inlineStr">
        <is>
          <t>HORA</t>
        </is>
      </c>
      <c r="N35" s="190" t="inlineStr">
        <is>
          <t>08:54 HRS</t>
        </is>
      </c>
      <c r="O35" s="169" t="n"/>
      <c r="P35" s="169" t="n"/>
      <c r="Q35" s="170" t="n"/>
      <c r="U35" s="103" t="inlineStr">
        <is>
          <t>FECHA HOY</t>
        </is>
      </c>
      <c r="V35" s="84" t="n"/>
      <c r="W35" s="287">
        <f>TODAY()</f>
        <v/>
      </c>
      <c r="X35" s="174" t="n"/>
      <c r="Y35" s="174" t="n"/>
      <c r="Z35" s="174" t="n"/>
      <c r="AA35" s="175" t="n"/>
      <c r="AC35" s="256" t="n"/>
      <c r="AD35" s="169" t="n"/>
      <c r="AE35" s="169" t="n"/>
      <c r="AF35" s="169" t="n"/>
      <c r="AG35" s="170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37" t="n"/>
      <c r="BB35" s="37" t="n"/>
      <c r="BC35" s="37" t="n"/>
      <c r="BD35" s="37" t="n"/>
      <c r="BE35" s="66" t="n"/>
      <c r="BF35" s="66" t="n"/>
      <c r="BG35" s="66" t="n"/>
      <c r="BH35" s="66" t="n"/>
      <c r="BI35" s="66" t="n"/>
      <c r="BJ35" s="66" t="n"/>
      <c r="BK35" s="66" t="n"/>
      <c r="BL35" s="66" t="n"/>
      <c r="BM35" s="66" t="n"/>
      <c r="BN35" s="66" t="n"/>
      <c r="BO35" s="66" t="n"/>
      <c r="BP35" s="66" t="n"/>
      <c r="BQ35" s="66" t="n"/>
      <c r="BR35" s="66" t="n"/>
      <c r="BS35" s="66" t="n"/>
      <c r="BT35" s="66" t="n"/>
      <c r="BU35" s="66" t="n"/>
      <c r="BV35" s="66" t="n"/>
      <c r="BW35" s="66" t="n"/>
      <c r="BX35" s="66" t="n"/>
      <c r="BY35" s="66" t="n"/>
      <c r="BZ35" s="66" t="n"/>
      <c r="CA35" s="66" t="n"/>
      <c r="CB35" s="66" t="n"/>
      <c r="CC35" s="66" t="n"/>
      <c r="CD35" s="66" t="n"/>
      <c r="CE35" s="66" t="n"/>
      <c r="CF35" s="66" t="n"/>
      <c r="CG35" s="66" t="n"/>
      <c r="CH35" s="66" t="n"/>
      <c r="CI35" s="66" t="n"/>
      <c r="CJ35" s="66" t="n"/>
      <c r="CK35" s="66" t="n"/>
      <c r="CL35" s="69" t="n"/>
      <c r="DP35" s="30" t="n"/>
      <c r="DQ35" s="30" t="n"/>
      <c r="DR35" s="30" t="n"/>
    </row>
    <row r="36" ht="3" customFormat="1" customHeight="1" s="215">
      <c r="A36" s="217" t="n"/>
      <c r="B36" s="63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S36" s="4" t="n"/>
      <c r="T36" s="4" t="n"/>
      <c r="U36" s="99" t="n"/>
      <c r="CL36" s="104" t="n"/>
      <c r="DP36" s="4" t="n"/>
      <c r="DQ36" s="4" t="n"/>
    </row>
    <row r="37" ht="18" customFormat="1" customHeight="1" s="215">
      <c r="A37" s="217" t="n"/>
      <c r="B37" s="187" t="n"/>
      <c r="C37" s="162" t="inlineStr">
        <is>
          <t>C      V       L</t>
        </is>
      </c>
      <c r="D37" s="162" t="inlineStr">
        <is>
          <t>TIPO DE CIFRA</t>
        </is>
      </c>
      <c r="E37" s="163" t="n"/>
      <c r="F37" s="163" t="n"/>
      <c r="G37" s="163" t="n"/>
      <c r="H37" s="163" t="n"/>
      <c r="I37" s="163" t="n"/>
      <c r="J37" s="164" t="n"/>
      <c r="K37" s="197" t="inlineStr">
        <is>
          <t>P / OP</t>
        </is>
      </c>
      <c r="L37" s="164" t="n"/>
      <c r="M37" s="162" t="inlineStr">
        <is>
          <t>No. OPERACIÓN /                 RECIBO OFICIAL</t>
        </is>
      </c>
      <c r="N37" s="163" t="n"/>
      <c r="O37" s="163" t="n"/>
      <c r="P37" s="163" t="n"/>
      <c r="Q37" s="163" t="n"/>
      <c r="R37" s="164" t="n"/>
      <c r="S37" s="197" t="inlineStr">
        <is>
          <t>LLAVE DE PAGO</t>
        </is>
      </c>
      <c r="T37" s="163" t="n"/>
      <c r="U37" s="163" t="n"/>
      <c r="V37" s="163" t="n"/>
      <c r="W37" s="163" t="n"/>
      <c r="X37" s="164" t="n"/>
      <c r="Y37" s="162" t="inlineStr">
        <is>
          <t>LINEA DE CAPTURA</t>
        </is>
      </c>
      <c r="Z37" s="163" t="n"/>
      <c r="AA37" s="163" t="n"/>
      <c r="AB37" s="163" t="n"/>
      <c r="AC37" s="163" t="n"/>
      <c r="AD37" s="163" t="n"/>
      <c r="AE37" s="163" t="n"/>
      <c r="AF37" s="163" t="n"/>
      <c r="AG37" s="164" t="n"/>
      <c r="AH37" s="162" t="inlineStr">
        <is>
          <t>R    E   C</t>
        </is>
      </c>
      <c r="AI37" s="162" t="inlineStr">
        <is>
          <t>BANCO</t>
        </is>
      </c>
      <c r="AJ37" s="163" t="n"/>
      <c r="AK37" s="163" t="n"/>
      <c r="AL37" s="163" t="n"/>
      <c r="AM37" s="164" t="n"/>
      <c r="AN37" s="197" t="inlineStr">
        <is>
          <t>TIPO IMPUESTO PAGADO</t>
        </is>
      </c>
      <c r="AO37" s="163" t="n"/>
      <c r="AP37" s="164" t="n"/>
      <c r="AQ37" s="162" t="inlineStr">
        <is>
          <t>PERIODO PAGADO</t>
        </is>
      </c>
      <c r="AR37" s="163" t="n"/>
      <c r="AS37" s="164" t="n"/>
      <c r="AT37" s="162" t="inlineStr">
        <is>
          <t>FECHA DE PAGO</t>
        </is>
      </c>
      <c r="AU37" s="163" t="n"/>
      <c r="AV37" s="163" t="n"/>
      <c r="AW37" s="164" t="n"/>
      <c r="AX37" s="162" t="inlineStr">
        <is>
          <t>TOTAL DE IMPUESTO</t>
        </is>
      </c>
      <c r="AY37" s="163" t="n"/>
      <c r="AZ37" s="163" t="n"/>
      <c r="BA37" s="164" t="n"/>
      <c r="BB37" s="162" t="inlineStr">
        <is>
          <t>ACT</t>
        </is>
      </c>
      <c r="BC37" s="163" t="n"/>
      <c r="BD37" s="164" t="n"/>
      <c r="BE37" s="162" t="inlineStr">
        <is>
          <t>TOTAL IMP + ACT</t>
        </is>
      </c>
      <c r="BF37" s="163" t="n"/>
      <c r="BG37" s="163" t="n"/>
      <c r="BH37" s="164" t="n"/>
      <c r="BI37" s="267" t="inlineStr">
        <is>
          <t>MULTA</t>
        </is>
      </c>
      <c r="BJ37" s="163" t="n"/>
      <c r="BK37" s="164" t="n"/>
      <c r="BL37" s="162" t="inlineStr">
        <is>
          <t>REC</t>
        </is>
      </c>
      <c r="BM37" s="163" t="n"/>
      <c r="BN37" s="164" t="n"/>
      <c r="BO37" s="162" t="inlineStr">
        <is>
          <t>TOTAL PAGADO</t>
        </is>
      </c>
      <c r="BP37" s="163" t="n"/>
      <c r="BQ37" s="163" t="n"/>
      <c r="BR37" s="163" t="n"/>
      <c r="BS37" s="164" t="n"/>
      <c r="BT37" s="285" t="inlineStr">
        <is>
          <t>TOTAL COBRADAS DEL PERIODO</t>
        </is>
      </c>
      <c r="BU37" s="174" t="n"/>
      <c r="BV37" s="174" t="n"/>
      <c r="BW37" s="174" t="n"/>
      <c r="BX37" s="174" t="n"/>
      <c r="BY37" s="174" t="n"/>
      <c r="BZ37" s="174" t="n"/>
      <c r="CA37" s="174" t="n"/>
      <c r="CB37" s="174" t="n"/>
      <c r="CC37" s="174" t="n"/>
      <c r="CD37" s="174" t="n"/>
      <c r="CE37" s="174" t="n"/>
      <c r="CF37" s="174" t="n"/>
      <c r="CG37" s="174" t="n"/>
      <c r="CH37" s="174" t="n"/>
      <c r="CI37" s="174" t="n"/>
      <c r="CJ37" s="174" t="n"/>
      <c r="CK37" s="174" t="n"/>
      <c r="CL37" s="179" t="n"/>
    </row>
    <row r="38" ht="19.15" customFormat="1" customHeight="1" s="215">
      <c r="A38" s="217" t="n"/>
      <c r="B38" s="188" t="n"/>
      <c r="C38" s="284" t="n"/>
      <c r="D38" s="165" t="n"/>
      <c r="E38" s="166" t="n"/>
      <c r="F38" s="166" t="n"/>
      <c r="G38" s="166" t="n"/>
      <c r="H38" s="166" t="n"/>
      <c r="I38" s="166" t="n"/>
      <c r="J38" s="167" t="n"/>
      <c r="K38" s="165" t="n"/>
      <c r="L38" s="167" t="n"/>
      <c r="M38" s="165" t="n"/>
      <c r="N38" s="166" t="n"/>
      <c r="O38" s="166" t="n"/>
      <c r="P38" s="166" t="n"/>
      <c r="Q38" s="166" t="n"/>
      <c r="R38" s="167" t="n"/>
      <c r="S38" s="165" t="n"/>
      <c r="T38" s="166" t="n"/>
      <c r="U38" s="166" t="n"/>
      <c r="V38" s="166" t="n"/>
      <c r="W38" s="166" t="n"/>
      <c r="X38" s="167" t="n"/>
      <c r="Y38" s="165" t="n"/>
      <c r="Z38" s="166" t="n"/>
      <c r="AA38" s="166" t="n"/>
      <c r="AB38" s="166" t="n"/>
      <c r="AC38" s="166" t="n"/>
      <c r="AD38" s="166" t="n"/>
      <c r="AE38" s="166" t="n"/>
      <c r="AF38" s="166" t="n"/>
      <c r="AG38" s="167" t="n"/>
      <c r="AH38" s="284" t="n"/>
      <c r="AI38" s="165" t="n"/>
      <c r="AJ38" s="166" t="n"/>
      <c r="AK38" s="166" t="n"/>
      <c r="AL38" s="166" t="n"/>
      <c r="AM38" s="167" t="n"/>
      <c r="AN38" s="165" t="n"/>
      <c r="AO38" s="166" t="n"/>
      <c r="AP38" s="167" t="n"/>
      <c r="AQ38" s="165" t="n"/>
      <c r="AR38" s="166" t="n"/>
      <c r="AS38" s="167" t="n"/>
      <c r="AT38" s="165" t="n"/>
      <c r="AU38" s="166" t="n"/>
      <c r="AV38" s="166" t="n"/>
      <c r="AW38" s="167" t="n"/>
      <c r="AX38" s="165" t="n"/>
      <c r="AY38" s="166" t="n"/>
      <c r="AZ38" s="166" t="n"/>
      <c r="BA38" s="167" t="n"/>
      <c r="BB38" s="165" t="n"/>
      <c r="BC38" s="166" t="n"/>
      <c r="BD38" s="167" t="n"/>
      <c r="BE38" s="165" t="n"/>
      <c r="BF38" s="166" t="n"/>
      <c r="BG38" s="166" t="n"/>
      <c r="BH38" s="167" t="n"/>
      <c r="BI38" s="165" t="n"/>
      <c r="BJ38" s="166" t="n"/>
      <c r="BK38" s="167" t="n"/>
      <c r="BL38" s="165" t="n"/>
      <c r="BM38" s="166" t="n"/>
      <c r="BN38" s="167" t="n"/>
      <c r="BO38" s="165" t="n"/>
      <c r="BP38" s="166" t="n"/>
      <c r="BQ38" s="166" t="n"/>
      <c r="BR38" s="166" t="n"/>
      <c r="BS38" s="167" t="n"/>
      <c r="BT38" s="197" t="inlineStr">
        <is>
          <t>CONC</t>
        </is>
      </c>
      <c r="BU38" s="175" t="n"/>
      <c r="BV38" s="197" t="inlineStr">
        <is>
          <t>IMP</t>
        </is>
      </c>
      <c r="BW38" s="174" t="n"/>
      <c r="BX38" s="174" t="n"/>
      <c r="BY38" s="174" t="n"/>
      <c r="BZ38" s="175" t="n"/>
      <c r="CA38" s="197" t="inlineStr">
        <is>
          <t>MUL</t>
        </is>
      </c>
      <c r="CB38" s="174" t="n"/>
      <c r="CC38" s="175" t="n"/>
      <c r="CD38" s="197" t="inlineStr">
        <is>
          <t>REC</t>
        </is>
      </c>
      <c r="CE38" s="174" t="n"/>
      <c r="CF38" s="175" t="n"/>
      <c r="CG38" s="252" t="inlineStr">
        <is>
          <t>TOTAL</t>
        </is>
      </c>
      <c r="CH38" s="174" t="n"/>
      <c r="CI38" s="174" t="n"/>
      <c r="CJ38" s="174" t="n"/>
      <c r="CK38" s="174" t="n"/>
      <c r="CL38" s="179" t="n"/>
    </row>
    <row r="39" ht="19.5" customFormat="1" customHeight="1" s="215">
      <c r="A39" s="217" t="n"/>
      <c r="B39" s="105" t="n">
        <v>1</v>
      </c>
      <c r="C39" s="203" t="n"/>
      <c r="D39" s="191" t="n"/>
      <c r="E39" s="169" t="n"/>
      <c r="F39" s="169" t="n"/>
      <c r="G39" s="169" t="n"/>
      <c r="H39" s="169" t="n"/>
      <c r="I39" s="169" t="n"/>
      <c r="J39" s="170" t="n"/>
      <c r="K39" s="203" t="n"/>
      <c r="L39" s="170" t="n"/>
      <c r="M39" s="181" t="n"/>
      <c r="N39" s="169" t="n"/>
      <c r="O39" s="169" t="n"/>
      <c r="P39" s="169" t="n"/>
      <c r="Q39" s="169" t="n"/>
      <c r="R39" s="170" t="n"/>
      <c r="S39" s="181" t="n"/>
      <c r="T39" s="169" t="n"/>
      <c r="U39" s="169" t="n"/>
      <c r="V39" s="169" t="n"/>
      <c r="W39" s="169" t="n"/>
      <c r="X39" s="170" t="n"/>
      <c r="Y39" s="181" t="n"/>
      <c r="Z39" s="169" t="n"/>
      <c r="AA39" s="169" t="n"/>
      <c r="AB39" s="169" t="n"/>
      <c r="AC39" s="169" t="n"/>
      <c r="AD39" s="169" t="n"/>
      <c r="AE39" s="169" t="n"/>
      <c r="AF39" s="169" t="n"/>
      <c r="AG39" s="170" t="n"/>
      <c r="AH39" s="181" t="n"/>
      <c r="AI39" s="222" t="n"/>
      <c r="AJ39" s="169" t="n"/>
      <c r="AK39" s="169" t="n"/>
      <c r="AL39" s="169" t="n"/>
      <c r="AM39" s="170" t="n"/>
      <c r="AN39" s="180" t="n"/>
      <c r="AO39" s="169" t="n"/>
      <c r="AP39" s="170" t="n"/>
      <c r="AQ39" s="168" t="n"/>
      <c r="AR39" s="169" t="n"/>
      <c r="AS39" s="170" t="n"/>
      <c r="AT39" s="193" t="n"/>
      <c r="AU39" s="169" t="n"/>
      <c r="AV39" s="169" t="n"/>
      <c r="AW39" s="170" t="n"/>
      <c r="AX39" s="176" t="n"/>
      <c r="AY39" s="169" t="n"/>
      <c r="AZ39" s="169" t="n"/>
      <c r="BA39" s="170" t="n"/>
      <c r="BB39" s="176" t="n"/>
      <c r="BC39" s="169" t="n"/>
      <c r="BD39" s="170" t="n"/>
      <c r="BE39" s="192">
        <f>+AX39+BB39</f>
        <v/>
      </c>
      <c r="BF39" s="174" t="n"/>
      <c r="BG39" s="174" t="n"/>
      <c r="BH39" s="175" t="n"/>
      <c r="BI39" s="176" t="n"/>
      <c r="BJ39" s="169" t="n"/>
      <c r="BK39" s="170" t="n"/>
      <c r="BL39" s="176" t="n"/>
      <c r="BM39" s="169" t="n"/>
      <c r="BN39" s="170" t="n"/>
      <c r="BO39" s="192">
        <f>+BE39+BI39+BL39</f>
        <v/>
      </c>
      <c r="BP39" s="174" t="n"/>
      <c r="BQ39" s="174" t="n"/>
      <c r="BR39" s="174" t="n"/>
      <c r="BS39" s="175" t="n"/>
      <c r="BT39" s="186" t="inlineStr">
        <is>
          <t>ISR</t>
        </is>
      </c>
      <c r="BU39" s="175" t="n"/>
      <c r="BV39" s="173">
        <f>SUMIFS(BE39:BE63, C39:C63, "C", K39:K63, "P", AN39:AN63, "ISR") + SUMIFS(BE39:BE63, C39:C63, "C", K39:K63, "P", AN39:AN63, "ISR RET")</f>
        <v/>
      </c>
      <c r="BW39" s="174" t="n"/>
      <c r="BX39" s="174" t="n"/>
      <c r="BY39" s="174" t="n"/>
      <c r="BZ39" s="175" t="n"/>
      <c r="CA39" s="201">
        <f>SUMIFS(BI39:BI63, C39:C63, "C", K39:K63, "P", AN39:AN63, "ISR") + SUMIFS(BI39:BI63, C39:C63, "C", K39:K63, "P", AN39:AN63, "ISR RET")</f>
        <v/>
      </c>
      <c r="CB39" s="174" t="n"/>
      <c r="CC39" s="175" t="n"/>
      <c r="CD39" s="173">
        <f>SUMIFS(BL39:BL63, C39:C63, "C", K39:K63, "P", AN39:AN63, "ISR") + SUMIFS(BL39:BL63, C39:C63, "C", K39:K63, "P", AN39:AN63, "ISR RET")</f>
        <v/>
      </c>
      <c r="CE39" s="174" t="n"/>
      <c r="CF39" s="175" t="n"/>
      <c r="CG39" s="178">
        <f>+BV39+CS39+CD39+CA39</f>
        <v/>
      </c>
      <c r="CH39" s="174" t="n"/>
      <c r="CI39" s="174" t="n"/>
      <c r="CJ39" s="174" t="n"/>
      <c r="CK39" s="174" t="n"/>
      <c r="CL39" s="179" t="n"/>
    </row>
    <row r="40" ht="19.5" customFormat="1" customHeight="1" s="215">
      <c r="A40" s="217" t="n"/>
      <c r="B40" s="105" t="n">
        <v>2</v>
      </c>
      <c r="C40" s="203" t="n"/>
      <c r="D40" s="191" t="n"/>
      <c r="E40" s="169" t="n"/>
      <c r="F40" s="169" t="n"/>
      <c r="G40" s="169" t="n"/>
      <c r="H40" s="169" t="n"/>
      <c r="I40" s="169" t="n"/>
      <c r="J40" s="170" t="n"/>
      <c r="K40" s="203" t="n"/>
      <c r="L40" s="170" t="n"/>
      <c r="M40" s="181" t="n"/>
      <c r="N40" s="169" t="n"/>
      <c r="O40" s="169" t="n"/>
      <c r="P40" s="169" t="n"/>
      <c r="Q40" s="169" t="n"/>
      <c r="R40" s="170" t="n"/>
      <c r="S40" s="181" t="n"/>
      <c r="T40" s="169" t="n"/>
      <c r="U40" s="169" t="n"/>
      <c r="V40" s="169" t="n"/>
      <c r="W40" s="169" t="n"/>
      <c r="X40" s="170" t="n"/>
      <c r="Y40" s="181" t="n"/>
      <c r="Z40" s="169" t="n"/>
      <c r="AA40" s="169" t="n"/>
      <c r="AB40" s="169" t="n"/>
      <c r="AC40" s="169" t="n"/>
      <c r="AD40" s="169" t="n"/>
      <c r="AE40" s="169" t="n"/>
      <c r="AF40" s="169" t="n"/>
      <c r="AG40" s="170" t="n"/>
      <c r="AH40" s="181" t="n"/>
      <c r="AI40" s="222" t="n"/>
      <c r="AJ40" s="169" t="n"/>
      <c r="AK40" s="169" t="n"/>
      <c r="AL40" s="169" t="n"/>
      <c r="AM40" s="170" t="n"/>
      <c r="AN40" s="180" t="n"/>
      <c r="AO40" s="169" t="n"/>
      <c r="AP40" s="170" t="n"/>
      <c r="AQ40" s="168" t="n"/>
      <c r="AR40" s="169" t="n"/>
      <c r="AS40" s="170" t="n"/>
      <c r="AT40" s="193" t="n"/>
      <c r="AU40" s="169" t="n"/>
      <c r="AV40" s="169" t="n"/>
      <c r="AW40" s="170" t="n"/>
      <c r="AX40" s="176" t="n"/>
      <c r="AY40" s="169" t="n"/>
      <c r="AZ40" s="169" t="n"/>
      <c r="BA40" s="170" t="n"/>
      <c r="BB40" s="176" t="n"/>
      <c r="BC40" s="169" t="n"/>
      <c r="BD40" s="170" t="n"/>
      <c r="BE40" s="192">
        <f>+AX40+BB40</f>
        <v/>
      </c>
      <c r="BF40" s="174" t="n"/>
      <c r="BG40" s="174" t="n"/>
      <c r="BH40" s="175" t="n"/>
      <c r="BI40" s="176" t="n"/>
      <c r="BJ40" s="169" t="n"/>
      <c r="BK40" s="170" t="n"/>
      <c r="BL40" s="176" t="n"/>
      <c r="BM40" s="169" t="n"/>
      <c r="BN40" s="170" t="n"/>
      <c r="BO40" s="192">
        <f>+BE40+BI40+BL40</f>
        <v/>
      </c>
      <c r="BP40" s="174" t="n"/>
      <c r="BQ40" s="174" t="n"/>
      <c r="BR40" s="174" t="n"/>
      <c r="BS40" s="175" t="n"/>
      <c r="BT40" s="186" t="inlineStr">
        <is>
          <t>IVA</t>
        </is>
      </c>
      <c r="BU40" s="175" t="n"/>
      <c r="BV40" s="173">
        <f>SUMIFS(BE39:BE63, C39:C63, "C", K39:K63, "P", AN39:AN63, "IVA") + SUMIFS(BE39:BE63, C39:C63, "C", K39:K63, "P", AN39:AN63, "IVA RET")</f>
        <v/>
      </c>
      <c r="BW40" s="174" t="n"/>
      <c r="BX40" s="174" t="n"/>
      <c r="BY40" s="174" t="n"/>
      <c r="BZ40" s="175" t="n"/>
      <c r="CA40" s="201">
        <f>SUMIFS(BI39:BI63, C39:C63, "C", K39:K63, "P", AN39:AN63, "IVA") + SUMIFS(BI39:BI63, C39:C63, "C", K39:K63, "P", AN39:AN63, "IVA RET")</f>
        <v/>
      </c>
      <c r="CB40" s="174" t="n"/>
      <c r="CC40" s="175" t="n"/>
      <c r="CD40" s="173">
        <f>SUMIFS(BL39:BL63, C39:C63, "C", K39:K63, "P", AN39:AN63, "IVA") + SUMIFS(BL39:BL63, C39:C63, "C", K39:K63, "P", AN39:AN63, "IVA RET")</f>
        <v/>
      </c>
      <c r="CE40" s="174" t="n"/>
      <c r="CF40" s="175" t="n"/>
      <c r="CG40" s="178">
        <f>+BV40+CS40+CD40+CA40</f>
        <v/>
      </c>
      <c r="CH40" s="174" t="n"/>
      <c r="CI40" s="174" t="n"/>
      <c r="CJ40" s="174" t="n"/>
      <c r="CK40" s="174" t="n"/>
      <c r="CL40" s="179" t="n"/>
    </row>
    <row r="41" ht="19.5" customFormat="1" customHeight="1" s="215">
      <c r="A41" s="217" t="n"/>
      <c r="B41" s="105" t="n">
        <v>3</v>
      </c>
      <c r="C41" s="203" t="n"/>
      <c r="D41" s="191" t="n"/>
      <c r="E41" s="169" t="n"/>
      <c r="F41" s="169" t="n"/>
      <c r="G41" s="169" t="n"/>
      <c r="H41" s="169" t="n"/>
      <c r="I41" s="169" t="n"/>
      <c r="J41" s="170" t="n"/>
      <c r="K41" s="203" t="n"/>
      <c r="L41" s="170" t="n"/>
      <c r="M41" s="181" t="n"/>
      <c r="N41" s="169" t="n"/>
      <c r="O41" s="169" t="n"/>
      <c r="P41" s="169" t="n"/>
      <c r="Q41" s="169" t="n"/>
      <c r="R41" s="170" t="n"/>
      <c r="S41" s="181" t="n"/>
      <c r="T41" s="169" t="n"/>
      <c r="U41" s="169" t="n"/>
      <c r="V41" s="169" t="n"/>
      <c r="W41" s="169" t="n"/>
      <c r="X41" s="170" t="n"/>
      <c r="Y41" s="181" t="n"/>
      <c r="Z41" s="169" t="n"/>
      <c r="AA41" s="169" t="n"/>
      <c r="AB41" s="169" t="n"/>
      <c r="AC41" s="169" t="n"/>
      <c r="AD41" s="169" t="n"/>
      <c r="AE41" s="169" t="n"/>
      <c r="AF41" s="169" t="n"/>
      <c r="AG41" s="170" t="n"/>
      <c r="AH41" s="181" t="n"/>
      <c r="AI41" s="222" t="n"/>
      <c r="AJ41" s="169" t="n"/>
      <c r="AK41" s="169" t="n"/>
      <c r="AL41" s="169" t="n"/>
      <c r="AM41" s="170" t="n"/>
      <c r="AN41" s="180" t="n"/>
      <c r="AO41" s="169" t="n"/>
      <c r="AP41" s="170" t="n"/>
      <c r="AQ41" s="168" t="n"/>
      <c r="AR41" s="169" t="n"/>
      <c r="AS41" s="170" t="n"/>
      <c r="AT41" s="193" t="n"/>
      <c r="AU41" s="169" t="n"/>
      <c r="AV41" s="169" t="n"/>
      <c r="AW41" s="170" t="n"/>
      <c r="AX41" s="176" t="n"/>
      <c r="AY41" s="169" t="n"/>
      <c r="AZ41" s="169" t="n"/>
      <c r="BA41" s="170" t="n"/>
      <c r="BB41" s="176" t="n"/>
      <c r="BC41" s="169" t="n"/>
      <c r="BD41" s="170" t="n"/>
      <c r="BE41" s="192">
        <f>+AX41+BB41</f>
        <v/>
      </c>
      <c r="BF41" s="174" t="n"/>
      <c r="BG41" s="174" t="n"/>
      <c r="BH41" s="175" t="n"/>
      <c r="BI41" s="176" t="n"/>
      <c r="BJ41" s="169" t="n"/>
      <c r="BK41" s="170" t="n"/>
      <c r="BL41" s="176" t="n"/>
      <c r="BM41" s="169" t="n"/>
      <c r="BN41" s="170" t="n"/>
      <c r="BO41" s="192">
        <f>+BE41+BI41+BL41</f>
        <v/>
      </c>
      <c r="BP41" s="174" t="n"/>
      <c r="BQ41" s="174" t="n"/>
      <c r="BR41" s="174" t="n"/>
      <c r="BS41" s="175" t="n"/>
      <c r="BT41" s="186" t="inlineStr">
        <is>
          <t>IEPS</t>
        </is>
      </c>
      <c r="BU41" s="175" t="n"/>
      <c r="BV41" s="173">
        <f>SUMIFS(BE39:BE63, C39:C63, "C", K39:K63, "P", AN39:AN63, "IEPS") + SUMIFS(BE39:BE63, C39:C63, "C", K39:K63, "P", AN39:AN63, "IEPS RET")</f>
        <v/>
      </c>
      <c r="BW41" s="174" t="n"/>
      <c r="BX41" s="174" t="n"/>
      <c r="BY41" s="174" t="n"/>
      <c r="BZ41" s="175" t="n"/>
      <c r="CA41" s="201">
        <f>SUMIFS(BI39:BI63, C39:C63, "C", K39:K63, "P", AN39:AN63, "IEPS") + SUMIFS(BI39:BI63, C39:C63, "C", K39:K63, "P", AN39:AN63, "IEPS RET")</f>
        <v/>
      </c>
      <c r="CB41" s="174" t="n"/>
      <c r="CC41" s="175" t="n"/>
      <c r="CD41" s="173">
        <f>SUMIFS(BL39:BL63, C39:C63, "C", K39:K63, "P", AN39:AN63, "IEPS") + SUMIFS(BL39:BL63, C39:C63, "C", K39:K63, "P", AN39:AN63, "IEPS RET")</f>
        <v/>
      </c>
      <c r="CE41" s="174" t="n"/>
      <c r="CF41" s="175" t="n"/>
      <c r="CG41" s="178">
        <f>+BV41+CS41+CD41+CA41</f>
        <v/>
      </c>
      <c r="CH41" s="174" t="n"/>
      <c r="CI41" s="174" t="n"/>
      <c r="CJ41" s="174" t="n"/>
      <c r="CK41" s="174" t="n"/>
      <c r="CL41" s="179" t="n"/>
    </row>
    <row r="42" ht="19.5" customFormat="1" customHeight="1" s="215">
      <c r="A42" s="217" t="n"/>
      <c r="B42" s="105" t="n">
        <v>4</v>
      </c>
      <c r="C42" s="203" t="n"/>
      <c r="D42" s="191" t="n"/>
      <c r="E42" s="169" t="n"/>
      <c r="F42" s="169" t="n"/>
      <c r="G42" s="169" t="n"/>
      <c r="H42" s="169" t="n"/>
      <c r="I42" s="169" t="n"/>
      <c r="J42" s="170" t="n"/>
      <c r="K42" s="203" t="n"/>
      <c r="L42" s="170" t="n"/>
      <c r="M42" s="181" t="n"/>
      <c r="N42" s="169" t="n"/>
      <c r="O42" s="169" t="n"/>
      <c r="P42" s="169" t="n"/>
      <c r="Q42" s="169" t="n"/>
      <c r="R42" s="170" t="n"/>
      <c r="S42" s="181" t="n"/>
      <c r="T42" s="169" t="n"/>
      <c r="U42" s="169" t="n"/>
      <c r="V42" s="169" t="n"/>
      <c r="W42" s="169" t="n"/>
      <c r="X42" s="170" t="n"/>
      <c r="Y42" s="181" t="n"/>
      <c r="Z42" s="169" t="n"/>
      <c r="AA42" s="169" t="n"/>
      <c r="AB42" s="169" t="n"/>
      <c r="AC42" s="169" t="n"/>
      <c r="AD42" s="169" t="n"/>
      <c r="AE42" s="169" t="n"/>
      <c r="AF42" s="169" t="n"/>
      <c r="AG42" s="170" t="n"/>
      <c r="AH42" s="181" t="n"/>
      <c r="AI42" s="222" t="n"/>
      <c r="AJ42" s="169" t="n"/>
      <c r="AK42" s="169" t="n"/>
      <c r="AL42" s="169" t="n"/>
      <c r="AM42" s="170" t="n"/>
      <c r="AN42" s="180" t="n"/>
      <c r="AO42" s="169" t="n"/>
      <c r="AP42" s="170" t="n"/>
      <c r="AQ42" s="168" t="n"/>
      <c r="AR42" s="169" t="n"/>
      <c r="AS42" s="170" t="n"/>
      <c r="AT42" s="193" t="n"/>
      <c r="AU42" s="169" t="n"/>
      <c r="AV42" s="169" t="n"/>
      <c r="AW42" s="170" t="n"/>
      <c r="AX42" s="176" t="n"/>
      <c r="AY42" s="169" t="n"/>
      <c r="AZ42" s="169" t="n"/>
      <c r="BA42" s="170" t="n"/>
      <c r="BB42" s="176" t="n"/>
      <c r="BC42" s="169" t="n"/>
      <c r="BD42" s="170" t="n"/>
      <c r="BE42" s="192">
        <f>+AX42+BB42</f>
        <v/>
      </c>
      <c r="BF42" s="174" t="n"/>
      <c r="BG42" s="174" t="n"/>
      <c r="BH42" s="175" t="n"/>
      <c r="BI42" s="176" t="n"/>
      <c r="BJ42" s="169" t="n"/>
      <c r="BK42" s="170" t="n"/>
      <c r="BL42" s="176" t="n"/>
      <c r="BM42" s="169" t="n"/>
      <c r="BN42" s="170" t="n"/>
      <c r="BO42" s="192">
        <f>+BE42+BI42+BL42</f>
        <v/>
      </c>
      <c r="BP42" s="174" t="n"/>
      <c r="BQ42" s="174" t="n"/>
      <c r="BR42" s="174" t="n"/>
      <c r="BS42" s="175" t="n"/>
      <c r="BT42" s="186" t="inlineStr">
        <is>
          <t>OTR</t>
        </is>
      </c>
      <c r="BU42" s="175" t="n"/>
      <c r="BV42" s="173">
        <f>SUMIFS(BE39:BE63, C39:C63, "C", K39:K63, "P", AN39:AN63, "OTR") + SUMIFS(BE39:BE63, C39:C63, "C", K39:K63, "P", AN39:AN63, "OTR RET")</f>
        <v/>
      </c>
      <c r="BW42" s="174" t="n"/>
      <c r="BX42" s="174" t="n"/>
      <c r="BY42" s="174" t="n"/>
      <c r="BZ42" s="175" t="n"/>
      <c r="CA42" s="201">
        <f>SUMIFS(BI39:BI63, C39:C63, "C", K39:K63, "P", AN39:AN63, "OTR") + SUMIFS(BI39:BI63, C39:C63, "C", K39:K63, "P", AN39:AN63, "OTR RET")</f>
        <v/>
      </c>
      <c r="CB42" s="174" t="n"/>
      <c r="CC42" s="175" t="n"/>
      <c r="CD42" s="173">
        <f>SUMIFS(BL39:BL63, C39:C63, "C", K39:K63, "P", AN39:AN63, "OTR") + SUMIFS(BL39:BL63, C39:C63, "C", K39:K63, "P", AN39:AN63, "OTR RET")</f>
        <v/>
      </c>
      <c r="CE42" s="174" t="n"/>
      <c r="CF42" s="175" t="n"/>
      <c r="CG42" s="178">
        <f>+BV42+CS42+CD42+CA42</f>
        <v/>
      </c>
      <c r="CH42" s="174" t="n"/>
      <c r="CI42" s="174" t="n"/>
      <c r="CJ42" s="174" t="n"/>
      <c r="CK42" s="174" t="n"/>
      <c r="CL42" s="179" t="n"/>
    </row>
    <row r="43" ht="19.5" customFormat="1" customHeight="1" s="215">
      <c r="A43" s="217" t="n"/>
      <c r="B43" s="105" t="n">
        <v>5</v>
      </c>
      <c r="C43" s="203" t="n"/>
      <c r="D43" s="191" t="n"/>
      <c r="E43" s="169" t="n"/>
      <c r="F43" s="169" t="n"/>
      <c r="G43" s="169" t="n"/>
      <c r="H43" s="169" t="n"/>
      <c r="I43" s="169" t="n"/>
      <c r="J43" s="170" t="n"/>
      <c r="K43" s="203" t="n"/>
      <c r="L43" s="170" t="n"/>
      <c r="M43" s="181" t="n"/>
      <c r="N43" s="169" t="n"/>
      <c r="O43" s="169" t="n"/>
      <c r="P43" s="169" t="n"/>
      <c r="Q43" s="169" t="n"/>
      <c r="R43" s="170" t="n"/>
      <c r="S43" s="181" t="n"/>
      <c r="T43" s="169" t="n"/>
      <c r="U43" s="169" t="n"/>
      <c r="V43" s="169" t="n"/>
      <c r="W43" s="169" t="n"/>
      <c r="X43" s="170" t="n"/>
      <c r="Y43" s="181" t="n"/>
      <c r="Z43" s="169" t="n"/>
      <c r="AA43" s="169" t="n"/>
      <c r="AB43" s="169" t="n"/>
      <c r="AC43" s="169" t="n"/>
      <c r="AD43" s="169" t="n"/>
      <c r="AE43" s="169" t="n"/>
      <c r="AF43" s="169" t="n"/>
      <c r="AG43" s="170" t="n"/>
      <c r="AH43" s="181" t="n"/>
      <c r="AI43" s="222" t="n"/>
      <c r="AJ43" s="169" t="n"/>
      <c r="AK43" s="169" t="n"/>
      <c r="AL43" s="169" t="n"/>
      <c r="AM43" s="170" t="n"/>
      <c r="AN43" s="180" t="n"/>
      <c r="AO43" s="169" t="n"/>
      <c r="AP43" s="170" t="n"/>
      <c r="AQ43" s="168" t="n"/>
      <c r="AR43" s="169" t="n"/>
      <c r="AS43" s="170" t="n"/>
      <c r="AT43" s="193" t="n"/>
      <c r="AU43" s="169" t="n"/>
      <c r="AV43" s="169" t="n"/>
      <c r="AW43" s="170" t="n"/>
      <c r="AX43" s="176" t="n"/>
      <c r="AY43" s="169" t="n"/>
      <c r="AZ43" s="169" t="n"/>
      <c r="BA43" s="170" t="n"/>
      <c r="BB43" s="176" t="n"/>
      <c r="BC43" s="169" t="n"/>
      <c r="BD43" s="170" t="n"/>
      <c r="BE43" s="192">
        <f>+AX43+BB43</f>
        <v/>
      </c>
      <c r="BF43" s="174" t="n"/>
      <c r="BG43" s="174" t="n"/>
      <c r="BH43" s="175" t="n"/>
      <c r="BI43" s="176" t="n"/>
      <c r="BJ43" s="169" t="n"/>
      <c r="BK43" s="170" t="n"/>
      <c r="BL43" s="176" t="n"/>
      <c r="BM43" s="169" t="n"/>
      <c r="BN43" s="170" t="n"/>
      <c r="BO43" s="192">
        <f>+BE43+BI43+BL43</f>
        <v/>
      </c>
      <c r="BP43" s="174" t="n"/>
      <c r="BQ43" s="174" t="n"/>
      <c r="BR43" s="174" t="n"/>
      <c r="BS43" s="175" t="n"/>
      <c r="BT43" s="280" t="inlineStr">
        <is>
          <t>TOTAL COBRADAS DE OTROS PERIODOS</t>
        </is>
      </c>
      <c r="BU43" s="174" t="n"/>
      <c r="BV43" s="174" t="n"/>
      <c r="BW43" s="174" t="n"/>
      <c r="BX43" s="174" t="n"/>
      <c r="BY43" s="174" t="n"/>
      <c r="BZ43" s="174" t="n"/>
      <c r="CA43" s="174" t="n"/>
      <c r="CB43" s="174" t="n"/>
      <c r="CC43" s="174" t="n"/>
      <c r="CD43" s="174" t="n"/>
      <c r="CE43" s="174" t="n"/>
      <c r="CF43" s="174" t="n"/>
      <c r="CG43" s="174" t="n"/>
      <c r="CH43" s="174" t="n"/>
      <c r="CI43" s="174" t="n"/>
      <c r="CJ43" s="174" t="n"/>
      <c r="CK43" s="174" t="n"/>
      <c r="CL43" s="175" t="n"/>
    </row>
    <row r="44" ht="19.5" customFormat="1" customHeight="1" s="215">
      <c r="A44" s="217" t="n"/>
      <c r="B44" s="105" t="n">
        <v>6</v>
      </c>
      <c r="C44" s="203" t="n"/>
      <c r="D44" s="191" t="n"/>
      <c r="E44" s="169" t="n"/>
      <c r="F44" s="169" t="n"/>
      <c r="G44" s="169" t="n"/>
      <c r="H44" s="169" t="n"/>
      <c r="I44" s="169" t="n"/>
      <c r="J44" s="170" t="n"/>
      <c r="K44" s="203" t="n"/>
      <c r="L44" s="170" t="n"/>
      <c r="M44" s="181" t="n"/>
      <c r="N44" s="169" t="n"/>
      <c r="O44" s="169" t="n"/>
      <c r="P44" s="169" t="n"/>
      <c r="Q44" s="169" t="n"/>
      <c r="R44" s="170" t="n"/>
      <c r="S44" s="181" t="n"/>
      <c r="T44" s="169" t="n"/>
      <c r="U44" s="169" t="n"/>
      <c r="V44" s="169" t="n"/>
      <c r="W44" s="169" t="n"/>
      <c r="X44" s="170" t="n"/>
      <c r="Y44" s="181" t="n"/>
      <c r="Z44" s="169" t="n"/>
      <c r="AA44" s="169" t="n"/>
      <c r="AB44" s="169" t="n"/>
      <c r="AC44" s="169" t="n"/>
      <c r="AD44" s="169" t="n"/>
      <c r="AE44" s="169" t="n"/>
      <c r="AF44" s="169" t="n"/>
      <c r="AG44" s="170" t="n"/>
      <c r="AH44" s="181" t="n"/>
      <c r="AI44" s="222" t="n"/>
      <c r="AJ44" s="169" t="n"/>
      <c r="AK44" s="169" t="n"/>
      <c r="AL44" s="169" t="n"/>
      <c r="AM44" s="170" t="n"/>
      <c r="AN44" s="180" t="n"/>
      <c r="AO44" s="169" t="n"/>
      <c r="AP44" s="170" t="n"/>
      <c r="AQ44" s="168" t="n"/>
      <c r="AR44" s="169" t="n"/>
      <c r="AS44" s="170" t="n"/>
      <c r="AT44" s="193" t="n"/>
      <c r="AU44" s="169" t="n"/>
      <c r="AV44" s="169" t="n"/>
      <c r="AW44" s="170" t="n"/>
      <c r="AX44" s="176" t="n"/>
      <c r="AY44" s="169" t="n"/>
      <c r="AZ44" s="169" t="n"/>
      <c r="BA44" s="170" t="n"/>
      <c r="BB44" s="176" t="n"/>
      <c r="BC44" s="169" t="n"/>
      <c r="BD44" s="170" t="n"/>
      <c r="BE44" s="192">
        <f>+AX44+BB44</f>
        <v/>
      </c>
      <c r="BF44" s="174" t="n"/>
      <c r="BG44" s="174" t="n"/>
      <c r="BH44" s="175" t="n"/>
      <c r="BI44" s="176" t="n"/>
      <c r="BJ44" s="169" t="n"/>
      <c r="BK44" s="170" t="n"/>
      <c r="BL44" s="176" t="n"/>
      <c r="BM44" s="169" t="n"/>
      <c r="BN44" s="170" t="n"/>
      <c r="BO44" s="192">
        <f>+BE44+BI44+BL44</f>
        <v/>
      </c>
      <c r="BP44" s="174" t="n"/>
      <c r="BQ44" s="174" t="n"/>
      <c r="BR44" s="174" t="n"/>
      <c r="BS44" s="175" t="n"/>
      <c r="BT44" s="186" t="inlineStr">
        <is>
          <t>ISR</t>
        </is>
      </c>
      <c r="BU44" s="175" t="n"/>
      <c r="BV44" s="173">
        <f>SUMIFS(BE39:BE63, C39:C63, "C", K39:K63, "OP", AN39:AN63, "ISR") + SUMIFS(BE39:BE63, C39:C63, "C", K39:K63, "OP", AN39:AN63, "ISR RET")</f>
        <v/>
      </c>
      <c r="BW44" s="174" t="n"/>
      <c r="BX44" s="174" t="n"/>
      <c r="BY44" s="174" t="n"/>
      <c r="BZ44" s="175" t="n"/>
      <c r="CA44" s="201">
        <f>SUMIFS(BI39:BI63, C39:C63, "C", K39:K63, "OP", AN39:AN63, "ISR") + SUMIFS(BI39:BI63, C39:C63, "C", K39:K63, "OP", AN39:AN63, "ISR RET")</f>
        <v/>
      </c>
      <c r="CB44" s="174" t="n"/>
      <c r="CC44" s="175" t="n"/>
      <c r="CD44" s="173">
        <f>SUMIFS(BL39:BL63, C39:C63, "C", K39:K63, "OP", AN39:AN63, "ISR") + SUMIFS(BL39:BL63, C39:C63, "C", K39:K63, "OP", AN39:AN63, "ISR RET")</f>
        <v/>
      </c>
      <c r="CE44" s="174" t="n"/>
      <c r="CF44" s="175" t="n"/>
      <c r="CG44" s="178">
        <f>+BV44+CS44+CD44+CA44</f>
        <v/>
      </c>
      <c r="CH44" s="174" t="n"/>
      <c r="CI44" s="174" t="n"/>
      <c r="CJ44" s="174" t="n"/>
      <c r="CK44" s="174" t="n"/>
      <c r="CL44" s="179" t="n"/>
    </row>
    <row r="45" ht="19.5" customFormat="1" customHeight="1" s="215">
      <c r="A45" s="217" t="n"/>
      <c r="B45" s="105" t="n">
        <v>7</v>
      </c>
      <c r="C45" s="203" t="n"/>
      <c r="D45" s="191" t="n"/>
      <c r="E45" s="169" t="n"/>
      <c r="F45" s="169" t="n"/>
      <c r="G45" s="169" t="n"/>
      <c r="H45" s="169" t="n"/>
      <c r="I45" s="169" t="n"/>
      <c r="J45" s="170" t="n"/>
      <c r="K45" s="203" t="n"/>
      <c r="L45" s="170" t="n"/>
      <c r="M45" s="181" t="n"/>
      <c r="N45" s="169" t="n"/>
      <c r="O45" s="169" t="n"/>
      <c r="P45" s="169" t="n"/>
      <c r="Q45" s="169" t="n"/>
      <c r="R45" s="170" t="n"/>
      <c r="S45" s="181" t="n"/>
      <c r="T45" s="169" t="n"/>
      <c r="U45" s="169" t="n"/>
      <c r="V45" s="169" t="n"/>
      <c r="W45" s="169" t="n"/>
      <c r="X45" s="170" t="n"/>
      <c r="Y45" s="181" t="n"/>
      <c r="Z45" s="169" t="n"/>
      <c r="AA45" s="169" t="n"/>
      <c r="AB45" s="169" t="n"/>
      <c r="AC45" s="169" t="n"/>
      <c r="AD45" s="169" t="n"/>
      <c r="AE45" s="169" t="n"/>
      <c r="AF45" s="169" t="n"/>
      <c r="AG45" s="170" t="n"/>
      <c r="AH45" s="159" t="n"/>
      <c r="AI45" s="222" t="n"/>
      <c r="AJ45" s="169" t="n"/>
      <c r="AK45" s="169" t="n"/>
      <c r="AL45" s="169" t="n"/>
      <c r="AM45" s="170" t="n"/>
      <c r="AN45" s="180" t="n"/>
      <c r="AO45" s="169" t="n"/>
      <c r="AP45" s="170" t="n"/>
      <c r="AQ45" s="168" t="n"/>
      <c r="AR45" s="169" t="n"/>
      <c r="AS45" s="170" t="n"/>
      <c r="AT45" s="193" t="n"/>
      <c r="AU45" s="169" t="n"/>
      <c r="AV45" s="169" t="n"/>
      <c r="AW45" s="170" t="n"/>
      <c r="AX45" s="176" t="n"/>
      <c r="AY45" s="169" t="n"/>
      <c r="AZ45" s="169" t="n"/>
      <c r="BA45" s="170" t="n"/>
      <c r="BB45" s="176" t="n"/>
      <c r="BC45" s="169" t="n"/>
      <c r="BD45" s="170" t="n"/>
      <c r="BE45" s="192">
        <f>+AX45+BB45</f>
        <v/>
      </c>
      <c r="BF45" s="174" t="n"/>
      <c r="BG45" s="174" t="n"/>
      <c r="BH45" s="175" t="n"/>
      <c r="BI45" s="176" t="n"/>
      <c r="BJ45" s="169" t="n"/>
      <c r="BK45" s="170" t="n"/>
      <c r="BL45" s="176" t="n"/>
      <c r="BM45" s="169" t="n"/>
      <c r="BN45" s="170" t="n"/>
      <c r="BO45" s="192">
        <f>+BE45+BI45+BL45</f>
        <v/>
      </c>
      <c r="BP45" s="174" t="n"/>
      <c r="BQ45" s="174" t="n"/>
      <c r="BR45" s="174" t="n"/>
      <c r="BS45" s="175" t="n"/>
      <c r="BT45" s="186" t="inlineStr">
        <is>
          <t>IVA</t>
        </is>
      </c>
      <c r="BU45" s="175" t="n"/>
      <c r="BV45" s="173">
        <f>SUMIFS(BE39:BE63, C39:C63, "C", K39:K63, "OP", AN39:AN63, "IVA") + SUMIFS(BE39:BE63, C39:C63, "C", K39:K63, "OP", AN39:AN63, "IVA RET")</f>
        <v/>
      </c>
      <c r="BW45" s="174" t="n"/>
      <c r="BX45" s="174" t="n"/>
      <c r="BY45" s="174" t="n"/>
      <c r="BZ45" s="175" t="n"/>
      <c r="CA45" s="201">
        <f>SUMIFS(BI39:BI63, C39:C63, "C", K39:K63, "OP", AN39:AN63, "IVA") + SUMIFS(BI39:BI63, C39:C63, "C", K39:K63, "OP", AN39:AN63, "IVA RET")</f>
        <v/>
      </c>
      <c r="CB45" s="174" t="n"/>
      <c r="CC45" s="175" t="n"/>
      <c r="CD45" s="173">
        <f>SUMIFS(BL39:BL63, C39:C63, "C", K39:K63, "OP", AN39:AN63, "IVA") + SUMIFS(BL39:BL63, C39:C63, "C", K39:K63, "OP", AN39:AN63, "IVA RET")</f>
        <v/>
      </c>
      <c r="CE45" s="174" t="n"/>
      <c r="CF45" s="175" t="n"/>
      <c r="CG45" s="178">
        <f>+BV45+CS45+CD45+CA45</f>
        <v/>
      </c>
      <c r="CH45" s="174" t="n"/>
      <c r="CI45" s="174" t="n"/>
      <c r="CJ45" s="174" t="n"/>
      <c r="CK45" s="174" t="n"/>
      <c r="CL45" s="179" t="n"/>
    </row>
    <row r="46" ht="19.5" customFormat="1" customHeight="1" s="215">
      <c r="A46" s="217" t="n"/>
      <c r="B46" s="105" t="n">
        <v>8</v>
      </c>
      <c r="C46" s="203" t="n"/>
      <c r="D46" s="191" t="n"/>
      <c r="E46" s="169" t="n"/>
      <c r="F46" s="169" t="n"/>
      <c r="G46" s="169" t="n"/>
      <c r="H46" s="169" t="n"/>
      <c r="I46" s="169" t="n"/>
      <c r="J46" s="170" t="n"/>
      <c r="K46" s="203" t="n"/>
      <c r="L46" s="170" t="n"/>
      <c r="M46" s="181" t="n"/>
      <c r="N46" s="169" t="n"/>
      <c r="O46" s="169" t="n"/>
      <c r="P46" s="169" t="n"/>
      <c r="Q46" s="169" t="n"/>
      <c r="R46" s="170" t="n"/>
      <c r="S46" s="181" t="n"/>
      <c r="T46" s="169" t="n"/>
      <c r="U46" s="169" t="n"/>
      <c r="V46" s="169" t="n"/>
      <c r="W46" s="169" t="n"/>
      <c r="X46" s="170" t="n"/>
      <c r="Y46" s="181" t="n"/>
      <c r="Z46" s="169" t="n"/>
      <c r="AA46" s="169" t="n"/>
      <c r="AB46" s="169" t="n"/>
      <c r="AC46" s="169" t="n"/>
      <c r="AD46" s="169" t="n"/>
      <c r="AE46" s="169" t="n"/>
      <c r="AF46" s="169" t="n"/>
      <c r="AG46" s="170" t="n"/>
      <c r="AH46" s="159" t="n"/>
      <c r="AI46" s="222" t="n"/>
      <c r="AJ46" s="169" t="n"/>
      <c r="AK46" s="169" t="n"/>
      <c r="AL46" s="169" t="n"/>
      <c r="AM46" s="170" t="n"/>
      <c r="AN46" s="180" t="n"/>
      <c r="AO46" s="169" t="n"/>
      <c r="AP46" s="170" t="n"/>
      <c r="AQ46" s="168" t="n"/>
      <c r="AR46" s="169" t="n"/>
      <c r="AS46" s="170" t="n"/>
      <c r="AT46" s="193" t="n"/>
      <c r="AU46" s="169" t="n"/>
      <c r="AV46" s="169" t="n"/>
      <c r="AW46" s="170" t="n"/>
      <c r="AX46" s="176" t="n"/>
      <c r="AY46" s="169" t="n"/>
      <c r="AZ46" s="169" t="n"/>
      <c r="BA46" s="170" t="n"/>
      <c r="BB46" s="176" t="n"/>
      <c r="BC46" s="169" t="n"/>
      <c r="BD46" s="170" t="n"/>
      <c r="BE46" s="192">
        <f>+AX46+BB46</f>
        <v/>
      </c>
      <c r="BF46" s="174" t="n"/>
      <c r="BG46" s="174" t="n"/>
      <c r="BH46" s="175" t="n"/>
      <c r="BI46" s="176" t="n"/>
      <c r="BJ46" s="169" t="n"/>
      <c r="BK46" s="170" t="n"/>
      <c r="BL46" s="176" t="n"/>
      <c r="BM46" s="169" t="n"/>
      <c r="BN46" s="170" t="n"/>
      <c r="BO46" s="192">
        <f>+BE46+BI46+BL46</f>
        <v/>
      </c>
      <c r="BP46" s="174" t="n"/>
      <c r="BQ46" s="174" t="n"/>
      <c r="BR46" s="174" t="n"/>
      <c r="BS46" s="175" t="n"/>
      <c r="BT46" s="186" t="inlineStr">
        <is>
          <t>IEPS</t>
        </is>
      </c>
      <c r="BU46" s="175" t="n"/>
      <c r="BV46" s="173">
        <f>SUMIFS(BE39:BE63, C39:C63, "C", K39:K63, "OP", AN39:AN63, "IEPS") + SUMIFS(BE39:BE63, C39:C63, "C", K39:K63, "OP", AN39:AN63, "IEPS RET")</f>
        <v/>
      </c>
      <c r="BW46" s="174" t="n"/>
      <c r="BX46" s="174" t="n"/>
      <c r="BY46" s="174" t="n"/>
      <c r="BZ46" s="175" t="n"/>
      <c r="CA46" s="201">
        <f>SUMIFS(BI39:BI63, C39:C63, "C", K39:K63, "OP", AN39:AN63, "IEPS") + SUMIFS(BI39:BI63, C39:C63, "C", K39:K63, "OP", AN39:AN63, "IEPS RET")</f>
        <v/>
      </c>
      <c r="CB46" s="174" t="n"/>
      <c r="CC46" s="175" t="n"/>
      <c r="CD46" s="173">
        <f>SUMIFS(BL39:BL63, C39:C63, "C", K39:K63, "OP", AN39:AN63, "IEPS") + SUMIFS(BL39:BL63, C39:C63, "C", K39:K63, "OP", AN39:AN63, "IEPS RET")</f>
        <v/>
      </c>
      <c r="CE46" s="174" t="n"/>
      <c r="CF46" s="175" t="n"/>
      <c r="CG46" s="178">
        <f>+BV46+CS46+CD46+CA46</f>
        <v/>
      </c>
      <c r="CH46" s="174" t="n"/>
      <c r="CI46" s="174" t="n"/>
      <c r="CJ46" s="174" t="n"/>
      <c r="CK46" s="174" t="n"/>
      <c r="CL46" s="179" t="n"/>
    </row>
    <row r="47" ht="19.5" customFormat="1" customHeight="1" s="215">
      <c r="A47" s="217" t="n"/>
      <c r="B47" s="105" t="n">
        <v>9</v>
      </c>
      <c r="C47" s="203" t="n"/>
      <c r="D47" s="191" t="n"/>
      <c r="E47" s="169" t="n"/>
      <c r="F47" s="169" t="n"/>
      <c r="G47" s="169" t="n"/>
      <c r="H47" s="169" t="n"/>
      <c r="I47" s="169" t="n"/>
      <c r="J47" s="170" t="n"/>
      <c r="K47" s="203" t="n"/>
      <c r="L47" s="170" t="n"/>
      <c r="M47" s="181" t="n"/>
      <c r="N47" s="169" t="n"/>
      <c r="O47" s="169" t="n"/>
      <c r="P47" s="169" t="n"/>
      <c r="Q47" s="169" t="n"/>
      <c r="R47" s="170" t="n"/>
      <c r="S47" s="181" t="n"/>
      <c r="T47" s="169" t="n"/>
      <c r="U47" s="169" t="n"/>
      <c r="V47" s="169" t="n"/>
      <c r="W47" s="169" t="n"/>
      <c r="X47" s="170" t="n"/>
      <c r="Y47" s="181" t="n"/>
      <c r="Z47" s="169" t="n"/>
      <c r="AA47" s="169" t="n"/>
      <c r="AB47" s="169" t="n"/>
      <c r="AC47" s="169" t="n"/>
      <c r="AD47" s="169" t="n"/>
      <c r="AE47" s="169" t="n"/>
      <c r="AF47" s="169" t="n"/>
      <c r="AG47" s="170" t="n"/>
      <c r="AH47" s="159" t="n"/>
      <c r="AI47" s="222" t="n"/>
      <c r="AJ47" s="169" t="n"/>
      <c r="AK47" s="169" t="n"/>
      <c r="AL47" s="169" t="n"/>
      <c r="AM47" s="170" t="n"/>
      <c r="AN47" s="180" t="n"/>
      <c r="AO47" s="169" t="n"/>
      <c r="AP47" s="170" t="n"/>
      <c r="AQ47" s="168" t="n"/>
      <c r="AR47" s="169" t="n"/>
      <c r="AS47" s="170" t="n"/>
      <c r="AT47" s="193" t="n"/>
      <c r="AU47" s="169" t="n"/>
      <c r="AV47" s="169" t="n"/>
      <c r="AW47" s="170" t="n"/>
      <c r="AX47" s="176" t="n"/>
      <c r="AY47" s="169" t="n"/>
      <c r="AZ47" s="169" t="n"/>
      <c r="BA47" s="170" t="n"/>
      <c r="BB47" s="176" t="n"/>
      <c r="BC47" s="169" t="n"/>
      <c r="BD47" s="170" t="n"/>
      <c r="BE47" s="192">
        <f>+AX47+BB47</f>
        <v/>
      </c>
      <c r="BF47" s="174" t="n"/>
      <c r="BG47" s="174" t="n"/>
      <c r="BH47" s="175" t="n"/>
      <c r="BI47" s="176" t="n"/>
      <c r="BJ47" s="169" t="n"/>
      <c r="BK47" s="170" t="n"/>
      <c r="BL47" s="176" t="n"/>
      <c r="BM47" s="169" t="n"/>
      <c r="BN47" s="170" t="n"/>
      <c r="BO47" s="192">
        <f>+BE47+BI47+BL47</f>
        <v/>
      </c>
      <c r="BP47" s="174" t="n"/>
      <c r="BQ47" s="174" t="n"/>
      <c r="BR47" s="174" t="n"/>
      <c r="BS47" s="175" t="n"/>
      <c r="BT47" s="186" t="inlineStr">
        <is>
          <t>OTR</t>
        </is>
      </c>
      <c r="BU47" s="175" t="n"/>
      <c r="BV47" s="173">
        <f>SUMIFS(BE39:BE63, C39:C63, "C", K39:K63, "OP", AN39:AN63, "OTR") + SUMIFS(BE39:BE63, C39:C63, "C", K39:K63, "OP", AN39:AN63, "OTR RET")</f>
        <v/>
      </c>
      <c r="BW47" s="174" t="n"/>
      <c r="BX47" s="174" t="n"/>
      <c r="BY47" s="174" t="n"/>
      <c r="BZ47" s="175" t="n"/>
      <c r="CA47" s="201">
        <f>SUMIFS(BI39:BI63, C39:C63, "C", K39:K63, "OP", AN39:AN63, "OTR") + SUMIFS(BI39:BI63, C39:C63, "C", K39:K63, "OP", AN39:AN63, "OTR RET")</f>
        <v/>
      </c>
      <c r="CB47" s="174" t="n"/>
      <c r="CC47" s="175" t="n"/>
      <c r="CD47" s="173">
        <f>SUMIFS(BL39:BL63, C39:C63, "C", K39:K63, "OP", AN39:AN63, "OTR") + SUMIFS(BL39:BL63, C39:C63, "C", K39:K63, "OP", AN39:AN63, "OTR RET")</f>
        <v/>
      </c>
      <c r="CE47" s="174" t="n"/>
      <c r="CF47" s="175" t="n"/>
      <c r="CG47" s="178">
        <f>+BV47+CS47+CD47+CA47</f>
        <v/>
      </c>
      <c r="CH47" s="174" t="n"/>
      <c r="CI47" s="174" t="n"/>
      <c r="CJ47" s="174" t="n"/>
      <c r="CK47" s="174" t="n"/>
      <c r="CL47" s="179" t="n"/>
    </row>
    <row r="48" ht="19.5" customFormat="1" customHeight="1" s="215">
      <c r="A48" s="217" t="n"/>
      <c r="B48" s="105" t="n">
        <v>10</v>
      </c>
      <c r="C48" s="203" t="n"/>
      <c r="D48" s="191" t="n"/>
      <c r="E48" s="169" t="n"/>
      <c r="F48" s="169" t="n"/>
      <c r="G48" s="169" t="n"/>
      <c r="H48" s="169" t="n"/>
      <c r="I48" s="169" t="n"/>
      <c r="J48" s="170" t="n"/>
      <c r="K48" s="203" t="n"/>
      <c r="L48" s="170" t="n"/>
      <c r="M48" s="181" t="n"/>
      <c r="N48" s="169" t="n"/>
      <c r="O48" s="169" t="n"/>
      <c r="P48" s="169" t="n"/>
      <c r="Q48" s="169" t="n"/>
      <c r="R48" s="170" t="n"/>
      <c r="S48" s="181" t="n"/>
      <c r="T48" s="169" t="n"/>
      <c r="U48" s="169" t="n"/>
      <c r="V48" s="169" t="n"/>
      <c r="W48" s="169" t="n"/>
      <c r="X48" s="170" t="n"/>
      <c r="Y48" s="181" t="n"/>
      <c r="Z48" s="169" t="n"/>
      <c r="AA48" s="169" t="n"/>
      <c r="AB48" s="169" t="n"/>
      <c r="AC48" s="169" t="n"/>
      <c r="AD48" s="169" t="n"/>
      <c r="AE48" s="169" t="n"/>
      <c r="AF48" s="169" t="n"/>
      <c r="AG48" s="170" t="n"/>
      <c r="AH48" s="159" t="n"/>
      <c r="AI48" s="222" t="n"/>
      <c r="AJ48" s="169" t="n"/>
      <c r="AK48" s="169" t="n"/>
      <c r="AL48" s="169" t="n"/>
      <c r="AM48" s="170" t="n"/>
      <c r="AN48" s="180" t="n"/>
      <c r="AO48" s="169" t="n"/>
      <c r="AP48" s="170" t="n"/>
      <c r="AQ48" s="168" t="n"/>
      <c r="AR48" s="169" t="n"/>
      <c r="AS48" s="170" t="n"/>
      <c r="AT48" s="193" t="n"/>
      <c r="AU48" s="169" t="n"/>
      <c r="AV48" s="169" t="n"/>
      <c r="AW48" s="170" t="n"/>
      <c r="AX48" s="176" t="n"/>
      <c r="AY48" s="169" t="n"/>
      <c r="AZ48" s="169" t="n"/>
      <c r="BA48" s="170" t="n"/>
      <c r="BB48" s="176" t="n"/>
      <c r="BC48" s="169" t="n"/>
      <c r="BD48" s="170" t="n"/>
      <c r="BE48" s="192">
        <f>+AX48+BB48</f>
        <v/>
      </c>
      <c r="BF48" s="174" t="n"/>
      <c r="BG48" s="174" t="n"/>
      <c r="BH48" s="175" t="n"/>
      <c r="BI48" s="176" t="n"/>
      <c r="BJ48" s="169" t="n"/>
      <c r="BK48" s="170" t="n"/>
      <c r="BL48" s="176" t="n"/>
      <c r="BM48" s="169" t="n"/>
      <c r="BN48" s="170" t="n"/>
      <c r="BO48" s="192">
        <f>+BE48+BI48+BL48</f>
        <v/>
      </c>
      <c r="BP48" s="174" t="n"/>
      <c r="BQ48" s="174" t="n"/>
      <c r="BR48" s="174" t="n"/>
      <c r="BS48" s="175" t="n"/>
      <c r="BT48" s="280" t="inlineStr">
        <is>
          <t>TOTAL VIRTUALES DEL PERIODO</t>
        </is>
      </c>
      <c r="BU48" s="174" t="n"/>
      <c r="BV48" s="174" t="n"/>
      <c r="BW48" s="174" t="n"/>
      <c r="BX48" s="174" t="n"/>
      <c r="BY48" s="174" t="n"/>
      <c r="BZ48" s="174" t="n"/>
      <c r="CA48" s="174" t="n"/>
      <c r="CB48" s="174" t="n"/>
      <c r="CC48" s="174" t="n"/>
      <c r="CD48" s="174" t="n"/>
      <c r="CE48" s="174" t="n"/>
      <c r="CF48" s="174" t="n"/>
      <c r="CG48" s="174" t="n"/>
      <c r="CH48" s="174" t="n"/>
      <c r="CI48" s="174" t="n"/>
      <c r="CJ48" s="174" t="n"/>
      <c r="CK48" s="174" t="n"/>
      <c r="CL48" s="175" t="n"/>
    </row>
    <row r="49" ht="19.5" customFormat="1" customHeight="1" s="215">
      <c r="A49" s="217" t="n"/>
      <c r="B49" s="105" t="n">
        <v>11</v>
      </c>
      <c r="C49" s="203" t="n"/>
      <c r="D49" s="191" t="n"/>
      <c r="E49" s="169" t="n"/>
      <c r="F49" s="169" t="n"/>
      <c r="G49" s="169" t="n"/>
      <c r="H49" s="169" t="n"/>
      <c r="I49" s="169" t="n"/>
      <c r="J49" s="170" t="n"/>
      <c r="K49" s="203" t="n"/>
      <c r="L49" s="170" t="n"/>
      <c r="M49" s="181" t="n"/>
      <c r="N49" s="169" t="n"/>
      <c r="O49" s="169" t="n"/>
      <c r="P49" s="169" t="n"/>
      <c r="Q49" s="169" t="n"/>
      <c r="R49" s="170" t="n"/>
      <c r="S49" s="181" t="n"/>
      <c r="T49" s="169" t="n"/>
      <c r="U49" s="169" t="n"/>
      <c r="V49" s="169" t="n"/>
      <c r="W49" s="169" t="n"/>
      <c r="X49" s="170" t="n"/>
      <c r="Y49" s="181" t="n"/>
      <c r="Z49" s="169" t="n"/>
      <c r="AA49" s="169" t="n"/>
      <c r="AB49" s="169" t="n"/>
      <c r="AC49" s="169" t="n"/>
      <c r="AD49" s="169" t="n"/>
      <c r="AE49" s="169" t="n"/>
      <c r="AF49" s="169" t="n"/>
      <c r="AG49" s="170" t="n"/>
      <c r="AH49" s="159" t="n"/>
      <c r="AI49" s="222" t="n"/>
      <c r="AJ49" s="169" t="n"/>
      <c r="AK49" s="169" t="n"/>
      <c r="AL49" s="169" t="n"/>
      <c r="AM49" s="170" t="n"/>
      <c r="AN49" s="180" t="n"/>
      <c r="AO49" s="169" t="n"/>
      <c r="AP49" s="170" t="n"/>
      <c r="AQ49" s="168" t="n"/>
      <c r="AR49" s="169" t="n"/>
      <c r="AS49" s="170" t="n"/>
      <c r="AT49" s="193" t="n"/>
      <c r="AU49" s="169" t="n"/>
      <c r="AV49" s="169" t="n"/>
      <c r="AW49" s="170" t="n"/>
      <c r="AX49" s="176" t="n"/>
      <c r="AY49" s="169" t="n"/>
      <c r="AZ49" s="169" t="n"/>
      <c r="BA49" s="170" t="n"/>
      <c r="BB49" s="176" t="n"/>
      <c r="BC49" s="169" t="n"/>
      <c r="BD49" s="170" t="n"/>
      <c r="BE49" s="192">
        <f>+AX49+BB49</f>
        <v/>
      </c>
      <c r="BF49" s="174" t="n"/>
      <c r="BG49" s="174" t="n"/>
      <c r="BH49" s="175" t="n"/>
      <c r="BI49" s="176" t="n"/>
      <c r="BJ49" s="169" t="n"/>
      <c r="BK49" s="170" t="n"/>
      <c r="BL49" s="176" t="n"/>
      <c r="BM49" s="169" t="n"/>
      <c r="BN49" s="170" t="n"/>
      <c r="BO49" s="192">
        <f>+BE49+BI49+BL49</f>
        <v/>
      </c>
      <c r="BP49" s="174" t="n"/>
      <c r="BQ49" s="174" t="n"/>
      <c r="BR49" s="174" t="n"/>
      <c r="BS49" s="175" t="n"/>
      <c r="BT49" s="186" t="inlineStr">
        <is>
          <t>ISR</t>
        </is>
      </c>
      <c r="BU49" s="175" t="n"/>
      <c r="BV49" s="173">
        <f>SUMIFS(BE39:BE63, C39:C63, "V", K39:K63, "P", AN39:AN63, "ISR") + SUMIFS(BE39:BE63, C39:C63, "V", K39:K63, "P", AN39:AN63, "ISR RET")</f>
        <v/>
      </c>
      <c r="BW49" s="174" t="n"/>
      <c r="BX49" s="174" t="n"/>
      <c r="BY49" s="174" t="n"/>
      <c r="BZ49" s="175" t="n"/>
      <c r="CA49" s="201">
        <f>SUMIFS(BI39:BI63, C39:C63, "V", K39:K63, "P", AN39:AN63, "ISR") + SUMIFS(BI39:BI63, C39:C63, "V", K39:K63, "P", AN39:AN63, "ISR RET")</f>
        <v/>
      </c>
      <c r="CB49" s="174" t="n"/>
      <c r="CC49" s="175" t="n"/>
      <c r="CD49" s="173">
        <f>SUMIFS(BL39:BL63, C39:C63, "V", K39:K63, "P", AN39:AN63, "IVA") + SUMIFS(BL39:BL63, C39:C63, "V", K39:K63, "P", AN39:AN63, "IVA RET")</f>
        <v/>
      </c>
      <c r="CE49" s="174" t="n"/>
      <c r="CF49" s="175" t="n"/>
      <c r="CG49" s="178">
        <f>+BV49+CS49+CD49+CA49</f>
        <v/>
      </c>
      <c r="CH49" s="174" t="n"/>
      <c r="CI49" s="174" t="n"/>
      <c r="CJ49" s="174" t="n"/>
      <c r="CK49" s="174" t="n"/>
      <c r="CL49" s="179" t="n"/>
    </row>
    <row r="50" ht="19.5" customFormat="1" customHeight="1" s="215">
      <c r="A50" s="217" t="n"/>
      <c r="B50" s="105" t="n">
        <v>12</v>
      </c>
      <c r="C50" s="203" t="n"/>
      <c r="D50" s="191" t="n"/>
      <c r="E50" s="169" t="n"/>
      <c r="F50" s="169" t="n"/>
      <c r="G50" s="169" t="n"/>
      <c r="H50" s="169" t="n"/>
      <c r="I50" s="169" t="n"/>
      <c r="J50" s="170" t="n"/>
      <c r="K50" s="203" t="n"/>
      <c r="L50" s="170" t="n"/>
      <c r="M50" s="181" t="n"/>
      <c r="N50" s="169" t="n"/>
      <c r="O50" s="169" t="n"/>
      <c r="P50" s="169" t="n"/>
      <c r="Q50" s="169" t="n"/>
      <c r="R50" s="170" t="n"/>
      <c r="S50" s="181" t="n"/>
      <c r="T50" s="169" t="n"/>
      <c r="U50" s="169" t="n"/>
      <c r="V50" s="169" t="n"/>
      <c r="W50" s="169" t="n"/>
      <c r="X50" s="170" t="n"/>
      <c r="Y50" s="181" t="n"/>
      <c r="Z50" s="169" t="n"/>
      <c r="AA50" s="169" t="n"/>
      <c r="AB50" s="169" t="n"/>
      <c r="AC50" s="169" t="n"/>
      <c r="AD50" s="169" t="n"/>
      <c r="AE50" s="169" t="n"/>
      <c r="AF50" s="169" t="n"/>
      <c r="AG50" s="170" t="n"/>
      <c r="AH50" s="159" t="n"/>
      <c r="AI50" s="222" t="n"/>
      <c r="AJ50" s="169" t="n"/>
      <c r="AK50" s="169" t="n"/>
      <c r="AL50" s="169" t="n"/>
      <c r="AM50" s="170" t="n"/>
      <c r="AN50" s="180" t="n"/>
      <c r="AO50" s="169" t="n"/>
      <c r="AP50" s="170" t="n"/>
      <c r="AQ50" s="168" t="n"/>
      <c r="AR50" s="169" t="n"/>
      <c r="AS50" s="170" t="n"/>
      <c r="AT50" s="193" t="n"/>
      <c r="AU50" s="169" t="n"/>
      <c r="AV50" s="169" t="n"/>
      <c r="AW50" s="170" t="n"/>
      <c r="AX50" s="176" t="n"/>
      <c r="AY50" s="169" t="n"/>
      <c r="AZ50" s="169" t="n"/>
      <c r="BA50" s="170" t="n"/>
      <c r="BB50" s="176" t="n"/>
      <c r="BC50" s="169" t="n"/>
      <c r="BD50" s="170" t="n"/>
      <c r="BE50" s="192">
        <f>+AX50+BB50</f>
        <v/>
      </c>
      <c r="BF50" s="174" t="n"/>
      <c r="BG50" s="174" t="n"/>
      <c r="BH50" s="175" t="n"/>
      <c r="BI50" s="176" t="n"/>
      <c r="BJ50" s="169" t="n"/>
      <c r="BK50" s="170" t="n"/>
      <c r="BL50" s="176" t="n"/>
      <c r="BM50" s="169" t="n"/>
      <c r="BN50" s="170" t="n"/>
      <c r="BO50" s="192">
        <f>+BE50+BI50+BL50</f>
        <v/>
      </c>
      <c r="BP50" s="174" t="n"/>
      <c r="BQ50" s="174" t="n"/>
      <c r="BR50" s="174" t="n"/>
      <c r="BS50" s="175" t="n"/>
      <c r="BT50" s="186" t="inlineStr">
        <is>
          <t>IVA</t>
        </is>
      </c>
      <c r="BU50" s="175" t="n"/>
      <c r="BV50" s="173">
        <f>SUMIFS(BE39:BE63, C39:C63, "V", K39:K63, "P", AN39:AN63, "IVA") + SUMIFS(BE39:BE63, C39:C63, "V", K39:K63, "P", AN39:AN63, "IVA RET")</f>
        <v/>
      </c>
      <c r="BW50" s="174" t="n"/>
      <c r="BX50" s="174" t="n"/>
      <c r="BY50" s="174" t="n"/>
      <c r="BZ50" s="175" t="n"/>
      <c r="CA50" s="201">
        <f>SUMIFS(BI39:BI63, C39:C63, "V", K39:K63, "P", AN39:AN63, "IVA") + SUMIFS(BI39:BI63, C39:C63, "V", K39:K63, "P", AN39:AN63, "IVA RET")</f>
        <v/>
      </c>
      <c r="CB50" s="174" t="n"/>
      <c r="CC50" s="175" t="n"/>
      <c r="CD50" s="173">
        <f>SUMIFS(BL39:BL63, C39:C63, "V", K39:K63, "P", AN39:AN63, "IVA") + SUMIFS(BL39:BL63, C39:C63, "V", K39:K63, "P", AN39:AN63, "IVA RET")</f>
        <v/>
      </c>
      <c r="CE50" s="174" t="n"/>
      <c r="CF50" s="175" t="n"/>
      <c r="CG50" s="178">
        <f>+BV50+CS50+CD50+CA50</f>
        <v/>
      </c>
      <c r="CH50" s="174" t="n"/>
      <c r="CI50" s="174" t="n"/>
      <c r="CJ50" s="174" t="n"/>
      <c r="CK50" s="174" t="n"/>
      <c r="CL50" s="179" t="n"/>
    </row>
    <row r="51" ht="19.5" customFormat="1" customHeight="1" s="215">
      <c r="A51" s="217" t="n"/>
      <c r="B51" s="105" t="n">
        <v>13</v>
      </c>
      <c r="C51" s="203" t="n"/>
      <c r="D51" s="191" t="n"/>
      <c r="E51" s="169" t="n"/>
      <c r="F51" s="169" t="n"/>
      <c r="G51" s="169" t="n"/>
      <c r="H51" s="169" t="n"/>
      <c r="I51" s="169" t="n"/>
      <c r="J51" s="170" t="n"/>
      <c r="K51" s="203" t="n"/>
      <c r="L51" s="170" t="n"/>
      <c r="M51" s="181" t="n"/>
      <c r="N51" s="169" t="n"/>
      <c r="O51" s="169" t="n"/>
      <c r="P51" s="169" t="n"/>
      <c r="Q51" s="169" t="n"/>
      <c r="R51" s="170" t="n"/>
      <c r="S51" s="181" t="n"/>
      <c r="T51" s="169" t="n"/>
      <c r="U51" s="169" t="n"/>
      <c r="V51" s="169" t="n"/>
      <c r="W51" s="169" t="n"/>
      <c r="X51" s="170" t="n"/>
      <c r="Y51" s="181" t="n"/>
      <c r="Z51" s="169" t="n"/>
      <c r="AA51" s="169" t="n"/>
      <c r="AB51" s="169" t="n"/>
      <c r="AC51" s="169" t="n"/>
      <c r="AD51" s="169" t="n"/>
      <c r="AE51" s="169" t="n"/>
      <c r="AF51" s="169" t="n"/>
      <c r="AG51" s="170" t="n"/>
      <c r="AH51" s="159" t="n"/>
      <c r="AI51" s="222" t="n"/>
      <c r="AJ51" s="169" t="n"/>
      <c r="AK51" s="169" t="n"/>
      <c r="AL51" s="169" t="n"/>
      <c r="AM51" s="170" t="n"/>
      <c r="AN51" s="180" t="n"/>
      <c r="AO51" s="169" t="n"/>
      <c r="AP51" s="170" t="n"/>
      <c r="AQ51" s="168" t="n"/>
      <c r="AR51" s="169" t="n"/>
      <c r="AS51" s="170" t="n"/>
      <c r="AT51" s="193" t="n"/>
      <c r="AU51" s="169" t="n"/>
      <c r="AV51" s="169" t="n"/>
      <c r="AW51" s="170" t="n"/>
      <c r="AX51" s="176" t="n"/>
      <c r="AY51" s="169" t="n"/>
      <c r="AZ51" s="169" t="n"/>
      <c r="BA51" s="170" t="n"/>
      <c r="BB51" s="176" t="n"/>
      <c r="BC51" s="169" t="n"/>
      <c r="BD51" s="170" t="n"/>
      <c r="BE51" s="192">
        <f>+AX51+BB51</f>
        <v/>
      </c>
      <c r="BF51" s="174" t="n"/>
      <c r="BG51" s="174" t="n"/>
      <c r="BH51" s="175" t="n"/>
      <c r="BI51" s="176" t="n"/>
      <c r="BJ51" s="169" t="n"/>
      <c r="BK51" s="170" t="n"/>
      <c r="BL51" s="176" t="n"/>
      <c r="BM51" s="169" t="n"/>
      <c r="BN51" s="170" t="n"/>
      <c r="BO51" s="192">
        <f>+BE51+BI51+BL51</f>
        <v/>
      </c>
      <c r="BP51" s="174" t="n"/>
      <c r="BQ51" s="174" t="n"/>
      <c r="BR51" s="174" t="n"/>
      <c r="BS51" s="175" t="n"/>
      <c r="BT51" s="186" t="inlineStr">
        <is>
          <t>IEPS</t>
        </is>
      </c>
      <c r="BU51" s="175" t="n"/>
      <c r="BV51" s="173">
        <f>SUMIFS(BE39:BE63, C39:C63, "V", K39:K63, "P", AN39:AN63, "IEPS") + SUMIFS(BE39:BE63, C39:C63, "V", K39:K63, "P", AN39:AN63, "IEPS RET")</f>
        <v/>
      </c>
      <c r="BW51" s="174" t="n"/>
      <c r="BX51" s="174" t="n"/>
      <c r="BY51" s="174" t="n"/>
      <c r="BZ51" s="175" t="n"/>
      <c r="CA51" s="201">
        <f>SUMIFS(BI39:BI63, C39:C63, "V", K39:K63, "P", AN39:AN63, "IEPS") + SUMIFS(BI39:BI63, C39:C63, "V", K39:K63, "P", AN39:AN63, "IEPS RET")</f>
        <v/>
      </c>
      <c r="CB51" s="174" t="n"/>
      <c r="CC51" s="175" t="n"/>
      <c r="CD51" s="173">
        <f>SUMIFS(BL39:BL63, C39:C63, "V", K39:K63, "P", AN39:AN63, "IEPS") + SUMIFS(BL39:BL63, C39:C63, "V", K39:K63, "P", AN39:AN63, "IEPS RET")</f>
        <v/>
      </c>
      <c r="CE51" s="174" t="n"/>
      <c r="CF51" s="175" t="n"/>
      <c r="CG51" s="178">
        <f>+BV51+CS51+CD51+CA51</f>
        <v/>
      </c>
      <c r="CH51" s="174" t="n"/>
      <c r="CI51" s="174" t="n"/>
      <c r="CJ51" s="174" t="n"/>
      <c r="CK51" s="174" t="n"/>
      <c r="CL51" s="179" t="n"/>
    </row>
    <row r="52" ht="19.5" customFormat="1" customHeight="1" s="215">
      <c r="A52" s="217" t="n"/>
      <c r="B52" s="105" t="n">
        <v>14</v>
      </c>
      <c r="C52" s="203" t="n"/>
      <c r="D52" s="191" t="n"/>
      <c r="E52" s="169" t="n"/>
      <c r="F52" s="169" t="n"/>
      <c r="G52" s="169" t="n"/>
      <c r="H52" s="169" t="n"/>
      <c r="I52" s="169" t="n"/>
      <c r="J52" s="170" t="n"/>
      <c r="K52" s="203" t="n"/>
      <c r="L52" s="170" t="n"/>
      <c r="M52" s="181" t="n"/>
      <c r="N52" s="169" t="n"/>
      <c r="O52" s="169" t="n"/>
      <c r="P52" s="169" t="n"/>
      <c r="Q52" s="169" t="n"/>
      <c r="R52" s="170" t="n"/>
      <c r="S52" s="181" t="n"/>
      <c r="T52" s="169" t="n"/>
      <c r="U52" s="169" t="n"/>
      <c r="V52" s="169" t="n"/>
      <c r="W52" s="169" t="n"/>
      <c r="X52" s="170" t="n"/>
      <c r="Y52" s="181" t="n"/>
      <c r="Z52" s="169" t="n"/>
      <c r="AA52" s="169" t="n"/>
      <c r="AB52" s="169" t="n"/>
      <c r="AC52" s="169" t="n"/>
      <c r="AD52" s="169" t="n"/>
      <c r="AE52" s="169" t="n"/>
      <c r="AF52" s="169" t="n"/>
      <c r="AG52" s="170" t="n"/>
      <c r="AH52" s="159" t="n"/>
      <c r="AI52" s="222" t="n"/>
      <c r="AJ52" s="169" t="n"/>
      <c r="AK52" s="169" t="n"/>
      <c r="AL52" s="169" t="n"/>
      <c r="AM52" s="170" t="n"/>
      <c r="AN52" s="180" t="n"/>
      <c r="AO52" s="169" t="n"/>
      <c r="AP52" s="170" t="n"/>
      <c r="AQ52" s="168" t="n"/>
      <c r="AR52" s="169" t="n"/>
      <c r="AS52" s="170" t="n"/>
      <c r="AT52" s="193" t="n"/>
      <c r="AU52" s="169" t="n"/>
      <c r="AV52" s="169" t="n"/>
      <c r="AW52" s="170" t="n"/>
      <c r="AX52" s="176" t="n"/>
      <c r="AY52" s="169" t="n"/>
      <c r="AZ52" s="169" t="n"/>
      <c r="BA52" s="170" t="n"/>
      <c r="BB52" s="176" t="n"/>
      <c r="BC52" s="169" t="n"/>
      <c r="BD52" s="170" t="n"/>
      <c r="BE52" s="192">
        <f>+AX52+BB52</f>
        <v/>
      </c>
      <c r="BF52" s="174" t="n"/>
      <c r="BG52" s="174" t="n"/>
      <c r="BH52" s="175" t="n"/>
      <c r="BI52" s="176" t="n"/>
      <c r="BJ52" s="169" t="n"/>
      <c r="BK52" s="170" t="n"/>
      <c r="BL52" s="176" t="n"/>
      <c r="BM52" s="169" t="n"/>
      <c r="BN52" s="170" t="n"/>
      <c r="BO52" s="192">
        <f>+BE52+BI52+BL52</f>
        <v/>
      </c>
      <c r="BP52" s="174" t="n"/>
      <c r="BQ52" s="174" t="n"/>
      <c r="BR52" s="174" t="n"/>
      <c r="BS52" s="175" t="n"/>
      <c r="BT52" s="186" t="inlineStr">
        <is>
          <t>OTR</t>
        </is>
      </c>
      <c r="BU52" s="175" t="n"/>
      <c r="BV52" s="173">
        <f>SUMIFS(BE39:BE63, C39:C63, "V", K39:K63, "P", AN39:AN63, "OTR") + SUMIFS(BE39:BE63, C39:C63, "V", K39:K63, "P", AN39:AN63, "OTR RET")</f>
        <v/>
      </c>
      <c r="BW52" s="174" t="n"/>
      <c r="BX52" s="174" t="n"/>
      <c r="BY52" s="174" t="n"/>
      <c r="BZ52" s="175" t="n"/>
      <c r="CA52" s="201">
        <f>SUMIFS(BI39:BI63, C39:C63, "V", K39:K63, "P", AN39:AN63, "OTR") + SUMIFS(BI39:BI63, C39:C63, "V", K39:K63, "P", AN39:AN63, "OTR RET")</f>
        <v/>
      </c>
      <c r="CB52" s="174" t="n"/>
      <c r="CC52" s="175" t="n"/>
      <c r="CD52" s="173">
        <f>SUMIFS(BL39:BL63, C39:C63, "V", K39:K63, "P", AN39:AN63, "OTR") + SUMIFS(BL39:BL63, C39:C63, "V", K39:K63, "P", AN39:AN63, "OTR RET")</f>
        <v/>
      </c>
      <c r="CE52" s="174" t="n"/>
      <c r="CF52" s="175" t="n"/>
      <c r="CG52" s="178">
        <f>+BV52+CS52+CD52+CA52</f>
        <v/>
      </c>
      <c r="CH52" s="174" t="n"/>
      <c r="CI52" s="174" t="n"/>
      <c r="CJ52" s="174" t="n"/>
      <c r="CK52" s="174" t="n"/>
      <c r="CL52" s="179" t="n"/>
    </row>
    <row r="53" ht="19.5" customFormat="1" customHeight="1" s="215">
      <c r="A53" s="217" t="n"/>
      <c r="B53" s="105" t="n">
        <v>15</v>
      </c>
      <c r="C53" s="203" t="n"/>
      <c r="D53" s="191" t="n"/>
      <c r="E53" s="169" t="n"/>
      <c r="F53" s="169" t="n"/>
      <c r="G53" s="169" t="n"/>
      <c r="H53" s="169" t="n"/>
      <c r="I53" s="169" t="n"/>
      <c r="J53" s="170" t="n"/>
      <c r="K53" s="203" t="n"/>
      <c r="L53" s="170" t="n"/>
      <c r="M53" s="181" t="n"/>
      <c r="N53" s="169" t="n"/>
      <c r="O53" s="169" t="n"/>
      <c r="P53" s="169" t="n"/>
      <c r="Q53" s="169" t="n"/>
      <c r="R53" s="170" t="n"/>
      <c r="S53" s="181" t="n"/>
      <c r="T53" s="169" t="n"/>
      <c r="U53" s="169" t="n"/>
      <c r="V53" s="169" t="n"/>
      <c r="W53" s="169" t="n"/>
      <c r="X53" s="170" t="n"/>
      <c r="Y53" s="181" t="n"/>
      <c r="Z53" s="169" t="n"/>
      <c r="AA53" s="169" t="n"/>
      <c r="AB53" s="169" t="n"/>
      <c r="AC53" s="169" t="n"/>
      <c r="AD53" s="169" t="n"/>
      <c r="AE53" s="169" t="n"/>
      <c r="AF53" s="169" t="n"/>
      <c r="AG53" s="170" t="n"/>
      <c r="AH53" s="159" t="n"/>
      <c r="AI53" s="222" t="n"/>
      <c r="AJ53" s="169" t="n"/>
      <c r="AK53" s="169" t="n"/>
      <c r="AL53" s="169" t="n"/>
      <c r="AM53" s="170" t="n"/>
      <c r="AN53" s="180" t="n"/>
      <c r="AO53" s="169" t="n"/>
      <c r="AP53" s="170" t="n"/>
      <c r="AQ53" s="168" t="n"/>
      <c r="AR53" s="169" t="n"/>
      <c r="AS53" s="170" t="n"/>
      <c r="AT53" s="193" t="n"/>
      <c r="AU53" s="169" t="n"/>
      <c r="AV53" s="169" t="n"/>
      <c r="AW53" s="170" t="n"/>
      <c r="AX53" s="176" t="n"/>
      <c r="AY53" s="169" t="n"/>
      <c r="AZ53" s="169" t="n"/>
      <c r="BA53" s="170" t="n"/>
      <c r="BB53" s="176" t="n"/>
      <c r="BC53" s="169" t="n"/>
      <c r="BD53" s="170" t="n"/>
      <c r="BE53" s="192">
        <f>+AX53+BB53</f>
        <v/>
      </c>
      <c r="BF53" s="174" t="n"/>
      <c r="BG53" s="174" t="n"/>
      <c r="BH53" s="175" t="n"/>
      <c r="BI53" s="176" t="n"/>
      <c r="BJ53" s="169" t="n"/>
      <c r="BK53" s="170" t="n"/>
      <c r="BL53" s="176" t="n"/>
      <c r="BM53" s="169" t="n"/>
      <c r="BN53" s="170" t="n"/>
      <c r="BO53" s="192">
        <f>+BE53+BI53+BL53</f>
        <v/>
      </c>
      <c r="BP53" s="174" t="n"/>
      <c r="BQ53" s="174" t="n"/>
      <c r="BR53" s="174" t="n"/>
      <c r="BS53" s="175" t="n"/>
      <c r="BT53" s="280" t="inlineStr">
        <is>
          <t>TOTAL VIRTUALES DE OTROS PERIODOS</t>
        </is>
      </c>
      <c r="BU53" s="174" t="n"/>
      <c r="BV53" s="174" t="n"/>
      <c r="BW53" s="174" t="n"/>
      <c r="BX53" s="174" t="n"/>
      <c r="BY53" s="174" t="n"/>
      <c r="BZ53" s="174" t="n"/>
      <c r="CA53" s="174" t="n"/>
      <c r="CB53" s="174" t="n"/>
      <c r="CC53" s="174" t="n"/>
      <c r="CD53" s="174" t="n"/>
      <c r="CE53" s="174" t="n"/>
      <c r="CF53" s="174" t="n"/>
      <c r="CG53" s="174" t="n"/>
      <c r="CH53" s="174" t="n"/>
      <c r="CI53" s="174" t="n"/>
      <c r="CJ53" s="174" t="n"/>
      <c r="CK53" s="174" t="n"/>
      <c r="CL53" s="175" t="n"/>
    </row>
    <row r="54" ht="19.5" customFormat="1" customHeight="1" s="215">
      <c r="A54" s="217" t="n"/>
      <c r="B54" s="105" t="n">
        <v>16</v>
      </c>
      <c r="C54" s="203" t="n"/>
      <c r="D54" s="191" t="n"/>
      <c r="E54" s="169" t="n"/>
      <c r="F54" s="169" t="n"/>
      <c r="G54" s="169" t="n"/>
      <c r="H54" s="169" t="n"/>
      <c r="I54" s="169" t="n"/>
      <c r="J54" s="170" t="n"/>
      <c r="K54" s="203" t="n"/>
      <c r="L54" s="170" t="n"/>
      <c r="M54" s="181" t="n"/>
      <c r="N54" s="169" t="n"/>
      <c r="O54" s="169" t="n"/>
      <c r="P54" s="169" t="n"/>
      <c r="Q54" s="169" t="n"/>
      <c r="R54" s="170" t="n"/>
      <c r="S54" s="181" t="n"/>
      <c r="T54" s="169" t="n"/>
      <c r="U54" s="169" t="n"/>
      <c r="V54" s="169" t="n"/>
      <c r="W54" s="169" t="n"/>
      <c r="X54" s="170" t="n"/>
      <c r="Y54" s="181" t="n"/>
      <c r="Z54" s="169" t="n"/>
      <c r="AA54" s="169" t="n"/>
      <c r="AB54" s="169" t="n"/>
      <c r="AC54" s="169" t="n"/>
      <c r="AD54" s="169" t="n"/>
      <c r="AE54" s="169" t="n"/>
      <c r="AF54" s="169" t="n"/>
      <c r="AG54" s="170" t="n"/>
      <c r="AH54" s="159" t="n"/>
      <c r="AI54" s="222" t="n"/>
      <c r="AJ54" s="169" t="n"/>
      <c r="AK54" s="169" t="n"/>
      <c r="AL54" s="169" t="n"/>
      <c r="AM54" s="170" t="n"/>
      <c r="AN54" s="180" t="n"/>
      <c r="AO54" s="169" t="n"/>
      <c r="AP54" s="170" t="n"/>
      <c r="AQ54" s="168" t="n"/>
      <c r="AR54" s="169" t="n"/>
      <c r="AS54" s="170" t="n"/>
      <c r="AT54" s="193" t="n"/>
      <c r="AU54" s="169" t="n"/>
      <c r="AV54" s="169" t="n"/>
      <c r="AW54" s="170" t="n"/>
      <c r="AX54" s="176" t="n"/>
      <c r="AY54" s="169" t="n"/>
      <c r="AZ54" s="169" t="n"/>
      <c r="BA54" s="170" t="n"/>
      <c r="BB54" s="176" t="n"/>
      <c r="BC54" s="169" t="n"/>
      <c r="BD54" s="170" t="n"/>
      <c r="BE54" s="192">
        <f>+AX54+BB54</f>
        <v/>
      </c>
      <c r="BF54" s="174" t="n"/>
      <c r="BG54" s="174" t="n"/>
      <c r="BH54" s="175" t="n"/>
      <c r="BI54" s="176" t="n"/>
      <c r="BJ54" s="169" t="n"/>
      <c r="BK54" s="170" t="n"/>
      <c r="BL54" s="176" t="n"/>
      <c r="BM54" s="169" t="n"/>
      <c r="BN54" s="170" t="n"/>
      <c r="BO54" s="192">
        <f>+BE54+BI54+BL54</f>
        <v/>
      </c>
      <c r="BP54" s="174" t="n"/>
      <c r="BQ54" s="174" t="n"/>
      <c r="BR54" s="174" t="n"/>
      <c r="BS54" s="175" t="n"/>
      <c r="BT54" s="186" t="inlineStr">
        <is>
          <t>ISR</t>
        </is>
      </c>
      <c r="BU54" s="175" t="n"/>
      <c r="BV54" s="173">
        <f>SUMIFS(BE39:BE63, C39:C63, "V", K39:K63, "OP", AN39:AN63, "ISR") + SUMIFS(BE39:BE63, C39:C63, "V", K39:K63, "OP", AN39:AN63, "ISR RET")</f>
        <v/>
      </c>
      <c r="BW54" s="174" t="n"/>
      <c r="BX54" s="174" t="n"/>
      <c r="BY54" s="174" t="n"/>
      <c r="BZ54" s="175" t="n"/>
      <c r="CA54" s="201">
        <f>SUMIFS(BI39:BI63, C39:C63, "V", K39:K63, "OP", AN39:AN63, "ISR") + SUMIFS(BI39:BI63, C39:C63, "V", K39:K63, "OP", AN39:AN63, "ISR RET")</f>
        <v/>
      </c>
      <c r="CB54" s="174" t="n"/>
      <c r="CC54" s="175" t="n"/>
      <c r="CD54" s="173">
        <f>SUMIFS(BL39:BL63, C39:C63, "V", K39:K63, "OP", AN39:AN63, "IVA") + SUMIFS(BL39:BL63, C39:C63, "V", K39:K63, "OP", AN39:AN63, "IVA RET")</f>
        <v/>
      </c>
      <c r="CE54" s="174" t="n"/>
      <c r="CF54" s="175" t="n"/>
      <c r="CG54" s="178">
        <f>+BV54+CS54+CD54+CA54</f>
        <v/>
      </c>
      <c r="CH54" s="174" t="n"/>
      <c r="CI54" s="174" t="n"/>
      <c r="CJ54" s="174" t="n"/>
      <c r="CK54" s="174" t="n"/>
      <c r="CL54" s="179" t="n"/>
    </row>
    <row r="55" ht="19.5" customFormat="1" customHeight="1" s="215">
      <c r="A55" s="217" t="n"/>
      <c r="B55" s="105" t="n">
        <v>17</v>
      </c>
      <c r="C55" s="203" t="n"/>
      <c r="D55" s="191" t="n"/>
      <c r="E55" s="169" t="n"/>
      <c r="F55" s="169" t="n"/>
      <c r="G55" s="169" t="n"/>
      <c r="H55" s="169" t="n"/>
      <c r="I55" s="169" t="n"/>
      <c r="J55" s="170" t="n"/>
      <c r="K55" s="203" t="n"/>
      <c r="L55" s="170" t="n"/>
      <c r="M55" s="181" t="n"/>
      <c r="N55" s="169" t="n"/>
      <c r="O55" s="169" t="n"/>
      <c r="P55" s="169" t="n"/>
      <c r="Q55" s="169" t="n"/>
      <c r="R55" s="170" t="n"/>
      <c r="S55" s="181" t="n"/>
      <c r="T55" s="169" t="n"/>
      <c r="U55" s="169" t="n"/>
      <c r="V55" s="169" t="n"/>
      <c r="W55" s="169" t="n"/>
      <c r="X55" s="170" t="n"/>
      <c r="Y55" s="181" t="n"/>
      <c r="Z55" s="169" t="n"/>
      <c r="AA55" s="169" t="n"/>
      <c r="AB55" s="169" t="n"/>
      <c r="AC55" s="169" t="n"/>
      <c r="AD55" s="169" t="n"/>
      <c r="AE55" s="169" t="n"/>
      <c r="AF55" s="169" t="n"/>
      <c r="AG55" s="170" t="n"/>
      <c r="AH55" s="159" t="n"/>
      <c r="AI55" s="222" t="n"/>
      <c r="AJ55" s="169" t="n"/>
      <c r="AK55" s="169" t="n"/>
      <c r="AL55" s="169" t="n"/>
      <c r="AM55" s="170" t="n"/>
      <c r="AN55" s="180" t="n"/>
      <c r="AO55" s="169" t="n"/>
      <c r="AP55" s="170" t="n"/>
      <c r="AQ55" s="168" t="n"/>
      <c r="AR55" s="169" t="n"/>
      <c r="AS55" s="170" t="n"/>
      <c r="AT55" s="193" t="n"/>
      <c r="AU55" s="169" t="n"/>
      <c r="AV55" s="169" t="n"/>
      <c r="AW55" s="170" t="n"/>
      <c r="AX55" s="176" t="n"/>
      <c r="AY55" s="169" t="n"/>
      <c r="AZ55" s="169" t="n"/>
      <c r="BA55" s="170" t="n"/>
      <c r="BB55" s="176" t="n"/>
      <c r="BC55" s="169" t="n"/>
      <c r="BD55" s="170" t="n"/>
      <c r="BE55" s="192">
        <f>+AX55+BB55</f>
        <v/>
      </c>
      <c r="BF55" s="174" t="n"/>
      <c r="BG55" s="174" t="n"/>
      <c r="BH55" s="175" t="n"/>
      <c r="BI55" s="176" t="n"/>
      <c r="BJ55" s="169" t="n"/>
      <c r="BK55" s="170" t="n"/>
      <c r="BL55" s="176" t="n"/>
      <c r="BM55" s="169" t="n"/>
      <c r="BN55" s="170" t="n"/>
      <c r="BO55" s="192">
        <f>+BE55+BI55+BL55</f>
        <v/>
      </c>
      <c r="BP55" s="174" t="n"/>
      <c r="BQ55" s="174" t="n"/>
      <c r="BR55" s="174" t="n"/>
      <c r="BS55" s="175" t="n"/>
      <c r="BT55" s="186" t="inlineStr">
        <is>
          <t>IVA</t>
        </is>
      </c>
      <c r="BU55" s="175" t="n"/>
      <c r="BV55" s="173">
        <f>SUMIFS(BE39:BE63, C39:C63, "V", K39:K63, "OP", AN39:AN63, "IVA") + SUMIFS(BE39:BE63, C39:C63, "V", K39:K63, "OP", AN39:AN63, "IVA RET")</f>
        <v/>
      </c>
      <c r="BW55" s="174" t="n"/>
      <c r="BX55" s="174" t="n"/>
      <c r="BY55" s="174" t="n"/>
      <c r="BZ55" s="175" t="n"/>
      <c r="CA55" s="201">
        <f>SUMIFS(BI39:BI63, C39:C63, "V", K39:K63, "OP", AN39:AN63, "IVA") + SUMIFS(BI39:BI63, C39:C63, "V", K39:K63, "OP", AN39:AN63, "IVA RET")</f>
        <v/>
      </c>
      <c r="CB55" s="174" t="n"/>
      <c r="CC55" s="175" t="n"/>
      <c r="CD55" s="173">
        <f>SUMIFS(BL39:BL63, C39:C63, "V", K39:K63, "OP", AN39:AN63, "IVA") + SUMIFS(BL39:BL63, C39:C63, "V", K39:K63, "OP", AN39:AN63, "IVA RET")</f>
        <v/>
      </c>
      <c r="CE55" s="174" t="n"/>
      <c r="CF55" s="175" t="n"/>
      <c r="CG55" s="178">
        <f>+BV55+CS55+CD55+CA55</f>
        <v/>
      </c>
      <c r="CH55" s="174" t="n"/>
      <c r="CI55" s="174" t="n"/>
      <c r="CJ55" s="174" t="n"/>
      <c r="CK55" s="174" t="n"/>
      <c r="CL55" s="179" t="n"/>
    </row>
    <row r="56" ht="19.5" customFormat="1" customHeight="1" s="215">
      <c r="A56" s="217" t="n"/>
      <c r="B56" s="105" t="n">
        <v>18</v>
      </c>
      <c r="C56" s="203" t="n"/>
      <c r="D56" s="191" t="n"/>
      <c r="E56" s="169" t="n"/>
      <c r="F56" s="169" t="n"/>
      <c r="G56" s="169" t="n"/>
      <c r="H56" s="169" t="n"/>
      <c r="I56" s="169" t="n"/>
      <c r="J56" s="170" t="n"/>
      <c r="K56" s="203" t="n"/>
      <c r="L56" s="170" t="n"/>
      <c r="M56" s="181" t="n"/>
      <c r="N56" s="169" t="n"/>
      <c r="O56" s="169" t="n"/>
      <c r="P56" s="169" t="n"/>
      <c r="Q56" s="169" t="n"/>
      <c r="R56" s="170" t="n"/>
      <c r="S56" s="181" t="n"/>
      <c r="T56" s="169" t="n"/>
      <c r="U56" s="169" t="n"/>
      <c r="V56" s="169" t="n"/>
      <c r="W56" s="169" t="n"/>
      <c r="X56" s="170" t="n"/>
      <c r="Y56" s="181" t="n"/>
      <c r="Z56" s="169" t="n"/>
      <c r="AA56" s="169" t="n"/>
      <c r="AB56" s="169" t="n"/>
      <c r="AC56" s="169" t="n"/>
      <c r="AD56" s="169" t="n"/>
      <c r="AE56" s="169" t="n"/>
      <c r="AF56" s="169" t="n"/>
      <c r="AG56" s="170" t="n"/>
      <c r="AH56" s="159" t="n"/>
      <c r="AI56" s="222" t="n"/>
      <c r="AJ56" s="169" t="n"/>
      <c r="AK56" s="169" t="n"/>
      <c r="AL56" s="169" t="n"/>
      <c r="AM56" s="170" t="n"/>
      <c r="AN56" s="180" t="n"/>
      <c r="AO56" s="169" t="n"/>
      <c r="AP56" s="170" t="n"/>
      <c r="AQ56" s="168" t="n"/>
      <c r="AR56" s="169" t="n"/>
      <c r="AS56" s="170" t="n"/>
      <c r="AT56" s="193" t="n"/>
      <c r="AU56" s="169" t="n"/>
      <c r="AV56" s="169" t="n"/>
      <c r="AW56" s="170" t="n"/>
      <c r="AX56" s="176" t="n"/>
      <c r="AY56" s="169" t="n"/>
      <c r="AZ56" s="169" t="n"/>
      <c r="BA56" s="170" t="n"/>
      <c r="BB56" s="176" t="n"/>
      <c r="BC56" s="169" t="n"/>
      <c r="BD56" s="170" t="n"/>
      <c r="BE56" s="192">
        <f>+AX56+BB56</f>
        <v/>
      </c>
      <c r="BF56" s="174" t="n"/>
      <c r="BG56" s="174" t="n"/>
      <c r="BH56" s="175" t="n"/>
      <c r="BI56" s="176" t="n"/>
      <c r="BJ56" s="169" t="n"/>
      <c r="BK56" s="170" t="n"/>
      <c r="BL56" s="176" t="n"/>
      <c r="BM56" s="169" t="n"/>
      <c r="BN56" s="170" t="n"/>
      <c r="BO56" s="192">
        <f>+BE56+BI56+BL56</f>
        <v/>
      </c>
      <c r="BP56" s="174" t="n"/>
      <c r="BQ56" s="174" t="n"/>
      <c r="BR56" s="174" t="n"/>
      <c r="BS56" s="175" t="n"/>
      <c r="BT56" s="186" t="inlineStr">
        <is>
          <t>IEPS</t>
        </is>
      </c>
      <c r="BU56" s="175" t="n"/>
      <c r="BV56" s="173">
        <f>SUMIFS(BE39:BE63, C39:C63, "V", K39:K63, "OP", AN39:AN63, "IEPS") + SUMIFS(BE39:BE63, C39:C63, "V", K39:K63, "OP", AN39:AN63, "IEPS RET")</f>
        <v/>
      </c>
      <c r="BW56" s="174" t="n"/>
      <c r="BX56" s="174" t="n"/>
      <c r="BY56" s="174" t="n"/>
      <c r="BZ56" s="175" t="n"/>
      <c r="CA56" s="201">
        <f>SUMIFS(BI39:BI63, C39:C63, "V", K39:K63, "OP", AN39:AN63, "IEPS") + SUMIFS(BI39:BI63, C39:C63, "V", K39:K63, "OP", AN39:AN63, "IEPS RET")</f>
        <v/>
      </c>
      <c r="CB56" s="174" t="n"/>
      <c r="CC56" s="175" t="n"/>
      <c r="CD56" s="173">
        <f>SUMIFS(BL39:BL63, C39:C63, "V", K39:K63, "OP", AN39:AN63, "IEPS") + SUMIFS(BL39:BL63, C39:C63, "V", K39:K63, "OP", AN39:AN63, "IEPS RET")</f>
        <v/>
      </c>
      <c r="CE56" s="174" t="n"/>
      <c r="CF56" s="175" t="n"/>
      <c r="CG56" s="178">
        <f>+BV56+CS56+CD56+CA56</f>
        <v/>
      </c>
      <c r="CH56" s="174" t="n"/>
      <c r="CI56" s="174" t="n"/>
      <c r="CJ56" s="174" t="n"/>
      <c r="CK56" s="174" t="n"/>
      <c r="CL56" s="179" t="n"/>
    </row>
    <row r="57" ht="19.5" customFormat="1" customHeight="1" s="215">
      <c r="A57" s="217" t="n"/>
      <c r="B57" s="105" t="n">
        <v>19</v>
      </c>
      <c r="C57" s="203" t="n"/>
      <c r="D57" s="191" t="n"/>
      <c r="E57" s="169" t="n"/>
      <c r="F57" s="169" t="n"/>
      <c r="G57" s="169" t="n"/>
      <c r="H57" s="169" t="n"/>
      <c r="I57" s="169" t="n"/>
      <c r="J57" s="170" t="n"/>
      <c r="K57" s="203" t="n"/>
      <c r="L57" s="170" t="n"/>
      <c r="M57" s="181" t="n"/>
      <c r="N57" s="169" t="n"/>
      <c r="O57" s="169" t="n"/>
      <c r="P57" s="169" t="n"/>
      <c r="Q57" s="169" t="n"/>
      <c r="R57" s="170" t="n"/>
      <c r="S57" s="181" t="n"/>
      <c r="T57" s="169" t="n"/>
      <c r="U57" s="169" t="n"/>
      <c r="V57" s="169" t="n"/>
      <c r="W57" s="169" t="n"/>
      <c r="X57" s="170" t="n"/>
      <c r="Y57" s="181" t="n"/>
      <c r="Z57" s="169" t="n"/>
      <c r="AA57" s="169" t="n"/>
      <c r="AB57" s="169" t="n"/>
      <c r="AC57" s="169" t="n"/>
      <c r="AD57" s="169" t="n"/>
      <c r="AE57" s="169" t="n"/>
      <c r="AF57" s="169" t="n"/>
      <c r="AG57" s="170" t="n"/>
      <c r="AH57" s="159" t="n"/>
      <c r="AI57" s="222" t="n"/>
      <c r="AJ57" s="169" t="n"/>
      <c r="AK57" s="169" t="n"/>
      <c r="AL57" s="169" t="n"/>
      <c r="AM57" s="170" t="n"/>
      <c r="AN57" s="180" t="n"/>
      <c r="AO57" s="169" t="n"/>
      <c r="AP57" s="170" t="n"/>
      <c r="AQ57" s="168" t="n"/>
      <c r="AR57" s="169" t="n"/>
      <c r="AS57" s="170" t="n"/>
      <c r="AT57" s="193" t="n"/>
      <c r="AU57" s="169" t="n"/>
      <c r="AV57" s="169" t="n"/>
      <c r="AW57" s="170" t="n"/>
      <c r="AX57" s="176" t="n"/>
      <c r="AY57" s="169" t="n"/>
      <c r="AZ57" s="169" t="n"/>
      <c r="BA57" s="170" t="n"/>
      <c r="BB57" s="176" t="n"/>
      <c r="BC57" s="169" t="n"/>
      <c r="BD57" s="170" t="n"/>
      <c r="BE57" s="192">
        <f>+AX57+BB57</f>
        <v/>
      </c>
      <c r="BF57" s="174" t="n"/>
      <c r="BG57" s="174" t="n"/>
      <c r="BH57" s="175" t="n"/>
      <c r="BI57" s="176" t="n"/>
      <c r="BJ57" s="169" t="n"/>
      <c r="BK57" s="170" t="n"/>
      <c r="BL57" s="176" t="n"/>
      <c r="BM57" s="169" t="n"/>
      <c r="BN57" s="170" t="n"/>
      <c r="BO57" s="192">
        <f>+BE57+BI57+BL57</f>
        <v/>
      </c>
      <c r="BP57" s="174" t="n"/>
      <c r="BQ57" s="174" t="n"/>
      <c r="BR57" s="174" t="n"/>
      <c r="BS57" s="175" t="n"/>
      <c r="BT57" s="232" t="inlineStr">
        <is>
          <t>OTR</t>
        </is>
      </c>
      <c r="BU57" s="164" t="n"/>
      <c r="BV57" s="173">
        <f>SUMIFS(BE39:BE63, C39:C63, "V", K39:K63, "OP", AN39:AN63, "OTR") + SUMIFS(BE39:BE63, C39:C63, "V", K39:K63, "OP", AN39:AN63, "OTR RET")</f>
        <v/>
      </c>
      <c r="BW57" s="174" t="n"/>
      <c r="BX57" s="174" t="n"/>
      <c r="BY57" s="174" t="n"/>
      <c r="BZ57" s="175" t="n"/>
      <c r="CA57" s="201">
        <f>SUMIFS(BI39:BI63, C39:C63, "V", K39:K63, "OP", AN39:AN63, "OTR") + SUMIFS(BI39:BI63, C39:C63, "V", K39:K63, "OP", AN39:AN63, "OTR RET")</f>
        <v/>
      </c>
      <c r="CB57" s="174" t="n"/>
      <c r="CC57" s="175" t="n"/>
      <c r="CD57" s="173">
        <f>SUMIFS(BL39:BL63, C39:C63, "V", K39:K63, "OP", AN39:AN63, "OTR") + SUMIFS(BL39:BL63, C39:C63, "V", K39:K63, "OP", AN39:AN63, "OTR RET")</f>
        <v/>
      </c>
      <c r="CE57" s="174" t="n"/>
      <c r="CF57" s="175" t="n"/>
      <c r="CG57" s="178">
        <f>+BV57+CS57+CD57+CA57</f>
        <v/>
      </c>
      <c r="CH57" s="174" t="n"/>
      <c r="CI57" s="174" t="n"/>
      <c r="CJ57" s="174" t="n"/>
      <c r="CK57" s="174" t="n"/>
      <c r="CL57" s="179" t="n"/>
    </row>
    <row r="58" ht="19.5" customFormat="1" customHeight="1" s="215">
      <c r="A58" s="217" t="n"/>
      <c r="B58" s="105" t="n">
        <v>20</v>
      </c>
      <c r="C58" s="203" t="n"/>
      <c r="D58" s="191" t="n"/>
      <c r="E58" s="169" t="n"/>
      <c r="F58" s="169" t="n"/>
      <c r="G58" s="169" t="n"/>
      <c r="H58" s="169" t="n"/>
      <c r="I58" s="169" t="n"/>
      <c r="J58" s="170" t="n"/>
      <c r="K58" s="203" t="n"/>
      <c r="L58" s="170" t="n"/>
      <c r="M58" s="181" t="n"/>
      <c r="N58" s="169" t="n"/>
      <c r="O58" s="169" t="n"/>
      <c r="P58" s="169" t="n"/>
      <c r="Q58" s="169" t="n"/>
      <c r="R58" s="170" t="n"/>
      <c r="S58" s="181" t="n"/>
      <c r="T58" s="169" t="n"/>
      <c r="U58" s="169" t="n"/>
      <c r="V58" s="169" t="n"/>
      <c r="W58" s="169" t="n"/>
      <c r="X58" s="170" t="n"/>
      <c r="Y58" s="181" t="n"/>
      <c r="Z58" s="169" t="n"/>
      <c r="AA58" s="169" t="n"/>
      <c r="AB58" s="169" t="n"/>
      <c r="AC58" s="169" t="n"/>
      <c r="AD58" s="169" t="n"/>
      <c r="AE58" s="169" t="n"/>
      <c r="AF58" s="169" t="n"/>
      <c r="AG58" s="170" t="n"/>
      <c r="AH58" s="159" t="n"/>
      <c r="AI58" s="222" t="n"/>
      <c r="AJ58" s="169" t="n"/>
      <c r="AK58" s="169" t="n"/>
      <c r="AL58" s="169" t="n"/>
      <c r="AM58" s="170" t="n"/>
      <c r="AN58" s="180" t="n"/>
      <c r="AO58" s="169" t="n"/>
      <c r="AP58" s="170" t="n"/>
      <c r="AQ58" s="168" t="n"/>
      <c r="AR58" s="169" t="n"/>
      <c r="AS58" s="170" t="n"/>
      <c r="AT58" s="193" t="n"/>
      <c r="AU58" s="169" t="n"/>
      <c r="AV58" s="169" t="n"/>
      <c r="AW58" s="170" t="n"/>
      <c r="AX58" s="176" t="n"/>
      <c r="AY58" s="169" t="n"/>
      <c r="AZ58" s="169" t="n"/>
      <c r="BA58" s="170" t="n"/>
      <c r="BB58" s="176" t="n"/>
      <c r="BC58" s="169" t="n"/>
      <c r="BD58" s="170" t="n"/>
      <c r="BE58" s="192">
        <f>+AX58+BB58</f>
        <v/>
      </c>
      <c r="BF58" s="174" t="n"/>
      <c r="BG58" s="174" t="n"/>
      <c r="BH58" s="175" t="n"/>
      <c r="BI58" s="176" t="n"/>
      <c r="BJ58" s="169" t="n"/>
      <c r="BK58" s="170" t="n"/>
      <c r="BL58" s="176" t="n"/>
      <c r="BM58" s="169" t="n"/>
      <c r="BN58" s="170" t="n"/>
      <c r="BO58" s="192">
        <f>+BE58+BI58+BL58</f>
        <v/>
      </c>
      <c r="BP58" s="174" t="n"/>
      <c r="BQ58" s="174" t="n"/>
      <c r="BR58" s="174" t="n"/>
      <c r="BS58" s="175" t="n"/>
      <c r="BT58" s="244" t="n"/>
      <c r="BU58" s="175" t="n"/>
      <c r="BV58" s="173" t="n"/>
      <c r="BW58" s="174" t="n"/>
      <c r="BX58" s="174" t="n"/>
      <c r="BY58" s="174" t="n"/>
      <c r="BZ58" s="175" t="n"/>
      <c r="CA58" s="201" t="n"/>
      <c r="CB58" s="174" t="n"/>
      <c r="CC58" s="175" t="n"/>
      <c r="CD58" s="173" t="n"/>
      <c r="CE58" s="174" t="n"/>
      <c r="CF58" s="175" t="n"/>
      <c r="CG58" s="178">
        <f>+BV58+CS58+CD58+CA58</f>
        <v/>
      </c>
      <c r="CH58" s="174" t="n"/>
      <c r="CI58" s="174" t="n"/>
      <c r="CJ58" s="174" t="n"/>
      <c r="CK58" s="174" t="n"/>
      <c r="CL58" s="179" t="n"/>
    </row>
    <row r="59" ht="19.5" customFormat="1" customHeight="1" s="215">
      <c r="A59" s="217" t="n"/>
      <c r="B59" s="106" t="n">
        <v>21</v>
      </c>
      <c r="C59" s="203" t="n"/>
      <c r="D59" s="191" t="n"/>
      <c r="E59" s="169" t="n"/>
      <c r="F59" s="169" t="n"/>
      <c r="G59" s="169" t="n"/>
      <c r="H59" s="169" t="n"/>
      <c r="I59" s="169" t="n"/>
      <c r="J59" s="170" t="n"/>
      <c r="K59" s="203" t="n"/>
      <c r="L59" s="170" t="n"/>
      <c r="M59" s="181" t="n"/>
      <c r="N59" s="169" t="n"/>
      <c r="O59" s="169" t="n"/>
      <c r="P59" s="169" t="n"/>
      <c r="Q59" s="169" t="n"/>
      <c r="R59" s="170" t="n"/>
      <c r="S59" s="181" t="n"/>
      <c r="T59" s="169" t="n"/>
      <c r="U59" s="169" t="n"/>
      <c r="V59" s="169" t="n"/>
      <c r="W59" s="169" t="n"/>
      <c r="X59" s="170" t="n"/>
      <c r="Y59" s="181" t="n"/>
      <c r="Z59" s="169" t="n"/>
      <c r="AA59" s="169" t="n"/>
      <c r="AB59" s="169" t="n"/>
      <c r="AC59" s="169" t="n"/>
      <c r="AD59" s="169" t="n"/>
      <c r="AE59" s="169" t="n"/>
      <c r="AF59" s="169" t="n"/>
      <c r="AG59" s="170" t="n"/>
      <c r="AH59" s="155" t="n"/>
      <c r="AI59" s="222" t="n"/>
      <c r="AJ59" s="169" t="n"/>
      <c r="AK59" s="169" t="n"/>
      <c r="AL59" s="169" t="n"/>
      <c r="AM59" s="170" t="n"/>
      <c r="AN59" s="180" t="n"/>
      <c r="AO59" s="169" t="n"/>
      <c r="AP59" s="170" t="n"/>
      <c r="AQ59" s="168" t="n"/>
      <c r="AR59" s="169" t="n"/>
      <c r="AS59" s="170" t="n"/>
      <c r="AT59" s="193" t="n"/>
      <c r="AU59" s="169" t="n"/>
      <c r="AV59" s="169" t="n"/>
      <c r="AW59" s="170" t="n"/>
      <c r="AX59" s="176" t="n"/>
      <c r="AY59" s="169" t="n"/>
      <c r="AZ59" s="169" t="n"/>
      <c r="BA59" s="170" t="n"/>
      <c r="BB59" s="176" t="n"/>
      <c r="BC59" s="169" t="n"/>
      <c r="BD59" s="170" t="n"/>
      <c r="BE59" s="192">
        <f>+AX59+BB59</f>
        <v/>
      </c>
      <c r="BF59" s="174" t="n"/>
      <c r="BG59" s="174" t="n"/>
      <c r="BH59" s="175" t="n"/>
      <c r="BI59" s="176" t="n"/>
      <c r="BJ59" s="169" t="n"/>
      <c r="BK59" s="170" t="n"/>
      <c r="BL59" s="176" t="n"/>
      <c r="BM59" s="169" t="n"/>
      <c r="BN59" s="170" t="n"/>
      <c r="BO59" s="192">
        <f>+BE59+BI59+BL59</f>
        <v/>
      </c>
      <c r="BP59" s="174" t="n"/>
      <c r="BQ59" s="174" t="n"/>
      <c r="BR59" s="174" t="n"/>
      <c r="BS59" s="175" t="n"/>
      <c r="BT59" s="244" t="n"/>
      <c r="BU59" s="175" t="n"/>
      <c r="BV59" s="173" t="n"/>
      <c r="BW59" s="174" t="n"/>
      <c r="BX59" s="174" t="n"/>
      <c r="BY59" s="174" t="n"/>
      <c r="BZ59" s="175" t="n"/>
      <c r="CA59" s="201" t="n"/>
      <c r="CB59" s="174" t="n"/>
      <c r="CC59" s="175" t="n"/>
      <c r="CD59" s="173" t="n"/>
      <c r="CE59" s="174" t="n"/>
      <c r="CF59" s="175" t="n"/>
      <c r="CG59" s="178">
        <f>+BV59+CS59+CD59+CA59</f>
        <v/>
      </c>
      <c r="CH59" s="174" t="n"/>
      <c r="CI59" s="174" t="n"/>
      <c r="CJ59" s="174" t="n"/>
      <c r="CK59" s="174" t="n"/>
      <c r="CL59" s="179" t="n"/>
    </row>
    <row r="60" ht="19.5" customFormat="1" customHeight="1" s="215">
      <c r="A60" s="217" t="n"/>
      <c r="B60" s="105" t="n">
        <v>22</v>
      </c>
      <c r="C60" s="203" t="n"/>
      <c r="D60" s="191" t="n"/>
      <c r="E60" s="169" t="n"/>
      <c r="F60" s="169" t="n"/>
      <c r="G60" s="169" t="n"/>
      <c r="H60" s="169" t="n"/>
      <c r="I60" s="169" t="n"/>
      <c r="J60" s="170" t="n"/>
      <c r="K60" s="203" t="n"/>
      <c r="L60" s="170" t="n"/>
      <c r="M60" s="181" t="n"/>
      <c r="N60" s="169" t="n"/>
      <c r="O60" s="169" t="n"/>
      <c r="P60" s="169" t="n"/>
      <c r="Q60" s="169" t="n"/>
      <c r="R60" s="170" t="n"/>
      <c r="S60" s="181" t="n"/>
      <c r="T60" s="169" t="n"/>
      <c r="U60" s="169" t="n"/>
      <c r="V60" s="169" t="n"/>
      <c r="W60" s="169" t="n"/>
      <c r="X60" s="170" t="n"/>
      <c r="Y60" s="181" t="n"/>
      <c r="Z60" s="169" t="n"/>
      <c r="AA60" s="169" t="n"/>
      <c r="AB60" s="169" t="n"/>
      <c r="AC60" s="169" t="n"/>
      <c r="AD60" s="169" t="n"/>
      <c r="AE60" s="169" t="n"/>
      <c r="AF60" s="169" t="n"/>
      <c r="AG60" s="170" t="n"/>
      <c r="AH60" s="155" t="n"/>
      <c r="AI60" s="222" t="n"/>
      <c r="AJ60" s="169" t="n"/>
      <c r="AK60" s="169" t="n"/>
      <c r="AL60" s="169" t="n"/>
      <c r="AM60" s="170" t="n"/>
      <c r="AN60" s="180" t="n"/>
      <c r="AO60" s="169" t="n"/>
      <c r="AP60" s="170" t="n"/>
      <c r="AQ60" s="168" t="n"/>
      <c r="AR60" s="169" t="n"/>
      <c r="AS60" s="170" t="n"/>
      <c r="AT60" s="193" t="n"/>
      <c r="AU60" s="169" t="n"/>
      <c r="AV60" s="169" t="n"/>
      <c r="AW60" s="170" t="n"/>
      <c r="AX60" s="176" t="n"/>
      <c r="AY60" s="169" t="n"/>
      <c r="AZ60" s="169" t="n"/>
      <c r="BA60" s="170" t="n"/>
      <c r="BB60" s="176" t="n"/>
      <c r="BC60" s="169" t="n"/>
      <c r="BD60" s="170" t="n"/>
      <c r="BE60" s="192">
        <f>+AX60+BB60</f>
        <v/>
      </c>
      <c r="BF60" s="174" t="n"/>
      <c r="BG60" s="174" t="n"/>
      <c r="BH60" s="175" t="n"/>
      <c r="BI60" s="176" t="n"/>
      <c r="BJ60" s="169" t="n"/>
      <c r="BK60" s="170" t="n"/>
      <c r="BL60" s="176" t="n"/>
      <c r="BM60" s="169" t="n"/>
      <c r="BN60" s="170" t="n"/>
      <c r="BO60" s="192">
        <f>+BE60+BI60+BL60</f>
        <v/>
      </c>
      <c r="BP60" s="174" t="n"/>
      <c r="BQ60" s="174" t="n"/>
      <c r="BR60" s="174" t="n"/>
      <c r="BS60" s="175" t="n"/>
      <c r="BT60" s="244" t="n"/>
      <c r="BU60" s="175" t="n"/>
      <c r="BV60" s="173" t="n"/>
      <c r="BW60" s="174" t="n"/>
      <c r="BX60" s="174" t="n"/>
      <c r="BY60" s="174" t="n"/>
      <c r="BZ60" s="175" t="n"/>
      <c r="CA60" s="201" t="n"/>
      <c r="CB60" s="174" t="n"/>
      <c r="CC60" s="175" t="n"/>
      <c r="CD60" s="173" t="n"/>
      <c r="CE60" s="174" t="n"/>
      <c r="CF60" s="175" t="n"/>
      <c r="CG60" s="178">
        <f>+BV60+CS60+CD60+CA60</f>
        <v/>
      </c>
      <c r="CH60" s="174" t="n"/>
      <c r="CI60" s="174" t="n"/>
      <c r="CJ60" s="174" t="n"/>
      <c r="CK60" s="174" t="n"/>
      <c r="CL60" s="179" t="n"/>
    </row>
    <row r="61" ht="19.5" customFormat="1" customHeight="1" s="215">
      <c r="A61" s="217" t="n"/>
      <c r="B61" s="105" t="n">
        <v>23</v>
      </c>
      <c r="C61" s="203" t="n"/>
      <c r="D61" s="191" t="n"/>
      <c r="E61" s="169" t="n"/>
      <c r="F61" s="169" t="n"/>
      <c r="G61" s="169" t="n"/>
      <c r="H61" s="169" t="n"/>
      <c r="I61" s="169" t="n"/>
      <c r="J61" s="170" t="n"/>
      <c r="K61" s="203" t="n"/>
      <c r="L61" s="170" t="n"/>
      <c r="M61" s="181" t="n"/>
      <c r="N61" s="169" t="n"/>
      <c r="O61" s="169" t="n"/>
      <c r="P61" s="169" t="n"/>
      <c r="Q61" s="169" t="n"/>
      <c r="R61" s="170" t="n"/>
      <c r="S61" s="181" t="n"/>
      <c r="T61" s="169" t="n"/>
      <c r="U61" s="169" t="n"/>
      <c r="V61" s="169" t="n"/>
      <c r="W61" s="169" t="n"/>
      <c r="X61" s="170" t="n"/>
      <c r="Y61" s="181" t="n"/>
      <c r="Z61" s="169" t="n"/>
      <c r="AA61" s="169" t="n"/>
      <c r="AB61" s="169" t="n"/>
      <c r="AC61" s="169" t="n"/>
      <c r="AD61" s="169" t="n"/>
      <c r="AE61" s="169" t="n"/>
      <c r="AF61" s="169" t="n"/>
      <c r="AG61" s="170" t="n"/>
      <c r="AH61" s="155" t="n"/>
      <c r="AI61" s="222" t="n"/>
      <c r="AJ61" s="169" t="n"/>
      <c r="AK61" s="169" t="n"/>
      <c r="AL61" s="169" t="n"/>
      <c r="AM61" s="170" t="n"/>
      <c r="AN61" s="180" t="n"/>
      <c r="AO61" s="169" t="n"/>
      <c r="AP61" s="170" t="n"/>
      <c r="AQ61" s="168" t="n"/>
      <c r="AR61" s="169" t="n"/>
      <c r="AS61" s="170" t="n"/>
      <c r="AT61" s="193" t="n"/>
      <c r="AU61" s="169" t="n"/>
      <c r="AV61" s="169" t="n"/>
      <c r="AW61" s="170" t="n"/>
      <c r="AX61" s="176" t="n"/>
      <c r="AY61" s="169" t="n"/>
      <c r="AZ61" s="169" t="n"/>
      <c r="BA61" s="170" t="n"/>
      <c r="BB61" s="176" t="n"/>
      <c r="BC61" s="169" t="n"/>
      <c r="BD61" s="170" t="n"/>
      <c r="BE61" s="192">
        <f>+AX61+BB61</f>
        <v/>
      </c>
      <c r="BF61" s="174" t="n"/>
      <c r="BG61" s="174" t="n"/>
      <c r="BH61" s="175" t="n"/>
      <c r="BI61" s="176" t="n"/>
      <c r="BJ61" s="169" t="n"/>
      <c r="BK61" s="170" t="n"/>
      <c r="BL61" s="176" t="n"/>
      <c r="BM61" s="169" t="n"/>
      <c r="BN61" s="170" t="n"/>
      <c r="BO61" s="192">
        <f>+BE61+BI61+BL61</f>
        <v/>
      </c>
      <c r="BP61" s="174" t="n"/>
      <c r="BQ61" s="174" t="n"/>
      <c r="BR61" s="174" t="n"/>
      <c r="BS61" s="175" t="n"/>
      <c r="BT61" s="244" t="n"/>
      <c r="BU61" s="175" t="n"/>
      <c r="BV61" s="173" t="n"/>
      <c r="BW61" s="174" t="n"/>
      <c r="BX61" s="174" t="n"/>
      <c r="BY61" s="174" t="n"/>
      <c r="BZ61" s="175" t="n"/>
      <c r="CA61" s="201" t="n"/>
      <c r="CB61" s="174" t="n"/>
      <c r="CC61" s="175" t="n"/>
      <c r="CD61" s="173" t="n"/>
      <c r="CE61" s="174" t="n"/>
      <c r="CF61" s="175" t="n"/>
      <c r="CG61" s="178">
        <f>+BV61+CS61+CD61+CA61</f>
        <v/>
      </c>
      <c r="CH61" s="174" t="n"/>
      <c r="CI61" s="174" t="n"/>
      <c r="CJ61" s="174" t="n"/>
      <c r="CK61" s="174" t="n"/>
      <c r="CL61" s="179" t="n"/>
    </row>
    <row r="62" ht="19.5" customFormat="1" customHeight="1" s="215">
      <c r="A62" s="217" t="n"/>
      <c r="B62" s="105" t="n">
        <v>24</v>
      </c>
      <c r="C62" s="203" t="n"/>
      <c r="D62" s="191" t="n"/>
      <c r="E62" s="169" t="n"/>
      <c r="F62" s="169" t="n"/>
      <c r="G62" s="169" t="n"/>
      <c r="H62" s="169" t="n"/>
      <c r="I62" s="169" t="n"/>
      <c r="J62" s="170" t="n"/>
      <c r="K62" s="203" t="n"/>
      <c r="L62" s="170" t="n"/>
      <c r="M62" s="181" t="n"/>
      <c r="N62" s="169" t="n"/>
      <c r="O62" s="169" t="n"/>
      <c r="P62" s="169" t="n"/>
      <c r="Q62" s="169" t="n"/>
      <c r="R62" s="170" t="n"/>
      <c r="S62" s="181" t="n"/>
      <c r="T62" s="169" t="n"/>
      <c r="U62" s="169" t="n"/>
      <c r="V62" s="169" t="n"/>
      <c r="W62" s="169" t="n"/>
      <c r="X62" s="170" t="n"/>
      <c r="Y62" s="181" t="n"/>
      <c r="Z62" s="169" t="n"/>
      <c r="AA62" s="169" t="n"/>
      <c r="AB62" s="169" t="n"/>
      <c r="AC62" s="169" t="n"/>
      <c r="AD62" s="169" t="n"/>
      <c r="AE62" s="169" t="n"/>
      <c r="AF62" s="169" t="n"/>
      <c r="AG62" s="170" t="n"/>
      <c r="AH62" s="155" t="n"/>
      <c r="AI62" s="222" t="n"/>
      <c r="AJ62" s="169" t="n"/>
      <c r="AK62" s="169" t="n"/>
      <c r="AL62" s="169" t="n"/>
      <c r="AM62" s="170" t="n"/>
      <c r="AN62" s="180" t="n"/>
      <c r="AO62" s="169" t="n"/>
      <c r="AP62" s="170" t="n"/>
      <c r="AQ62" s="168" t="n"/>
      <c r="AR62" s="169" t="n"/>
      <c r="AS62" s="170" t="n"/>
      <c r="AT62" s="193" t="n"/>
      <c r="AU62" s="169" t="n"/>
      <c r="AV62" s="169" t="n"/>
      <c r="AW62" s="170" t="n"/>
      <c r="AX62" s="176" t="n"/>
      <c r="AY62" s="169" t="n"/>
      <c r="AZ62" s="169" t="n"/>
      <c r="BA62" s="170" t="n"/>
      <c r="BB62" s="176" t="n"/>
      <c r="BC62" s="169" t="n"/>
      <c r="BD62" s="170" t="n"/>
      <c r="BE62" s="192">
        <f>+AX62+BB62</f>
        <v/>
      </c>
      <c r="BF62" s="174" t="n"/>
      <c r="BG62" s="174" t="n"/>
      <c r="BH62" s="175" t="n"/>
      <c r="BI62" s="176" t="n"/>
      <c r="BJ62" s="169" t="n"/>
      <c r="BK62" s="170" t="n"/>
      <c r="BL62" s="176" t="n"/>
      <c r="BM62" s="169" t="n"/>
      <c r="BN62" s="170" t="n"/>
      <c r="BO62" s="192">
        <f>+BE62+BI62+BL62</f>
        <v/>
      </c>
      <c r="BP62" s="174" t="n"/>
      <c r="BQ62" s="174" t="n"/>
      <c r="BR62" s="174" t="n"/>
      <c r="BS62" s="175" t="n"/>
      <c r="BT62" s="244" t="n"/>
      <c r="BU62" s="175" t="n"/>
      <c r="BV62" s="173" t="n"/>
      <c r="BW62" s="174" t="n"/>
      <c r="BX62" s="174" t="n"/>
      <c r="BY62" s="174" t="n"/>
      <c r="BZ62" s="175" t="n"/>
      <c r="CA62" s="201" t="n"/>
      <c r="CB62" s="174" t="n"/>
      <c r="CC62" s="175" t="n"/>
      <c r="CD62" s="173" t="n"/>
      <c r="CE62" s="174" t="n"/>
      <c r="CF62" s="175" t="n"/>
      <c r="CG62" s="178">
        <f>+BV62+CS62+CD62+CA62</f>
        <v/>
      </c>
      <c r="CH62" s="174" t="n"/>
      <c r="CI62" s="174" t="n"/>
      <c r="CJ62" s="174" t="n"/>
      <c r="CK62" s="174" t="n"/>
      <c r="CL62" s="179" t="n"/>
    </row>
    <row r="63" ht="19.5" customFormat="1" customHeight="1" s="215" thickBot="1">
      <c r="A63" s="217" t="n"/>
      <c r="B63" s="107" t="n">
        <v>25</v>
      </c>
      <c r="C63" s="266" t="n"/>
      <c r="D63" s="245" t="n"/>
      <c r="E63" s="205" t="n"/>
      <c r="F63" s="205" t="n"/>
      <c r="G63" s="205" t="n"/>
      <c r="H63" s="205" t="n"/>
      <c r="I63" s="205" t="n"/>
      <c r="J63" s="206" t="n"/>
      <c r="K63" s="266" t="n"/>
      <c r="L63" s="206" t="n"/>
      <c r="M63" s="258" t="n"/>
      <c r="N63" s="205" t="n"/>
      <c r="O63" s="205" t="n"/>
      <c r="P63" s="205" t="n"/>
      <c r="Q63" s="205" t="n"/>
      <c r="R63" s="206" t="n"/>
      <c r="S63" s="258" t="n"/>
      <c r="T63" s="205" t="n"/>
      <c r="U63" s="205" t="n"/>
      <c r="V63" s="205" t="n"/>
      <c r="W63" s="205" t="n"/>
      <c r="X63" s="206" t="n"/>
      <c r="Y63" s="181" t="n"/>
      <c r="Z63" s="169" t="n"/>
      <c r="AA63" s="169" t="n"/>
      <c r="AB63" s="169" t="n"/>
      <c r="AC63" s="169" t="n"/>
      <c r="AD63" s="169" t="n"/>
      <c r="AE63" s="169" t="n"/>
      <c r="AF63" s="169" t="n"/>
      <c r="AG63" s="170" t="n"/>
      <c r="AH63" s="157" t="n"/>
      <c r="AI63" s="237" t="n"/>
      <c r="AJ63" s="205" t="n"/>
      <c r="AK63" s="205" t="n"/>
      <c r="AL63" s="205" t="n"/>
      <c r="AM63" s="206" t="n"/>
      <c r="AN63" s="242" t="n"/>
      <c r="AO63" s="205" t="n"/>
      <c r="AP63" s="206" t="n"/>
      <c r="AQ63" s="168" t="n"/>
      <c r="AR63" s="169" t="n"/>
      <c r="AS63" s="170" t="n"/>
      <c r="AT63" s="246" t="n"/>
      <c r="AU63" s="205" t="n"/>
      <c r="AV63" s="205" t="n"/>
      <c r="AW63" s="206" t="n"/>
      <c r="AX63" s="182" t="n"/>
      <c r="AY63" s="183" t="n"/>
      <c r="AZ63" s="183" t="n"/>
      <c r="BA63" s="184" t="n"/>
      <c r="BB63" s="182" t="n"/>
      <c r="BC63" s="183" t="n"/>
      <c r="BD63" s="184" t="n"/>
      <c r="BE63" s="240">
        <f>+AX63+BB63</f>
        <v/>
      </c>
      <c r="BF63" s="229" t="n"/>
      <c r="BG63" s="229" t="n"/>
      <c r="BH63" s="230" t="n"/>
      <c r="BI63" s="182" t="n"/>
      <c r="BJ63" s="183" t="n"/>
      <c r="BK63" s="184" t="n"/>
      <c r="BL63" s="182" t="n"/>
      <c r="BM63" s="183" t="n"/>
      <c r="BN63" s="184" t="n"/>
      <c r="BO63" s="192">
        <f>+BE63+BI63+BL63</f>
        <v/>
      </c>
      <c r="BP63" s="174" t="n"/>
      <c r="BQ63" s="174" t="n"/>
      <c r="BR63" s="174" t="n"/>
      <c r="BS63" s="175" t="n"/>
      <c r="BT63" s="259" t="n"/>
      <c r="BU63" s="230" t="n"/>
      <c r="BV63" s="228" t="n"/>
      <c r="BW63" s="229" t="n"/>
      <c r="BX63" s="229" t="n"/>
      <c r="BY63" s="229" t="n"/>
      <c r="BZ63" s="230" t="n"/>
      <c r="CA63" s="241" t="n"/>
      <c r="CB63" s="229" t="n"/>
      <c r="CC63" s="230" t="n"/>
      <c r="CD63" s="228" t="n"/>
      <c r="CE63" s="229" t="n"/>
      <c r="CF63" s="230" t="n"/>
      <c r="CG63" s="271">
        <f>+BV63+CS63+CD63+CA63</f>
        <v/>
      </c>
      <c r="CH63" s="229" t="n"/>
      <c r="CI63" s="229" t="n"/>
      <c r="CJ63" s="229" t="n"/>
      <c r="CK63" s="229" t="n"/>
      <c r="CL63" s="272" t="n"/>
    </row>
    <row r="64" ht="19.5" customFormat="1" customHeight="1" s="4" thickBot="1">
      <c r="A64" s="20" t="n"/>
      <c r="B64" s="281" t="inlineStr">
        <is>
          <t>TOTALES</t>
        </is>
      </c>
      <c r="C64" s="275" t="n"/>
      <c r="D64" s="275" t="n"/>
      <c r="E64" s="275" t="n"/>
      <c r="F64" s="275" t="n"/>
      <c r="G64" s="275" t="n"/>
      <c r="H64" s="275" t="n"/>
      <c r="I64" s="275" t="n"/>
      <c r="J64" s="275" t="n"/>
      <c r="K64" s="275" t="n"/>
      <c r="L64" s="275" t="n"/>
      <c r="M64" s="275" t="n"/>
      <c r="N64" s="275" t="n"/>
      <c r="O64" s="275" t="n"/>
      <c r="P64" s="275" t="n"/>
      <c r="Q64" s="275" t="n"/>
      <c r="R64" s="275" t="n"/>
      <c r="S64" s="275" t="n"/>
      <c r="T64" s="275" t="n"/>
      <c r="U64" s="275" t="n"/>
      <c r="V64" s="275" t="n"/>
      <c r="W64" s="275" t="n"/>
      <c r="X64" s="275" t="n"/>
      <c r="Y64" s="275" t="n"/>
      <c r="Z64" s="275" t="n"/>
      <c r="AA64" s="275" t="n"/>
      <c r="AB64" s="275" t="n"/>
      <c r="AC64" s="275" t="n"/>
      <c r="AD64" s="275" t="n"/>
      <c r="AE64" s="275" t="n"/>
      <c r="AF64" s="275" t="n"/>
      <c r="AG64" s="275" t="n"/>
      <c r="AH64" s="275" t="n"/>
      <c r="AI64" s="275" t="n"/>
      <c r="AJ64" s="275" t="n"/>
      <c r="AK64" s="275" t="n"/>
      <c r="AL64" s="275" t="n"/>
      <c r="AM64" s="275" t="n"/>
      <c r="AN64" s="275" t="n"/>
      <c r="AO64" s="275" t="n"/>
      <c r="AP64" s="275" t="n"/>
      <c r="AQ64" s="275" t="n"/>
      <c r="AR64" s="275" t="n"/>
      <c r="AS64" s="275" t="n"/>
      <c r="AT64" s="275" t="n"/>
      <c r="AU64" s="275" t="n"/>
      <c r="AV64" s="275" t="n"/>
      <c r="AW64" s="282" t="n"/>
      <c r="AX64" s="236">
        <f>SUM(AX39:BA63)</f>
        <v/>
      </c>
      <c r="AY64" s="220" t="n"/>
      <c r="AZ64" s="220" t="n"/>
      <c r="BA64" s="234" t="n"/>
      <c r="BB64" s="233">
        <f>SUM(BB39:BD63)</f>
        <v/>
      </c>
      <c r="BC64" s="220" t="n"/>
      <c r="BD64" s="234" t="n"/>
      <c r="BE64" s="233">
        <f>SUM(BE39:BH63)</f>
        <v/>
      </c>
      <c r="BF64" s="220" t="n"/>
      <c r="BG64" s="220" t="n"/>
      <c r="BH64" s="234" t="n"/>
      <c r="BI64" s="233">
        <f>SUM(BI39:BK63)</f>
        <v/>
      </c>
      <c r="BJ64" s="220" t="n"/>
      <c r="BK64" s="234" t="n"/>
      <c r="BL64" s="233">
        <f>SUM(BL39:BN63)</f>
        <v/>
      </c>
      <c r="BM64" s="220" t="n"/>
      <c r="BN64" s="234" t="n"/>
      <c r="BO64" s="233">
        <f>SUM(BO39:BS63)</f>
        <v/>
      </c>
      <c r="BP64" s="220" t="n"/>
      <c r="BQ64" s="220" t="n"/>
      <c r="BR64" s="220" t="n"/>
      <c r="BS64" s="234" t="n"/>
      <c r="BT64" s="286" t="n"/>
      <c r="BU64" s="234" t="n"/>
      <c r="BV64" s="233">
        <f>+BV39+BV40+BV41+BV42+BV44+BV45+BV46+BV47+BV49+BV50+BV51+BV52+BV54+BV55+BV56+BV57+BV58+BV59+BV60+BV61+BV62+BV63</f>
        <v/>
      </c>
      <c r="BW64" s="220" t="n"/>
      <c r="BX64" s="220" t="n"/>
      <c r="BY64" s="220" t="n"/>
      <c r="BZ64" s="234" t="n"/>
      <c r="CA64" s="276">
        <f>+CA39+CA40+CA41+CA42+CA44+CA45+CA46+CA47+CA49+CA50+CA51+CA52+CA54+CA55+CA56+CA57+CA58+CA59+CA60+CA61+CA62+CA63</f>
        <v/>
      </c>
      <c r="CB64" s="220" t="n"/>
      <c r="CC64" s="234" t="n"/>
      <c r="CD64" s="233">
        <f>+CD39+CD40+CD41+CD42+CD44+CD45+CD46+CD47+CD49+CD50+CD51+CD52+CD54+CD55+CD56+CD57+CD58+CD59+CD60+CD61+CD62+CD63</f>
        <v/>
      </c>
      <c r="CE64" s="220" t="n"/>
      <c r="CF64" s="234" t="n"/>
      <c r="CG64" s="269">
        <f>+CG39+CG40+CG41+CG42+CG44+CG45+CG46+CG47+CG49+CG50+CG51+CG52+CG54+CG55+CG56+CG57+CG58+CG59+CG60+CG61+CG62+CG63</f>
        <v/>
      </c>
      <c r="CH64" s="220" t="n"/>
      <c r="CI64" s="220" t="n"/>
      <c r="CJ64" s="220" t="n"/>
      <c r="CK64" s="220" t="n"/>
      <c r="CL64" s="221" t="n"/>
      <c r="CM64" s="85" t="n"/>
      <c r="CP64" s="215" t="n"/>
      <c r="CQ64" s="215" t="n"/>
      <c r="CR64" s="215" t="n"/>
      <c r="CS64" s="215" t="n"/>
      <c r="CT64" s="215" t="n"/>
      <c r="CU64" s="215" t="n"/>
      <c r="CV64" s="215" t="n"/>
      <c r="CW64" s="215" t="n"/>
      <c r="CX64" s="215" t="n"/>
      <c r="CY64" s="215" t="n"/>
      <c r="CZ64" s="215" t="n"/>
      <c r="DA64" s="215" t="n"/>
      <c r="DE64" s="215" t="n"/>
      <c r="DF64" s="215" t="n"/>
      <c r="DG64" s="215" t="n"/>
      <c r="DH64" s="215" t="n"/>
      <c r="DI64" s="215" t="n"/>
      <c r="DJ64" s="215" t="n"/>
      <c r="DK64" s="215" t="n"/>
      <c r="DL64" s="215" t="n"/>
      <c r="DM64" s="215" t="n"/>
      <c r="DN64" s="215" t="n"/>
      <c r="DO64" s="215" t="n"/>
    </row>
    <row r="65" ht="3" customFormat="1" customHeight="1" s="215">
      <c r="B65" s="108" t="n"/>
      <c r="AS65" s="109" t="n"/>
      <c r="AT65" s="110" t="n"/>
      <c r="AU65" s="110" t="n"/>
      <c r="AV65" s="110" t="n"/>
      <c r="AW65" s="110" t="n"/>
      <c r="AX65" s="110" t="n"/>
      <c r="AY65" s="110" t="n"/>
      <c r="AZ65" s="110" t="n"/>
      <c r="BA65" s="110" t="n"/>
      <c r="BB65" s="110" t="n"/>
      <c r="BC65" s="110" t="n"/>
      <c r="BD65" s="110" t="n"/>
      <c r="BE65" s="110" t="n"/>
      <c r="BF65" s="110" t="n"/>
      <c r="BG65" s="110" t="n"/>
      <c r="BH65" s="111" t="n"/>
      <c r="BI65" s="110" t="n"/>
      <c r="BJ65" s="110" t="n"/>
      <c r="BK65" s="110" t="n"/>
      <c r="BL65" s="110" t="n"/>
      <c r="BM65" s="110" t="n"/>
      <c r="BR65" s="214" t="n"/>
      <c r="CL65" s="200" t="n"/>
    </row>
    <row r="66" ht="19.5" customFormat="1" customHeight="1" s="215">
      <c r="B66" s="112" t="n"/>
      <c r="C66" s="277" t="inlineStr">
        <is>
          <t>AREA Y PERSONAL ACTUANTE</t>
        </is>
      </c>
      <c r="D66" s="174" t="n"/>
      <c r="E66" s="174" t="n"/>
      <c r="F66" s="174" t="n"/>
      <c r="G66" s="174" t="n"/>
      <c r="H66" s="174" t="n"/>
      <c r="I66" s="174" t="n"/>
      <c r="J66" s="174" t="n"/>
      <c r="K66" s="174" t="n"/>
      <c r="L66" s="174" t="n"/>
      <c r="M66" s="174" t="n"/>
      <c r="N66" s="174" t="n"/>
      <c r="O66" s="174" t="n"/>
      <c r="P66" s="174" t="n"/>
      <c r="Q66" s="174" t="n"/>
      <c r="R66" s="174" t="n"/>
      <c r="S66" s="174" t="n"/>
      <c r="T66" s="174" t="n"/>
      <c r="U66" s="174" t="n"/>
      <c r="V66" s="174" t="n"/>
      <c r="W66" s="174" t="n"/>
      <c r="X66" s="174" t="n"/>
      <c r="Y66" s="174" t="n"/>
      <c r="Z66" s="174" t="n"/>
      <c r="AA66" s="174" t="n"/>
      <c r="AB66" s="174" t="n"/>
      <c r="AC66" s="174" t="n"/>
      <c r="AD66" s="174" t="n"/>
      <c r="AE66" s="174" t="n"/>
      <c r="AF66" s="174" t="n"/>
      <c r="AG66" s="174" t="n"/>
      <c r="AH66" s="174" t="n"/>
      <c r="AI66" s="174" t="n"/>
      <c r="AJ66" s="174" t="n"/>
      <c r="AK66" s="174" t="n"/>
      <c r="AL66" s="174" t="n"/>
      <c r="AM66" s="174" t="n"/>
      <c r="AN66" s="174" t="n"/>
      <c r="AO66" s="174" t="n"/>
      <c r="AP66" s="174" t="n"/>
      <c r="AQ66" s="174" t="n"/>
      <c r="AR66" s="174" t="n"/>
      <c r="AS66" s="113" t="n"/>
      <c r="AT66" s="114" t="n"/>
      <c r="AU66" s="66" t="n"/>
      <c r="AV66" s="260" t="inlineStr">
        <is>
          <t>CAPTURA    EVALUACION Y SEGUIMIENTO</t>
        </is>
      </c>
      <c r="AW66" s="174" t="n"/>
      <c r="AX66" s="174" t="n"/>
      <c r="AY66" s="174" t="n"/>
      <c r="AZ66" s="174" t="n"/>
      <c r="BA66" s="174" t="n"/>
      <c r="BB66" s="174" t="n"/>
      <c r="BC66" s="174" t="n"/>
      <c r="BD66" s="174" t="n"/>
      <c r="BE66" s="174" t="n"/>
      <c r="BF66" s="174" t="n"/>
      <c r="BG66" s="174" t="n"/>
      <c r="BH66" s="174" t="n"/>
      <c r="BI66" s="174" t="n"/>
      <c r="BJ66" s="174" t="n"/>
      <c r="BK66" s="174" t="n"/>
      <c r="BL66" s="174" t="n"/>
      <c r="BM66" s="175" t="n"/>
      <c r="BN66" s="249" t="inlineStr">
        <is>
          <t>RECIBIDO Y REVISADO    EVALUACION Y SEGUIMIENTO</t>
        </is>
      </c>
      <c r="BO66" s="163" t="n"/>
      <c r="BP66" s="163" t="n"/>
      <c r="BQ66" s="164" t="n"/>
      <c r="BR66" s="216" t="n"/>
      <c r="CL66" s="200" t="n"/>
    </row>
    <row r="67" ht="3" customFormat="1" customHeight="1" s="215">
      <c r="B67" s="63" t="n"/>
      <c r="AS67" s="115" t="n"/>
      <c r="AT67" s="66" t="n"/>
      <c r="AU67" s="116" t="n"/>
      <c r="AV67" s="117" t="n"/>
      <c r="AW67" s="117" t="n"/>
      <c r="AX67" s="117" t="n"/>
      <c r="AY67" s="117" t="n"/>
      <c r="AZ67" s="117" t="n"/>
      <c r="BA67" s="117" t="n"/>
      <c r="BB67" s="117" t="n"/>
      <c r="BC67" s="117" t="n"/>
      <c r="BD67" s="117" t="n"/>
      <c r="BE67" s="117" t="n"/>
      <c r="BF67" s="117" t="n"/>
      <c r="BG67" s="117" t="n"/>
      <c r="BH67" s="118" t="n"/>
      <c r="BI67" s="117" t="n"/>
      <c r="BJ67" s="117" t="n"/>
      <c r="BK67" s="117" t="n"/>
      <c r="BL67" s="117" t="n"/>
      <c r="BM67" s="117" t="n"/>
      <c r="BN67" s="250" t="n"/>
      <c r="BQ67" s="251" t="n"/>
      <c r="BR67" s="216" t="n"/>
      <c r="CL67" s="200" t="n"/>
    </row>
    <row r="68" ht="19.5" customFormat="1" customHeight="1" s="215">
      <c r="B68" s="63" t="n"/>
      <c r="AS68" s="119" t="n"/>
      <c r="AT68" s="66" t="n"/>
      <c r="AU68" s="120" t="n"/>
      <c r="AV68" s="224" t="inlineStr">
        <is>
          <t>CONTROL INTERNO</t>
        </is>
      </c>
      <c r="BF68" s="224" t="inlineStr">
        <is>
          <t>SUIEFI</t>
        </is>
      </c>
      <c r="BN68" s="250" t="n"/>
      <c r="BQ68" s="251" t="n"/>
      <c r="BR68" s="216" t="n"/>
      <c r="CL68" s="200" t="n"/>
    </row>
    <row r="69" ht="3" customFormat="1" customHeight="1" s="215">
      <c r="B69" s="63" t="n"/>
      <c r="AS69" s="115" t="n"/>
      <c r="AT69" s="66" t="n"/>
      <c r="AU69" s="61" t="n"/>
      <c r="AV69" s="121" t="n"/>
      <c r="AW69" s="121" t="n"/>
      <c r="AX69" s="121" t="n"/>
      <c r="AY69" s="122" t="n"/>
      <c r="AZ69" s="122" t="n"/>
      <c r="BA69" s="122" t="n"/>
      <c r="BB69" s="122" t="n"/>
      <c r="BC69" s="122" t="n"/>
      <c r="BF69" s="121" t="n"/>
      <c r="BG69" s="121" t="n"/>
      <c r="BH69" s="121" t="n"/>
      <c r="BI69" s="121" t="n"/>
      <c r="BJ69" s="121" t="n"/>
      <c r="BK69" s="121" t="n"/>
      <c r="BL69" s="121" t="n"/>
      <c r="BM69" s="18" t="n"/>
      <c r="BN69" s="250" t="n"/>
      <c r="BQ69" s="251" t="n"/>
      <c r="BR69" s="216" t="n"/>
      <c r="CL69" s="200" t="n"/>
    </row>
    <row r="70" ht="19.5" customFormat="1" customHeight="1" s="217">
      <c r="B70" s="123" t="n"/>
      <c r="C70" s="215" t="n"/>
      <c r="D70" s="17" t="inlineStr">
        <is>
          <t>DIRECC</t>
        </is>
      </c>
      <c r="F70" s="189" t="n"/>
      <c r="G70" s="169" t="n"/>
      <c r="H70" s="169" t="n"/>
      <c r="I70" s="169" t="n"/>
      <c r="J70" s="169" t="n"/>
      <c r="K70" s="169" t="n"/>
      <c r="L70" s="169" t="n"/>
      <c r="M70" s="169" t="n"/>
      <c r="N70" s="169" t="n"/>
      <c r="O70" s="169" t="n"/>
      <c r="P70" s="170" t="n"/>
      <c r="T70" s="17" t="inlineStr">
        <is>
          <t>DIR / COORD</t>
        </is>
      </c>
      <c r="V70" s="177" t="n">
        <v>8115</v>
      </c>
      <c r="W70" s="169" t="n"/>
      <c r="X70" s="170" t="n"/>
      <c r="Z70" s="212">
        <f>VLOOKUP(V70,$CU$98:$CV$223,2,FALSE)</f>
        <v/>
      </c>
      <c r="AA70" s="174" t="n"/>
      <c r="AB70" s="174" t="n"/>
      <c r="AC70" s="174" t="n"/>
      <c r="AD70" s="174" t="n"/>
      <c r="AE70" s="174" t="n"/>
      <c r="AF70" s="174" t="n"/>
      <c r="AG70" s="174" t="n"/>
      <c r="AH70" s="174" t="n"/>
      <c r="AI70" s="174" t="n"/>
      <c r="AJ70" s="174" t="n"/>
      <c r="AK70" s="175" t="n"/>
      <c r="AM70" s="124" t="n"/>
      <c r="AN70" s="125" t="n"/>
      <c r="AO70" s="125" t="n"/>
      <c r="AP70" s="122" t="n"/>
      <c r="AQ70" s="122" t="n"/>
      <c r="AR70" s="122" t="n"/>
      <c r="AS70" s="126" t="n"/>
      <c r="AT70" s="66" t="n"/>
      <c r="AU70" s="41" t="n"/>
      <c r="BC70" s="215" t="n"/>
      <c r="BD70" s="215" t="n"/>
      <c r="BE70" s="215" t="n"/>
      <c r="BN70" s="250" t="n"/>
      <c r="BQ70" s="251" t="n"/>
      <c r="BR70" s="216" t="n"/>
      <c r="CL70" s="200" t="n"/>
      <c r="CQ70" s="215" t="n"/>
      <c r="CR70" s="215" t="n"/>
      <c r="CS70" s="215" t="n"/>
      <c r="CT70" s="215" t="n"/>
      <c r="CU70" s="215" t="n"/>
      <c r="CV70" s="215" t="n"/>
      <c r="CW70" s="215" t="n"/>
      <c r="CX70" s="215" t="n"/>
      <c r="CY70" s="215" t="n"/>
      <c r="CZ70" s="215" t="n"/>
      <c r="DA70" s="215" t="n"/>
      <c r="DB70" s="215" t="n"/>
      <c r="DC70" s="215" t="n"/>
      <c r="DD70" s="215" t="n"/>
      <c r="DE70" s="215" t="n"/>
      <c r="DF70" s="215" t="n"/>
      <c r="DG70" s="215" t="n"/>
      <c r="DH70" s="215" t="n"/>
      <c r="DI70" s="215" t="n"/>
      <c r="DJ70" s="215" t="n"/>
      <c r="DK70" s="215" t="n"/>
      <c r="DL70" s="215" t="n"/>
    </row>
    <row r="71" ht="3" customFormat="1" customHeight="1" s="217">
      <c r="B71" s="63" t="n"/>
      <c r="C71" s="215" t="n"/>
      <c r="D71" s="215" t="n"/>
      <c r="E71" s="215" t="n"/>
      <c r="F71" s="215" t="n"/>
      <c r="G71" s="215" t="n"/>
      <c r="H71" s="215" t="n"/>
      <c r="I71" s="215" t="n"/>
      <c r="J71" s="215" t="n"/>
      <c r="K71" s="215" t="n"/>
      <c r="L71" s="215" t="n"/>
      <c r="M71" s="215" t="n"/>
      <c r="N71" s="215" t="n"/>
      <c r="O71" s="215" t="n"/>
      <c r="P71" s="215" t="n"/>
      <c r="Q71" s="215" t="n"/>
      <c r="R71" s="215" t="n"/>
      <c r="S71" s="215" t="n"/>
      <c r="T71" s="215" t="n"/>
      <c r="U71" s="215" t="n"/>
      <c r="V71" s="215" t="n"/>
      <c r="W71" s="215" t="n"/>
      <c r="X71" s="215" t="n"/>
      <c r="Y71" s="215" t="n"/>
      <c r="Z71" s="215" t="n"/>
      <c r="AA71" s="215" t="n"/>
      <c r="AB71" s="215" t="n"/>
      <c r="AC71" s="215" t="n"/>
      <c r="AD71" s="215" t="n"/>
      <c r="AE71" s="215" t="n"/>
      <c r="AF71" s="215" t="n"/>
      <c r="AG71" s="215" t="n"/>
      <c r="AH71" s="215" t="n"/>
      <c r="AI71" s="215" t="n"/>
      <c r="AJ71" s="215" t="n"/>
      <c r="AK71" s="215" t="n"/>
      <c r="AL71" s="215" t="n"/>
      <c r="AM71" s="215" t="n"/>
      <c r="AN71" s="215" t="n"/>
      <c r="AO71" s="215" t="n"/>
      <c r="AP71" s="215" t="n"/>
      <c r="AQ71" s="215" t="n"/>
      <c r="AR71" s="215" t="n"/>
      <c r="AT71" s="127" t="n"/>
      <c r="AU71" s="41" t="n"/>
      <c r="BN71" s="250" t="n"/>
      <c r="BQ71" s="251" t="n"/>
      <c r="BR71" s="216" t="n"/>
      <c r="CL71" s="200" t="n"/>
      <c r="CQ71" s="215" t="n"/>
      <c r="CR71" s="215" t="n"/>
      <c r="CS71" s="215" t="n"/>
      <c r="CT71" s="215" t="n"/>
      <c r="CU71" s="215" t="n"/>
      <c r="CV71" s="215" t="n"/>
      <c r="CW71" s="215" t="n"/>
      <c r="CX71" s="215" t="n"/>
      <c r="CY71" s="215" t="n"/>
      <c r="CZ71" s="215" t="n"/>
      <c r="DA71" s="215" t="n"/>
      <c r="DB71" s="215" t="n"/>
      <c r="DC71" s="215" t="n"/>
      <c r="DD71" s="215" t="n"/>
      <c r="DE71" s="215" t="n"/>
      <c r="DF71" s="215" t="n"/>
      <c r="DG71" s="215" t="n"/>
      <c r="DH71" s="215" t="n"/>
      <c r="DI71" s="215" t="n"/>
      <c r="DJ71" s="215" t="n"/>
      <c r="DK71" s="215" t="n"/>
      <c r="DL71" s="215" t="n"/>
    </row>
    <row r="72" ht="19.5" customFormat="1" customHeight="1" s="217">
      <c r="B72" s="63" t="n"/>
      <c r="C72" s="215" t="n"/>
      <c r="D72" s="17" t="inlineStr">
        <is>
          <t>AREA</t>
        </is>
      </c>
      <c r="F72" s="213" t="inlineStr">
        <is>
          <t>MASIVOS</t>
        </is>
      </c>
      <c r="G72" s="169" t="n"/>
      <c r="H72" s="169" t="n"/>
      <c r="I72" s="169" t="n"/>
      <c r="J72" s="169" t="n"/>
      <c r="K72" s="169" t="n"/>
      <c r="L72" s="169" t="n"/>
      <c r="M72" s="169" t="n"/>
      <c r="N72" s="169" t="n"/>
      <c r="O72" s="169" t="n"/>
      <c r="P72" s="170" t="n"/>
      <c r="T72" s="17" t="inlineStr">
        <is>
          <t>JEFE/SUPER</t>
        </is>
      </c>
      <c r="V72" s="177" t="n">
        <v>8116</v>
      </c>
      <c r="W72" s="169" t="n"/>
      <c r="X72" s="170" t="n"/>
      <c r="Z72" s="212">
        <f>VLOOKUP(V72,$CU$98:$CV$223,2,FALSE)</f>
        <v/>
      </c>
      <c r="AA72" s="174" t="n"/>
      <c r="AB72" s="174" t="n"/>
      <c r="AC72" s="174" t="n"/>
      <c r="AD72" s="174" t="n"/>
      <c r="AE72" s="174" t="n"/>
      <c r="AF72" s="174" t="n"/>
      <c r="AG72" s="174" t="n"/>
      <c r="AH72" s="174" t="n"/>
      <c r="AI72" s="174" t="n"/>
      <c r="AJ72" s="174" t="n"/>
      <c r="AK72" s="175" t="n"/>
      <c r="AM72" s="124" t="n"/>
      <c r="AN72" s="125" t="n"/>
      <c r="AO72" s="125" t="n"/>
      <c r="AP72" s="122" t="n"/>
      <c r="AQ72" s="122" t="n"/>
      <c r="AR72" s="122" t="n"/>
      <c r="AT72" s="127" t="n"/>
      <c r="AU72" s="41" t="n"/>
      <c r="BN72" s="250" t="n"/>
      <c r="BQ72" s="251" t="n"/>
      <c r="BR72" s="216" t="n"/>
      <c r="CL72" s="200" t="n"/>
      <c r="CQ72" s="215" t="n"/>
      <c r="CR72" s="215" t="n"/>
      <c r="CS72" s="215" t="n"/>
      <c r="CT72" s="215" t="n"/>
      <c r="CU72" s="215" t="n"/>
      <c r="CV72" s="215" t="n"/>
      <c r="CW72" s="215" t="n"/>
      <c r="CX72" s="215" t="n"/>
      <c r="CY72" s="215" t="n"/>
      <c r="CZ72" s="215" t="n"/>
      <c r="DA72" s="215" t="n"/>
      <c r="DB72" s="215" t="n"/>
      <c r="DC72" s="215" t="n"/>
      <c r="DD72" s="215" t="n"/>
      <c r="DE72" s="215" t="n"/>
      <c r="DF72" s="215" t="n"/>
      <c r="DG72" s="215" t="n"/>
      <c r="DH72" s="215" t="n"/>
      <c r="DI72" s="215" t="n"/>
      <c r="DJ72" s="215" t="n"/>
      <c r="DK72" s="215" t="n"/>
      <c r="DL72" s="215" t="n"/>
    </row>
    <row r="73" ht="3" customFormat="1" customHeight="1" s="215">
      <c r="B73" s="63" t="n"/>
      <c r="F73" s="217" t="n"/>
      <c r="L73" s="217" t="n"/>
      <c r="M73" s="217" t="n"/>
      <c r="N73" s="217" t="n"/>
      <c r="O73" s="217" t="n"/>
      <c r="P73" s="217" t="n"/>
      <c r="Q73" s="217" t="n"/>
      <c r="R73" s="217" t="n"/>
      <c r="S73" s="217" t="n"/>
      <c r="T73" s="217" t="n"/>
      <c r="U73" s="217" t="n"/>
      <c r="V73" s="217" t="n"/>
      <c r="W73" s="217" t="n"/>
      <c r="X73" s="217" t="n"/>
      <c r="Y73" s="217" t="n"/>
      <c r="Z73" s="217" t="n"/>
      <c r="AA73" s="217" t="n"/>
      <c r="AB73" s="217" t="n"/>
      <c r="AC73" s="217" t="n"/>
      <c r="AD73" s="217" t="n"/>
      <c r="AE73" s="217" t="n"/>
      <c r="AF73" s="217" t="n"/>
      <c r="AG73" s="217" t="n"/>
      <c r="AH73" s="217" t="n"/>
      <c r="AI73" s="217" t="n"/>
      <c r="AJ73" s="217" t="n"/>
      <c r="AK73" s="217" t="n"/>
      <c r="AL73" s="217" t="n"/>
      <c r="AM73" s="217" t="n"/>
      <c r="AN73" s="217" t="n"/>
      <c r="AO73" s="217" t="n"/>
      <c r="AP73" s="217" t="n"/>
      <c r="AQ73" s="217" t="n"/>
      <c r="AR73" s="217" t="n"/>
      <c r="AS73" s="115" t="n"/>
      <c r="AT73" s="66" t="n"/>
      <c r="AU73" s="61" t="n"/>
      <c r="BM73" s="18" t="n"/>
      <c r="BN73" s="250" t="n"/>
      <c r="BQ73" s="251" t="n"/>
      <c r="BR73" s="216" t="n"/>
      <c r="CL73" s="200" t="n"/>
    </row>
    <row r="74" ht="19.5" customFormat="1" customHeight="1" s="217">
      <c r="B74" s="63" t="n"/>
      <c r="C74" s="215" t="n"/>
      <c r="D74" s="17" t="inlineStr">
        <is>
          <t>DELEG</t>
        </is>
      </c>
      <c r="F74" s="213" t="n"/>
      <c r="G74" s="169" t="n"/>
      <c r="H74" s="169" t="n"/>
      <c r="I74" s="169" t="n"/>
      <c r="J74" s="169" t="n"/>
      <c r="K74" s="169" t="n"/>
      <c r="L74" s="169" t="n"/>
      <c r="M74" s="169" t="n"/>
      <c r="N74" s="169" t="n"/>
      <c r="O74" s="169" t="n"/>
      <c r="P74" s="170" t="n"/>
      <c r="T74" s="17" t="inlineStr">
        <is>
          <t>AUDITOR</t>
        </is>
      </c>
      <c r="V74" s="177" t="n">
        <v>9064</v>
      </c>
      <c r="W74" s="169" t="n"/>
      <c r="X74" s="170" t="n"/>
      <c r="Z74" s="212">
        <f>VLOOKUP(V74,$CU$98:$CV$223,2,FALSE)</f>
        <v/>
      </c>
      <c r="AA74" s="174" t="n"/>
      <c r="AB74" s="174" t="n"/>
      <c r="AC74" s="174" t="n"/>
      <c r="AD74" s="174" t="n"/>
      <c r="AE74" s="174" t="n"/>
      <c r="AF74" s="174" t="n"/>
      <c r="AG74" s="174" t="n"/>
      <c r="AH74" s="174" t="n"/>
      <c r="AI74" s="174" t="n"/>
      <c r="AJ74" s="174" t="n"/>
      <c r="AK74" s="175" t="n"/>
      <c r="AM74" s="124" t="n"/>
      <c r="AN74" s="125" t="n"/>
      <c r="AO74" s="125" t="n"/>
      <c r="AP74" s="122" t="n"/>
      <c r="AQ74" s="122" t="n"/>
      <c r="AR74" s="122" t="n"/>
      <c r="AS74" s="126" t="n"/>
      <c r="AT74" s="66" t="n"/>
      <c r="AU74" s="41" t="n"/>
      <c r="AV74" s="215" t="n"/>
      <c r="AW74" s="20" t="n"/>
      <c r="AX74" s="20" t="n"/>
      <c r="AY74" s="20" t="n"/>
      <c r="AZ74" s="20" t="n"/>
      <c r="BC74" s="20" t="n"/>
      <c r="BD74" s="20" t="n"/>
      <c r="BE74" s="20" t="n"/>
      <c r="BF74" s="20" t="n"/>
      <c r="BG74" s="20" t="n"/>
      <c r="BH74" s="20" t="n"/>
      <c r="BI74" s="20" t="n"/>
      <c r="BJ74" s="215" t="n"/>
      <c r="BK74" s="215" t="n"/>
      <c r="BL74" s="215" t="n"/>
      <c r="BN74" s="250" t="n"/>
      <c r="BQ74" s="251" t="n"/>
      <c r="BR74" s="216" t="n"/>
      <c r="CL74" s="200" t="n"/>
      <c r="CQ74" s="215" t="n"/>
      <c r="CR74" s="215" t="n"/>
      <c r="CS74" s="215" t="n"/>
      <c r="CT74" s="215" t="n"/>
      <c r="CU74" s="215" t="n"/>
      <c r="CV74" s="215" t="n"/>
      <c r="CW74" s="215" t="n"/>
      <c r="CX74" s="215" t="n"/>
      <c r="CY74" s="215" t="n"/>
      <c r="CZ74" s="215" t="n"/>
      <c r="DA74" s="215" t="n"/>
      <c r="DB74" s="215" t="n"/>
      <c r="DC74" s="215" t="n"/>
      <c r="DD74" s="215" t="n"/>
      <c r="DE74" s="215" t="n"/>
      <c r="DF74" s="215" t="n"/>
      <c r="DG74" s="215" t="n"/>
      <c r="DH74" s="215" t="n"/>
      <c r="DI74" s="215" t="n"/>
      <c r="DJ74" s="215" t="n"/>
      <c r="DK74" s="215" t="n"/>
      <c r="DL74" s="215" t="n"/>
    </row>
    <row r="75" ht="3" customFormat="1" customHeight="1" s="217">
      <c r="B75" s="63" t="n"/>
      <c r="C75" s="215" t="n"/>
      <c r="D75" s="128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30" t="n"/>
      <c r="O75" s="131" t="n"/>
      <c r="P75" s="131" t="n"/>
      <c r="V75" s="47" t="n"/>
      <c r="W75" s="47" t="n"/>
      <c r="X75" s="47" t="n"/>
      <c r="Z75" s="132" t="n"/>
      <c r="AA75" s="132" t="n"/>
      <c r="AB75" s="132" t="n"/>
      <c r="AC75" s="132" t="n"/>
      <c r="AD75" s="132" t="n"/>
      <c r="AE75" s="132" t="n"/>
      <c r="AF75" s="132" t="n"/>
      <c r="AG75" s="132" t="n"/>
      <c r="AH75" s="132" t="n"/>
      <c r="AI75" s="132" t="n"/>
      <c r="AJ75" s="132" t="n"/>
      <c r="AK75" s="132" t="n"/>
      <c r="AM75" s="27" t="n"/>
      <c r="AN75" s="27" t="n"/>
      <c r="AO75" s="27" t="n"/>
      <c r="AS75" s="126" t="n"/>
      <c r="AT75" s="66" t="n"/>
      <c r="AU75" s="41" t="n"/>
      <c r="BN75" s="250" t="n"/>
      <c r="BQ75" s="251" t="n"/>
      <c r="BR75" s="216" t="n"/>
      <c r="CL75" s="200" t="n"/>
      <c r="CQ75" s="215" t="n"/>
      <c r="CR75" s="215" t="n"/>
      <c r="CS75" s="215" t="n"/>
      <c r="CT75" s="215" t="n"/>
      <c r="CU75" s="215" t="n"/>
      <c r="CV75" s="215" t="n"/>
      <c r="CW75" s="215" t="n"/>
      <c r="CX75" s="215" t="n"/>
      <c r="CY75" s="215" t="n"/>
      <c r="CZ75" s="215" t="n"/>
      <c r="DA75" s="215" t="n"/>
      <c r="DB75" s="215" t="n"/>
      <c r="DC75" s="215" t="n"/>
      <c r="DD75" s="215" t="n"/>
      <c r="DE75" s="215" t="n"/>
      <c r="DF75" s="215" t="n"/>
      <c r="DG75" s="215" t="n"/>
      <c r="DH75" s="215" t="n"/>
      <c r="DI75" s="215" t="n"/>
      <c r="DJ75" s="215" t="n"/>
      <c r="DK75" s="215" t="n"/>
      <c r="DL75" s="215" t="n"/>
    </row>
    <row r="76" ht="12.6" customFormat="1" customHeight="1" s="217">
      <c r="B76" s="63" t="n"/>
      <c r="D76" s="128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30" t="n"/>
      <c r="O76" s="131" t="n"/>
      <c r="AS76" s="126" t="n"/>
      <c r="AT76" s="66" t="n"/>
      <c r="AU76" s="41" t="n"/>
      <c r="BN76" s="250" t="n"/>
      <c r="BQ76" s="251" t="n"/>
      <c r="BR76" s="216" t="n"/>
      <c r="CL76" s="200" t="n"/>
      <c r="CQ76" s="215" t="n"/>
      <c r="CR76" s="215" t="n"/>
      <c r="CS76" s="215" t="n"/>
      <c r="CT76" s="215" t="n"/>
      <c r="CU76" s="215" t="n"/>
      <c r="CV76" s="215" t="n"/>
      <c r="CW76" s="215" t="n"/>
      <c r="CX76" s="215" t="n"/>
      <c r="CY76" s="215" t="n"/>
      <c r="CZ76" s="215" t="n"/>
      <c r="DA76" s="215" t="n"/>
      <c r="DB76" s="215" t="n"/>
      <c r="DC76" s="215" t="n"/>
      <c r="DD76" s="215" t="n"/>
      <c r="DE76" s="215" t="n"/>
      <c r="DF76" s="215" t="n"/>
      <c r="DG76" s="215" t="n"/>
      <c r="DH76" s="215" t="n"/>
      <c r="DI76" s="215" t="n"/>
      <c r="DJ76" s="215" t="n"/>
      <c r="DK76" s="215" t="n"/>
      <c r="DL76" s="215" t="n"/>
    </row>
    <row r="77" ht="3" customFormat="1" customHeight="1" s="217">
      <c r="B77" s="63" t="n"/>
      <c r="C77" s="215" t="n"/>
      <c r="D77" s="128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30" t="n"/>
      <c r="O77" s="131" t="n"/>
      <c r="P77" s="131" t="n"/>
      <c r="T77" s="128" t="n"/>
      <c r="V77" s="55" t="n"/>
      <c r="W77" s="55" t="n"/>
      <c r="X77" s="55" t="n"/>
      <c r="Z77" s="133" t="n"/>
      <c r="AA77" s="133" t="n"/>
      <c r="AB77" s="133" t="n"/>
      <c r="AC77" s="133" t="n"/>
      <c r="AD77" s="133" t="n"/>
      <c r="AE77" s="133" t="n"/>
      <c r="AF77" s="133" t="n"/>
      <c r="AG77" s="133" t="n"/>
      <c r="AH77" s="133" t="n"/>
      <c r="AI77" s="133" t="n"/>
      <c r="AJ77" s="133" t="n"/>
      <c r="AK77" s="133" t="n"/>
      <c r="AM77" s="49" t="n"/>
      <c r="AN77" s="49" t="n"/>
      <c r="AO77" s="49" t="n"/>
      <c r="AS77" s="126" t="n"/>
      <c r="AT77" s="40" t="n"/>
      <c r="AU77" s="41" t="n"/>
      <c r="BI77" s="49" t="n"/>
      <c r="BN77" s="250" t="n"/>
      <c r="BQ77" s="251" t="n"/>
      <c r="BR77" s="216" t="n"/>
      <c r="CL77" s="200" t="n"/>
      <c r="CQ77" s="215" t="n"/>
      <c r="CR77" s="215" t="n"/>
      <c r="CS77" s="215" t="n"/>
      <c r="CT77" s="215" t="n"/>
      <c r="CU77" s="215" t="n"/>
      <c r="CV77" s="215" t="n"/>
      <c r="CW77" s="215" t="n"/>
      <c r="CX77" s="215" t="n"/>
      <c r="CY77" s="215" t="n"/>
      <c r="CZ77" s="215" t="n"/>
      <c r="DA77" s="215" t="n"/>
      <c r="DB77" s="215" t="n"/>
      <c r="DC77" s="215" t="n"/>
      <c r="DD77" s="215" t="n"/>
      <c r="DE77" s="215" t="n"/>
      <c r="DF77" s="215" t="n"/>
      <c r="DG77" s="215" t="n"/>
      <c r="DH77" s="215" t="n"/>
      <c r="DI77" s="215" t="n"/>
      <c r="DJ77" s="215" t="n"/>
      <c r="DK77" s="215" t="n"/>
      <c r="DL77" s="215" t="n"/>
    </row>
    <row r="78" ht="12.6" customFormat="1" customHeight="1" s="217">
      <c r="B78" s="63" t="n"/>
      <c r="AS78" s="126" t="n"/>
      <c r="AT78" s="66" t="n"/>
      <c r="AU78" s="41" t="n"/>
      <c r="BN78" s="250" t="n"/>
      <c r="BQ78" s="251" t="n"/>
      <c r="BR78" s="216" t="n"/>
      <c r="CL78" s="200" t="n"/>
      <c r="CQ78" s="215" t="n"/>
      <c r="CR78" s="215" t="n"/>
      <c r="CS78" s="215" t="n"/>
      <c r="CT78" s="215" t="n"/>
      <c r="CU78" s="215" t="n"/>
      <c r="CV78" s="215" t="n"/>
      <c r="CW78" s="215" t="n"/>
      <c r="CX78" s="215" t="n"/>
      <c r="CY78" s="215" t="n"/>
      <c r="CZ78" s="215" t="n"/>
      <c r="DA78" s="215" t="n"/>
      <c r="DB78" s="215" t="n"/>
      <c r="DC78" s="215" t="n"/>
      <c r="DD78" s="215" t="n"/>
      <c r="DE78" s="215" t="n"/>
      <c r="DF78" s="215" t="n"/>
      <c r="DG78" s="215" t="n"/>
      <c r="DH78" s="215" t="n"/>
      <c r="DI78" s="215" t="n"/>
      <c r="DJ78" s="215" t="n"/>
      <c r="DK78" s="215" t="n"/>
      <c r="DL78" s="215" t="n"/>
    </row>
    <row r="79" ht="3" customFormat="1" customHeight="1" s="217">
      <c r="B79" s="34" t="n"/>
      <c r="C79" s="131" t="n"/>
      <c r="AS79" s="126" t="n"/>
      <c r="AT79" s="40" t="n"/>
      <c r="AU79" s="41" t="n"/>
      <c r="BH79" s="49" t="n"/>
      <c r="BI79" s="49" t="n"/>
      <c r="BJ79" s="49" t="n"/>
      <c r="BK79" s="49" t="n"/>
      <c r="BL79" s="49" t="n"/>
      <c r="BM79" s="49" t="n"/>
      <c r="BN79" s="250" t="n"/>
      <c r="BQ79" s="251" t="n"/>
      <c r="BR79" s="216" t="n"/>
      <c r="CL79" s="200" t="n"/>
      <c r="CQ79" s="215" t="n"/>
      <c r="CR79" s="215" t="n"/>
      <c r="CS79" s="215" t="n"/>
      <c r="CT79" s="215" t="n"/>
      <c r="CU79" s="215" t="n"/>
      <c r="CV79" s="215" t="n"/>
      <c r="CW79" s="215" t="n"/>
      <c r="CX79" s="215" t="n"/>
      <c r="CY79" s="215" t="n"/>
      <c r="CZ79" s="215" t="n"/>
      <c r="DA79" s="215" t="n"/>
      <c r="DB79" s="215" t="n"/>
      <c r="DC79" s="215" t="n"/>
      <c r="DD79" s="215" t="n"/>
      <c r="DE79" s="215" t="n"/>
      <c r="DF79" s="215" t="n"/>
      <c r="DG79" s="215" t="n"/>
      <c r="DH79" s="215" t="n"/>
      <c r="DI79" s="215" t="n"/>
      <c r="DJ79" s="215" t="n"/>
      <c r="DK79" s="215" t="n"/>
      <c r="DL79" s="215" t="n"/>
    </row>
    <row r="80" ht="6" customFormat="1" customHeight="1" s="218" thickBot="1">
      <c r="B80" s="135" t="n"/>
      <c r="C80" s="136" t="n"/>
      <c r="D80" s="136" t="n"/>
      <c r="E80" s="136" t="n"/>
      <c r="F80" s="136" t="n"/>
      <c r="G80" s="136" t="n"/>
      <c r="H80" s="136" t="n"/>
      <c r="I80" s="136" t="n"/>
      <c r="J80" s="136" t="n"/>
      <c r="K80" s="136" t="n"/>
      <c r="L80" s="136" t="n"/>
      <c r="M80" s="136" t="n"/>
      <c r="N80" s="136" t="n"/>
      <c r="O80" s="136" t="n"/>
      <c r="P80" s="136" t="n"/>
      <c r="Q80" s="136" t="n"/>
      <c r="R80" s="136" t="n"/>
      <c r="S80" s="136" t="n"/>
      <c r="T80" s="136" t="n"/>
      <c r="U80" s="136" t="n"/>
      <c r="V80" s="136" t="n"/>
      <c r="W80" s="136" t="n"/>
      <c r="X80" s="136" t="n"/>
      <c r="Y80" s="136" t="n"/>
      <c r="Z80" s="136" t="n"/>
      <c r="AA80" s="136" t="n"/>
      <c r="AB80" s="136" t="n"/>
      <c r="AC80" s="136" t="n"/>
      <c r="AD80" s="136" t="n"/>
      <c r="AE80" s="136" t="n"/>
      <c r="AF80" s="136" t="n"/>
      <c r="AG80" s="136" t="n"/>
      <c r="AH80" s="136" t="n"/>
      <c r="AI80" s="136" t="n"/>
      <c r="AJ80" s="136" t="n"/>
      <c r="AK80" s="136" t="n"/>
      <c r="AL80" s="136" t="n"/>
      <c r="AM80" s="136" t="n"/>
      <c r="AN80" s="136" t="n"/>
      <c r="AO80" s="136" t="n"/>
      <c r="AP80" s="136" t="n"/>
      <c r="AQ80" s="136" t="n"/>
      <c r="AR80" s="136" t="n"/>
      <c r="AS80" s="137" t="n"/>
      <c r="AT80" s="138" t="n"/>
      <c r="AU80" s="139" t="n"/>
      <c r="AV80" s="136" t="n"/>
      <c r="AW80" s="136" t="n"/>
      <c r="AX80" s="136" t="n"/>
      <c r="AY80" s="136" t="n"/>
      <c r="AZ80" s="136" t="n"/>
      <c r="BA80" s="136" t="n"/>
      <c r="BB80" s="140" t="n"/>
      <c r="BC80" s="140" t="n"/>
      <c r="BD80" s="140" t="n"/>
      <c r="BE80" s="140" t="n"/>
      <c r="BF80" s="140" t="n"/>
      <c r="BG80" s="140" t="n"/>
      <c r="BH80" s="140" t="n"/>
      <c r="BI80" s="140" t="n"/>
      <c r="BJ80" s="140" t="n"/>
      <c r="BK80" s="140" t="n"/>
      <c r="BL80" s="140" t="n"/>
      <c r="BM80" s="140" t="n"/>
      <c r="BN80" s="165" t="n"/>
      <c r="BO80" s="166" t="n"/>
      <c r="BP80" s="166" t="n"/>
      <c r="BQ80" s="167" t="n"/>
      <c r="BR80" s="216" t="n"/>
      <c r="CL80" s="200" t="n"/>
      <c r="CM80" s="217" t="n"/>
      <c r="CQ80" s="215" t="n"/>
      <c r="CR80" s="215" t="n"/>
      <c r="CS80" s="215" t="n"/>
      <c r="CT80" s="215" t="n"/>
      <c r="CU80" s="215" t="n"/>
      <c r="CV80" s="215" t="n"/>
      <c r="CW80" s="215" t="n"/>
      <c r="CX80" s="215" t="n"/>
      <c r="CY80" s="215" t="n"/>
      <c r="CZ80" s="215" t="n"/>
      <c r="DA80" s="215" t="n"/>
      <c r="DB80" s="215" t="n"/>
      <c r="DC80" s="215" t="n"/>
      <c r="DD80" s="215" t="n"/>
      <c r="DE80" s="215" t="n"/>
      <c r="DF80" s="215" t="n"/>
      <c r="DG80" s="215" t="n"/>
      <c r="DH80" s="215" t="n"/>
      <c r="DI80" s="215" t="n"/>
      <c r="DJ80" s="215" t="n"/>
      <c r="DK80" s="215" t="n"/>
      <c r="DL80" s="215" t="n"/>
    </row>
    <row r="81" ht="12.75" customFormat="1" customHeight="1" s="218" thickBot="1">
      <c r="B81" s="141" t="inlineStr">
        <is>
          <t>DOS TANTOS: EVALUACION Y SEGUIMIENTO Y AREA OPERATIVA</t>
        </is>
      </c>
      <c r="BG81" s="20" t="n"/>
      <c r="BK81" s="142" t="n"/>
      <c r="BP81" s="142" t="inlineStr">
        <is>
          <t>ACTUALIZACION: JULIO 2026</t>
        </is>
      </c>
      <c r="BQ81" s="20" t="n"/>
      <c r="BR81" s="219" t="n"/>
      <c r="BS81" s="220" t="n"/>
      <c r="BT81" s="220" t="n"/>
      <c r="BU81" s="220" t="n"/>
      <c r="BV81" s="220" t="n"/>
      <c r="BW81" s="220" t="n"/>
      <c r="BX81" s="220" t="n"/>
      <c r="BY81" s="220" t="n"/>
      <c r="BZ81" s="220" t="n"/>
      <c r="CA81" s="220" t="n"/>
      <c r="CB81" s="220" t="n"/>
      <c r="CC81" s="220" t="n"/>
      <c r="CD81" s="220" t="n"/>
      <c r="CE81" s="220" t="n"/>
      <c r="CF81" s="220" t="n"/>
      <c r="CG81" s="220" t="n"/>
      <c r="CH81" s="220" t="n"/>
      <c r="CI81" s="220" t="n"/>
      <c r="CJ81" s="220" t="n"/>
      <c r="CK81" s="220" t="n"/>
      <c r="CL81" s="221" t="n"/>
      <c r="CQ81" s="215" t="n"/>
      <c r="CR81" s="215" t="n"/>
      <c r="CS81" s="215" t="n"/>
      <c r="CT81" s="215" t="n"/>
      <c r="CU81" s="215" t="n"/>
      <c r="CV81" s="215" t="n"/>
      <c r="CW81" s="215" t="n"/>
      <c r="CX81" s="215" t="n"/>
      <c r="CY81" s="215" t="n"/>
      <c r="CZ81" s="215" t="n"/>
      <c r="DA81" s="215" t="n"/>
      <c r="DB81" s="215" t="n"/>
      <c r="DC81" s="215" t="n"/>
      <c r="DD81" s="215" t="n"/>
      <c r="DE81" s="215" t="n"/>
      <c r="DF81" s="215" t="n"/>
      <c r="DG81" s="215" t="n"/>
      <c r="DH81" s="215" t="n"/>
      <c r="DI81" s="215" t="n"/>
      <c r="DJ81" s="215" t="n"/>
      <c r="DK81" s="215" t="n"/>
      <c r="DL81" s="215" t="n"/>
    </row>
    <row r="82">
      <c r="A82" s="218" t="n"/>
      <c r="B82" s="218" t="n"/>
      <c r="C82" s="218" t="n"/>
      <c r="D82" s="218" t="n"/>
      <c r="E82" s="218" t="n"/>
      <c r="F82" s="218" t="n"/>
      <c r="G82" s="218" t="n"/>
      <c r="H82" s="218" t="n"/>
      <c r="I82" s="218" t="n"/>
      <c r="J82" s="218" t="n"/>
      <c r="K82" s="218" t="n"/>
      <c r="L82" s="218" t="n"/>
      <c r="M82" s="218" t="n"/>
      <c r="N82" s="218" t="n"/>
      <c r="O82" s="218" t="n"/>
      <c r="P82" s="218" t="n"/>
      <c r="Q82" s="218" t="n"/>
      <c r="R82" s="218" t="n"/>
      <c r="S82" s="218" t="n"/>
      <c r="T82" s="218" t="n"/>
      <c r="U82" s="218" t="n"/>
      <c r="V82" s="218" t="n"/>
      <c r="W82" s="218" t="n"/>
      <c r="X82" s="218" t="n"/>
      <c r="Y82" s="218" t="n"/>
      <c r="Z82" s="218" t="n"/>
      <c r="AA82" s="218" t="n"/>
      <c r="AB82" s="218" t="n"/>
      <c r="AC82" s="218" t="n"/>
      <c r="AD82" s="218" t="n"/>
      <c r="AE82" s="218" t="n"/>
      <c r="AF82" s="218" t="n"/>
      <c r="AG82" s="218" t="n"/>
      <c r="AH82" s="218" t="n"/>
      <c r="AI82" s="218" t="n"/>
      <c r="AJ82" s="218" t="n"/>
      <c r="AK82" s="218" t="n"/>
      <c r="AL82" s="218" t="n"/>
      <c r="AM82" s="218" t="n"/>
      <c r="AN82" s="218" t="n"/>
      <c r="AO82" s="218" t="n"/>
      <c r="AP82" s="218" t="n"/>
      <c r="AQ82" s="218" t="n"/>
      <c r="AR82" s="218" t="n"/>
      <c r="AS82" s="218" t="n"/>
      <c r="AT82" s="218" t="n"/>
      <c r="AU82" s="218" t="n"/>
      <c r="AV82" s="218" t="n"/>
      <c r="AW82" s="218" t="n"/>
      <c r="AX82" s="218" t="n"/>
      <c r="AY82" s="218" t="n"/>
      <c r="AZ82" s="218" t="n"/>
      <c r="BA82" s="218" t="n"/>
      <c r="BB82" s="218" t="n"/>
      <c r="BC82" s="218" t="n"/>
      <c r="BD82" s="218" t="n"/>
      <c r="BE82" s="218" t="n"/>
      <c r="BF82" s="218" t="n"/>
      <c r="BG82" s="218" t="n"/>
      <c r="BH82" s="218" t="n"/>
      <c r="BI82" s="218" t="n"/>
      <c r="BJ82" s="218" t="n"/>
      <c r="BK82" s="218" t="n"/>
      <c r="BL82" s="218" t="n"/>
      <c r="BM82" s="218" t="n"/>
      <c r="BN82" s="218" t="n"/>
      <c r="BO82" s="218" t="n"/>
      <c r="BP82" s="218" t="n"/>
      <c r="BQ82" s="218" t="n"/>
      <c r="BR82" s="218" t="n"/>
      <c r="BS82" s="218" t="n"/>
      <c r="BT82" s="218" t="n"/>
      <c r="BU82" s="218" t="n"/>
      <c r="BV82" s="218" t="n"/>
      <c r="BW82" s="218" t="n"/>
      <c r="BX82" s="218" t="n"/>
      <c r="BY82" s="218" t="n"/>
      <c r="BZ82" s="218" t="n"/>
      <c r="CA82" s="218" t="n"/>
      <c r="CB82" s="218" t="n"/>
      <c r="CC82" s="218" t="n"/>
      <c r="CD82" s="218" t="n"/>
      <c r="CE82" s="218" t="n"/>
      <c r="CF82" s="218" t="n"/>
      <c r="CG82" s="218" t="n"/>
      <c r="CH82" s="218" t="n"/>
      <c r="CI82" s="218" t="n"/>
      <c r="CJ82" s="218" t="n"/>
      <c r="CK82" s="218" t="n"/>
      <c r="CL82" s="218" t="n"/>
      <c r="CM82" s="218" t="n"/>
      <c r="CN82" s="218" t="n"/>
      <c r="CO82" s="218" t="n"/>
      <c r="CP82" s="218" t="n"/>
      <c r="CQ82" s="215" t="n"/>
      <c r="CR82" s="215" t="n"/>
      <c r="CS82" s="215" t="n"/>
      <c r="CT82" s="215" t="n"/>
      <c r="CU82" s="215" t="n"/>
      <c r="CV82" s="215" t="n"/>
      <c r="CW82" s="215" t="n"/>
      <c r="CX82" s="215" t="n"/>
      <c r="CY82" s="215" t="n"/>
      <c r="CZ82" s="215" t="n"/>
      <c r="DA82" s="215" t="n"/>
      <c r="DB82" s="215" t="n"/>
      <c r="DC82" s="215" t="n"/>
      <c r="DD82" s="215" t="n"/>
      <c r="DE82" s="215" t="n"/>
      <c r="DF82" s="215" t="n"/>
      <c r="DG82" s="215" t="n"/>
      <c r="DH82" s="215" t="n"/>
      <c r="DI82" s="215" t="n"/>
      <c r="DJ82" s="215" t="n"/>
      <c r="DK82" s="215" t="n"/>
      <c r="DL82" s="215" t="n"/>
    </row>
    <row r="83">
      <c r="A83" s="218" t="n"/>
      <c r="B83" s="218" t="n"/>
      <c r="C83" s="218" t="n"/>
      <c r="D83" s="218" t="n"/>
      <c r="E83" s="218" t="n"/>
      <c r="F83" s="218" t="n"/>
      <c r="G83" s="218" t="n"/>
      <c r="H83" s="218" t="n"/>
      <c r="I83" s="218" t="n"/>
      <c r="J83" s="218" t="n"/>
      <c r="K83" s="218" t="n"/>
      <c r="L83" s="218" t="n"/>
      <c r="M83" s="218" t="n"/>
      <c r="N83" s="218" t="n"/>
      <c r="O83" s="218" t="n"/>
      <c r="P83" s="218" t="n"/>
      <c r="Q83" s="218" t="n"/>
      <c r="R83" s="218" t="n"/>
      <c r="S83" s="218" t="n"/>
      <c r="T83" s="218" t="n"/>
      <c r="U83" s="218" t="n"/>
      <c r="V83" s="218" t="n"/>
      <c r="W83" s="218" t="n"/>
      <c r="X83" s="218" t="n"/>
      <c r="Y83" s="218" t="n"/>
      <c r="Z83" s="218" t="n"/>
      <c r="AA83" s="218" t="n"/>
      <c r="AB83" s="218" t="n"/>
      <c r="AC83" s="218" t="n"/>
      <c r="AD83" s="218" t="n"/>
      <c r="AE83" s="218" t="n"/>
      <c r="AF83" s="218" t="n"/>
      <c r="AG83" s="218" t="n"/>
      <c r="AH83" s="218" t="n"/>
      <c r="AI83" s="218" t="n"/>
      <c r="AJ83" s="218" t="n"/>
      <c r="AK83" s="218" t="n"/>
      <c r="AL83" s="218" t="n"/>
      <c r="AM83" s="218" t="n"/>
      <c r="AN83" s="218" t="n"/>
      <c r="AO83" s="218" t="n"/>
      <c r="AP83" s="218" t="n"/>
      <c r="AQ83" s="218" t="n"/>
      <c r="AR83" s="218" t="n"/>
      <c r="AS83" s="218" t="n"/>
      <c r="AT83" s="218" t="n"/>
      <c r="AU83" s="218" t="n"/>
      <c r="AV83" s="218" t="n"/>
      <c r="AW83" s="218" t="n"/>
      <c r="AX83" s="218" t="n"/>
      <c r="AY83" s="218" t="n"/>
      <c r="AZ83" s="218" t="n"/>
      <c r="BA83" s="218" t="n"/>
      <c r="BB83" s="218" t="n"/>
      <c r="BC83" s="218" t="n"/>
      <c r="BD83" s="218" t="n"/>
      <c r="BE83" s="218" t="n"/>
      <c r="BF83" s="218" t="n"/>
      <c r="BG83" s="218" t="n"/>
      <c r="BH83" s="218" t="n"/>
      <c r="BI83" s="218" t="n"/>
      <c r="BJ83" s="218" t="n"/>
      <c r="BK83" s="218" t="n"/>
      <c r="BL83" s="218" t="n"/>
      <c r="BM83" s="218" t="n"/>
      <c r="BN83" s="218" t="n"/>
      <c r="BO83" s="218" t="n"/>
      <c r="BP83" s="218" t="n"/>
      <c r="BQ83" s="218" t="n"/>
      <c r="BR83" s="218" t="n"/>
      <c r="BS83" s="218" t="n"/>
      <c r="BT83" s="218" t="n"/>
      <c r="BU83" s="218" t="n"/>
      <c r="BV83" s="218" t="n"/>
      <c r="BW83" s="218" t="n"/>
      <c r="BX83" s="218" t="n"/>
      <c r="BY83" s="218" t="n"/>
      <c r="BZ83" s="218" t="n"/>
      <c r="CA83" s="218" t="n"/>
      <c r="CB83" s="218" t="n"/>
      <c r="CC83" s="218" t="n"/>
      <c r="CD83" s="218" t="n"/>
      <c r="CE83" s="218" t="n"/>
      <c r="CF83" s="218" t="n"/>
      <c r="CG83" s="218" t="n"/>
      <c r="CH83" s="218" t="n"/>
      <c r="CI83" s="218" t="n"/>
      <c r="CJ83" s="218" t="n"/>
      <c r="CK83" s="218" t="n"/>
      <c r="CL83" s="218" t="n"/>
      <c r="CM83" s="218" t="n"/>
      <c r="CN83" s="218" t="n"/>
      <c r="CO83" s="218" t="n"/>
      <c r="CP83" s="218" t="n"/>
      <c r="CQ83" s="215" t="n"/>
      <c r="CR83" s="215" t="n"/>
      <c r="CS83" s="215" t="n"/>
      <c r="CT83" s="215" t="n"/>
      <c r="CU83" s="215" t="n"/>
      <c r="CV83" s="215" t="n"/>
      <c r="CW83" s="215" t="n"/>
      <c r="CX83" s="215" t="n"/>
      <c r="CY83" s="215" t="n"/>
      <c r="CZ83" s="215" t="n"/>
      <c r="DA83" s="215" t="n"/>
      <c r="DB83" s="215" t="n"/>
      <c r="DC83" s="215" t="n"/>
      <c r="DD83" s="215" t="n"/>
      <c r="DE83" s="215" t="n"/>
      <c r="DF83" s="215" t="n"/>
      <c r="DG83" s="215" t="n"/>
      <c r="DH83" s="215" t="n"/>
      <c r="DI83" s="215" t="n"/>
      <c r="DJ83" s="215" t="n"/>
      <c r="DK83" s="215" t="n"/>
      <c r="DL83" s="215" t="n"/>
    </row>
    <row r="84">
      <c r="A84" s="218" t="n"/>
      <c r="B84" s="218" t="n"/>
      <c r="C84" s="218" t="n"/>
      <c r="D84" s="218" t="n"/>
      <c r="E84" s="218" t="n"/>
      <c r="F84" s="218" t="n"/>
      <c r="G84" s="218" t="n"/>
      <c r="H84" s="218" t="n"/>
      <c r="I84" s="218" t="n"/>
      <c r="J84" s="218" t="n"/>
      <c r="K84" s="218" t="n"/>
      <c r="L84" s="218" t="n"/>
      <c r="M84" s="218" t="n"/>
      <c r="N84" s="218" t="n"/>
      <c r="O84" s="218" t="n"/>
      <c r="P84" s="218" t="n"/>
      <c r="Q84" s="218" t="n"/>
      <c r="R84" s="218" t="n"/>
      <c r="S84" s="218" t="n"/>
      <c r="T84" s="218" t="n"/>
      <c r="U84" s="218" t="n"/>
      <c r="V84" s="218" t="n"/>
      <c r="W84" s="218" t="n"/>
      <c r="X84" s="218" t="n"/>
      <c r="Y84" s="218" t="n"/>
      <c r="Z84" s="218" t="n"/>
      <c r="AA84" s="218" t="n"/>
      <c r="AB84" s="218" t="n"/>
      <c r="AC84" s="218" t="n"/>
      <c r="AD84" s="218" t="n"/>
      <c r="AE84" s="218" t="n"/>
      <c r="AF84" s="218" t="n"/>
      <c r="AG84" s="218" t="n"/>
      <c r="AH84" s="218" t="n"/>
      <c r="AI84" s="218" t="n"/>
      <c r="AJ84" s="218" t="n"/>
      <c r="AK84" s="218" t="n"/>
      <c r="AL84" s="218" t="n"/>
      <c r="AM84" s="218" t="n"/>
      <c r="AN84" s="218" t="n"/>
      <c r="AO84" s="218" t="n"/>
      <c r="AP84" s="218" t="n"/>
      <c r="AQ84" s="218" t="n"/>
      <c r="AR84" s="218" t="n"/>
      <c r="AS84" s="218" t="n"/>
      <c r="AT84" s="218" t="n"/>
      <c r="AU84" s="218" t="n"/>
      <c r="AV84" s="218" t="n"/>
      <c r="AW84" s="218" t="n"/>
      <c r="AX84" s="218" t="n"/>
      <c r="AY84" s="218" t="n"/>
      <c r="AZ84" s="218" t="n"/>
      <c r="BA84" s="218" t="n"/>
      <c r="BB84" s="218" t="n"/>
      <c r="BC84" s="218" t="n"/>
      <c r="BD84" s="218" t="n"/>
      <c r="BE84" s="218" t="n"/>
      <c r="BF84" s="218" t="n"/>
      <c r="BG84" s="218" t="n"/>
      <c r="BH84" s="218" t="n"/>
      <c r="BI84" s="218" t="n"/>
      <c r="BJ84" s="218" t="n"/>
      <c r="BK84" s="218" t="n"/>
      <c r="BL84" s="218" t="n"/>
      <c r="BM84" s="218" t="n"/>
      <c r="BN84" s="218" t="n"/>
      <c r="BO84" s="218" t="n"/>
      <c r="BP84" s="218" t="n"/>
      <c r="BQ84" s="218" t="n"/>
      <c r="BR84" s="218" t="n"/>
      <c r="BS84" s="218" t="n"/>
      <c r="BT84" s="218" t="n"/>
      <c r="BU84" s="218" t="n"/>
      <c r="BV84" s="218" t="n"/>
      <c r="BW84" s="218" t="n"/>
      <c r="BX84" s="218" t="n"/>
      <c r="BY84" s="218" t="n"/>
      <c r="BZ84" s="218" t="n"/>
      <c r="CA84" s="218" t="n"/>
      <c r="CB84" s="218" t="n"/>
      <c r="CC84" s="218" t="n"/>
      <c r="CD84" s="218" t="n"/>
      <c r="CE84" s="218" t="n"/>
      <c r="CF84" s="218" t="n"/>
      <c r="CG84" s="218" t="n"/>
      <c r="CH84" s="218" t="n"/>
      <c r="CI84" s="218" t="n"/>
      <c r="CJ84" s="218" t="n"/>
      <c r="CK84" s="218" t="n"/>
      <c r="CL84" s="218" t="n"/>
      <c r="CM84" s="218" t="n"/>
      <c r="CN84" s="218" t="n"/>
      <c r="CO84" s="218" t="n"/>
      <c r="CP84" s="218" t="n"/>
      <c r="CQ84" s="215" t="n"/>
      <c r="CR84" s="215" t="n"/>
      <c r="CS84" s="215" t="n"/>
      <c r="CT84" s="215" t="n"/>
      <c r="CU84" s="215" t="n"/>
      <c r="CV84" s="215" t="n"/>
      <c r="CW84" s="215" t="n"/>
      <c r="CX84" s="215" t="n"/>
      <c r="CY84" s="215" t="n"/>
      <c r="CZ84" s="215" t="n"/>
      <c r="DA84" s="215" t="n"/>
      <c r="DB84" s="215" t="n"/>
      <c r="DC84" s="215" t="n"/>
      <c r="DD84" s="215" t="n"/>
      <c r="DE84" s="215" t="n"/>
      <c r="DF84" s="215" t="n"/>
      <c r="DG84" s="215" t="n"/>
      <c r="DH84" s="215" t="n"/>
      <c r="DI84" s="215" t="n"/>
      <c r="DJ84" s="215" t="n"/>
      <c r="DK84" s="215" t="n"/>
      <c r="DL84" s="215" t="n"/>
    </row>
    <row r="85">
      <c r="A85" s="218" t="n"/>
      <c r="B85" s="218" t="n"/>
      <c r="C85" s="218" t="n"/>
      <c r="D85" s="218" t="n"/>
      <c r="E85" s="218" t="n"/>
      <c r="F85" s="218" t="n"/>
      <c r="G85" s="218" t="n"/>
      <c r="H85" s="218" t="n"/>
      <c r="I85" s="218" t="n"/>
      <c r="J85" s="218" t="n"/>
      <c r="K85" s="218" t="n"/>
      <c r="L85" s="218" t="n"/>
      <c r="M85" s="218" t="n"/>
      <c r="N85" s="218" t="n"/>
      <c r="O85" s="218" t="n"/>
      <c r="P85" s="218" t="n"/>
      <c r="Q85" s="218" t="n"/>
      <c r="R85" s="218" t="n"/>
      <c r="S85" s="218" t="n"/>
      <c r="T85" s="218" t="n"/>
      <c r="U85" s="218" t="n"/>
      <c r="V85" s="218" t="n"/>
      <c r="W85" s="218" t="n"/>
      <c r="X85" s="218" t="n"/>
      <c r="Y85" s="218" t="n"/>
      <c r="Z85" s="218" t="n"/>
      <c r="AA85" s="218" t="n"/>
      <c r="AB85" s="218" t="n"/>
      <c r="AC85" s="218" t="n"/>
      <c r="AD85" s="218" t="n"/>
      <c r="AE85" s="218" t="n"/>
      <c r="AF85" s="218" t="n"/>
      <c r="AG85" s="218" t="n"/>
      <c r="AH85" s="218" t="n"/>
      <c r="AI85" s="218" t="n"/>
      <c r="AJ85" s="218" t="n"/>
      <c r="AK85" s="218" t="n"/>
      <c r="AL85" s="218" t="n"/>
      <c r="AM85" s="218" t="n"/>
      <c r="AN85" s="218" t="n"/>
      <c r="AO85" s="218" t="n"/>
      <c r="AP85" s="218" t="n"/>
      <c r="AQ85" s="218" t="n"/>
      <c r="AR85" s="218" t="n"/>
      <c r="AS85" s="218" t="n"/>
      <c r="AT85" s="218" t="n"/>
      <c r="AU85" s="218" t="n"/>
      <c r="AV85" s="218" t="n"/>
      <c r="AW85" s="218" t="n"/>
      <c r="AX85" s="218" t="n"/>
      <c r="AY85" s="218" t="n"/>
      <c r="AZ85" s="218" t="n"/>
      <c r="BA85" s="218" t="n"/>
      <c r="BB85" s="218" t="n"/>
      <c r="BC85" s="218" t="n"/>
      <c r="BD85" s="218" t="n"/>
      <c r="BE85" s="218" t="n"/>
      <c r="BF85" s="218" t="n"/>
      <c r="BG85" s="218" t="n"/>
      <c r="BH85" s="218" t="n"/>
      <c r="BI85" s="218" t="n"/>
      <c r="BJ85" s="218" t="n"/>
      <c r="BK85" s="218" t="n"/>
      <c r="BL85" s="218" t="n"/>
      <c r="BM85" s="218" t="n"/>
      <c r="BN85" s="218" t="n"/>
      <c r="BO85" s="218" t="n"/>
      <c r="BP85" s="218" t="n"/>
      <c r="BQ85" s="218" t="n"/>
      <c r="BR85" s="218" t="n"/>
      <c r="BS85" s="218" t="n"/>
      <c r="BT85" s="218" t="n"/>
      <c r="BU85" s="218" t="n"/>
      <c r="BV85" s="218" t="n"/>
      <c r="BW85" s="218" t="n"/>
      <c r="BX85" s="218" t="n"/>
      <c r="BY85" s="218" t="n"/>
      <c r="BZ85" s="218" t="n"/>
      <c r="CA85" s="218" t="n"/>
      <c r="CB85" s="218" t="n"/>
      <c r="CC85" s="218" t="n"/>
      <c r="CD85" s="218" t="n"/>
      <c r="CE85" s="218" t="n"/>
      <c r="CF85" s="218" t="n"/>
      <c r="CG85" s="218" t="n"/>
      <c r="CH85" s="218" t="n"/>
      <c r="CI85" s="218" t="n"/>
      <c r="CJ85" s="218" t="n"/>
      <c r="CK85" s="218" t="n"/>
      <c r="CL85" s="218" t="n"/>
      <c r="CM85" s="218" t="n"/>
      <c r="CN85" s="218" t="n"/>
      <c r="CO85" s="218" t="n"/>
      <c r="CP85" s="218" t="n"/>
      <c r="CQ85" s="215" t="n"/>
      <c r="CR85" s="215" t="n"/>
      <c r="CS85" s="215" t="n"/>
      <c r="CT85" s="215" t="n"/>
      <c r="CU85" s="215" t="n"/>
      <c r="CV85" s="215" t="n"/>
      <c r="CW85" s="215" t="n"/>
      <c r="CX85" s="215" t="n"/>
      <c r="CY85" s="215" t="n"/>
      <c r="CZ85" s="215" t="n"/>
      <c r="DA85" s="215" t="n"/>
      <c r="DB85" s="215" t="n"/>
      <c r="DC85" s="215" t="n"/>
      <c r="DD85" s="215" t="n"/>
      <c r="DE85" s="215" t="n"/>
      <c r="DF85" s="215" t="n"/>
      <c r="DG85" s="215" t="n"/>
      <c r="DH85" s="215" t="n"/>
      <c r="DI85" s="215" t="n"/>
      <c r="DJ85" s="215" t="n"/>
      <c r="DK85" s="215" t="n"/>
      <c r="DL85" s="215" t="n"/>
    </row>
    <row r="86">
      <c r="A86" s="218" t="n"/>
      <c r="B86" s="218" t="n"/>
      <c r="C86" s="143" t="inlineStr">
        <is>
          <t>CATALOGOS</t>
        </is>
      </c>
      <c r="D86" s="144" t="n"/>
      <c r="E86" s="144" t="n"/>
      <c r="F86" s="144" t="n"/>
      <c r="G86" s="144" t="n"/>
      <c r="H86" s="144" t="n"/>
      <c r="I86" s="144" t="n"/>
      <c r="J86" s="144" t="n"/>
      <c r="K86" s="144" t="n"/>
      <c r="L86" s="144" t="n"/>
      <c r="M86" s="144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  <c r="AC86" s="144" t="n"/>
      <c r="AD86" s="144" t="n"/>
      <c r="AE86" s="144" t="n"/>
      <c r="AF86" s="144" t="n"/>
      <c r="AG86" s="144" t="n"/>
      <c r="AH86" s="144" t="n"/>
      <c r="AI86" s="144" t="n"/>
      <c r="AJ86" s="144" t="n"/>
      <c r="AK86" s="144" t="n"/>
      <c r="AL86" s="144" t="n"/>
      <c r="AM86" s="144" t="n"/>
      <c r="AN86" s="144" t="n"/>
      <c r="AO86" s="144" t="n"/>
      <c r="AP86" s="144" t="n"/>
      <c r="AQ86" s="144" t="n"/>
      <c r="AR86" s="144" t="n"/>
      <c r="AS86" s="144" t="n"/>
      <c r="AT86" s="144" t="n"/>
      <c r="AU86" s="144" t="n"/>
      <c r="AV86" s="144" t="n"/>
      <c r="AW86" s="144" t="n"/>
      <c r="AX86" s="144" t="n"/>
      <c r="AY86" s="144" t="n"/>
      <c r="AZ86" s="144" t="n"/>
      <c r="BA86" s="144" t="n"/>
      <c r="BB86" s="144" t="n"/>
      <c r="BC86" s="144" t="n"/>
      <c r="BD86" s="144" t="n"/>
      <c r="BE86" s="144" t="n"/>
      <c r="BF86" s="144" t="n"/>
      <c r="BG86" s="144" t="n"/>
      <c r="BH86" s="144" t="n"/>
      <c r="BI86" s="144" t="n"/>
      <c r="BJ86" s="144" t="n"/>
      <c r="BK86" s="144" t="n"/>
      <c r="BL86" s="144" t="n"/>
      <c r="BM86" s="144" t="n"/>
      <c r="BN86" s="144" t="n"/>
      <c r="BO86" s="144" t="n"/>
      <c r="BP86" s="144" t="n"/>
      <c r="BQ86" s="144" t="n"/>
      <c r="BR86" s="144" t="n"/>
      <c r="BS86" s="144" t="n"/>
      <c r="BT86" s="144" t="n"/>
      <c r="BU86" s="144" t="n"/>
      <c r="BV86" s="144" t="n"/>
      <c r="BW86" s="144" t="n"/>
      <c r="BX86" s="144" t="n"/>
      <c r="BY86" s="144" t="n"/>
      <c r="BZ86" s="144" t="n"/>
      <c r="CA86" s="144" t="n"/>
      <c r="CB86" s="144" t="n"/>
      <c r="CC86" s="144" t="n"/>
      <c r="CD86" s="144" t="n"/>
      <c r="CE86" s="144" t="n"/>
      <c r="CF86" s="144" t="n"/>
      <c r="CG86" s="144" t="n"/>
      <c r="CH86" s="144" t="n"/>
      <c r="CI86" s="144" t="n"/>
      <c r="CJ86" s="144" t="n"/>
      <c r="CK86" s="144" t="n"/>
      <c r="CL86" s="144" t="n"/>
      <c r="CM86" s="144" t="n"/>
      <c r="CN86" s="144" t="n"/>
      <c r="CO86" s="144" t="n"/>
      <c r="CP86" s="144" t="n"/>
      <c r="CQ86" s="144" t="n"/>
      <c r="CR86" s="144" t="n"/>
      <c r="CS86" s="144" t="n"/>
      <c r="CT86" s="144" t="n"/>
      <c r="CU86" s="144" t="n"/>
      <c r="CV86" s="144" t="n"/>
      <c r="CW86" s="144" t="n"/>
      <c r="CX86" s="144" t="n"/>
      <c r="CY86" s="144" t="n"/>
      <c r="CZ86" s="144" t="n"/>
      <c r="DA86" s="144" t="n"/>
      <c r="DB86" s="144" t="n"/>
      <c r="DC86" s="144" t="n"/>
      <c r="DD86" s="144" t="n"/>
      <c r="DE86" s="144" t="n"/>
      <c r="DF86" s="144" t="n"/>
      <c r="DG86" s="144" t="n"/>
      <c r="DH86" s="144" t="n"/>
      <c r="DI86" s="144" t="n"/>
      <c r="DJ86" s="144" t="n"/>
      <c r="DK86" s="144" t="n"/>
      <c r="DL86" s="144" t="n"/>
      <c r="DM86" s="144" t="n"/>
      <c r="DN86" s="144" t="n"/>
      <c r="DO86" s="144" t="n"/>
      <c r="DP86" s="144" t="n"/>
      <c r="DQ86" s="144" t="n"/>
      <c r="DR86" s="144" t="n"/>
      <c r="DS86" s="144" t="n"/>
      <c r="DT86" s="144" t="n"/>
      <c r="DU86" s="144" t="n"/>
      <c r="DV86" s="144" t="n"/>
      <c r="DW86" s="144" t="n"/>
      <c r="DX86" s="144" t="n"/>
      <c r="DY86" s="144" t="n"/>
      <c r="DZ86" s="144" t="n"/>
      <c r="EA86" s="144" t="n"/>
      <c r="EB86" s="144" t="n"/>
      <c r="EC86" s="144" t="n"/>
      <c r="ED86" s="144" t="n"/>
      <c r="EE86" s="144" t="n"/>
      <c r="EF86" s="144" t="n"/>
      <c r="EG86" s="144" t="n"/>
      <c r="EH86" s="144" t="n"/>
      <c r="EI86" s="144" t="n"/>
    </row>
    <row r="87">
      <c r="A87" s="218" t="n"/>
      <c r="B87" s="218" t="n"/>
      <c r="C87" s="145" t="inlineStr">
        <is>
          <t>Tipos de Movimiento</t>
        </is>
      </c>
      <c r="D87" s="145" t="n"/>
      <c r="E87" s="145" t="n"/>
      <c r="F87" s="145" t="n"/>
      <c r="G87" s="145" t="n"/>
      <c r="H87" s="145" t="n"/>
      <c r="I87" s="145" t="n"/>
      <c r="J87" s="145" t="n"/>
      <c r="K87" s="145" t="n"/>
      <c r="L87" s="145" t="n"/>
      <c r="M87" s="145" t="n"/>
      <c r="N87" s="218" t="n"/>
      <c r="O87" s="218" t="n"/>
      <c r="P87" s="218" t="n"/>
      <c r="Q87" s="145" t="inlineStr">
        <is>
          <t>Tipos de G I F</t>
        </is>
      </c>
      <c r="R87" s="145" t="n"/>
      <c r="S87" s="145" t="n"/>
      <c r="T87" s="145" t="n"/>
      <c r="U87" s="145" t="n"/>
      <c r="V87" s="145" t="n"/>
      <c r="W87" s="145" t="n"/>
      <c r="X87" s="145" t="n"/>
      <c r="Y87" s="145" t="n"/>
      <c r="Z87" s="145" t="n"/>
      <c r="AA87" s="145" t="n"/>
      <c r="AB87" s="218" t="n"/>
      <c r="AC87" s="218" t="n"/>
      <c r="AD87" s="218" t="n"/>
      <c r="AE87" s="218" t="n"/>
      <c r="AF87" s="218" t="n"/>
      <c r="AG87" s="218" t="n"/>
      <c r="AH87" s="145" t="inlineStr">
        <is>
          <t>Tipo de Cifras</t>
        </is>
      </c>
      <c r="AI87" s="145" t="n"/>
      <c r="AJ87" s="145" t="n"/>
      <c r="AK87" s="145" t="n"/>
      <c r="AL87" s="145" t="n"/>
      <c r="AM87" s="145" t="n"/>
      <c r="AN87" s="145" t="n"/>
      <c r="AO87" s="145" t="n"/>
      <c r="AP87" s="145" t="n"/>
      <c r="AQ87" s="218" t="n"/>
      <c r="AR87" s="218" t="n"/>
      <c r="AS87" s="145" t="inlineStr">
        <is>
          <t>Periodo / Otro Periodo</t>
        </is>
      </c>
      <c r="AT87" s="145" t="n"/>
      <c r="AU87" s="145" t="n"/>
      <c r="AV87" s="145" t="n"/>
      <c r="AW87" s="145" t="n"/>
      <c r="AX87" s="145" t="n"/>
      <c r="AY87" s="145" t="n"/>
      <c r="AZ87" s="145" t="n"/>
      <c r="BA87" s="145" t="n"/>
      <c r="BB87" s="218" t="n"/>
      <c r="BC87" s="218" t="n"/>
      <c r="BD87" s="145" t="inlineStr">
        <is>
          <t>Tipos de Impuesto Pagado</t>
        </is>
      </c>
      <c r="BE87" s="145" t="n"/>
      <c r="BF87" s="145" t="n"/>
      <c r="BG87" s="145" t="n"/>
      <c r="BH87" s="145" t="n"/>
      <c r="BI87" s="145" t="n"/>
      <c r="BJ87" s="145" t="n"/>
      <c r="BK87" s="145" t="n"/>
      <c r="BL87" s="145" t="n"/>
      <c r="BM87" s="145" t="n"/>
      <c r="BN87" s="145" t="n"/>
      <c r="BO87" s="218" t="n"/>
      <c r="BP87" s="218" t="n"/>
      <c r="BQ87" s="218" t="n"/>
      <c r="BR87" s="218" t="n"/>
      <c r="BS87" s="218" t="n"/>
      <c r="BT87" s="218" t="n"/>
      <c r="BU87" s="218" t="n"/>
      <c r="BV87" s="218" t="n"/>
      <c r="BW87" s="218" t="n"/>
      <c r="BX87" s="218" t="n"/>
      <c r="BY87" s="218" t="n"/>
      <c r="BZ87" s="218" t="n"/>
      <c r="CA87" s="218" t="n"/>
      <c r="CB87" s="218" t="n"/>
      <c r="CC87" s="218" t="n"/>
      <c r="CD87" s="218" t="n"/>
      <c r="CE87" s="218" t="n"/>
      <c r="CF87" s="218" t="n"/>
      <c r="CG87" s="218" t="n"/>
      <c r="CH87" s="218" t="n"/>
      <c r="CI87" s="218" t="n"/>
      <c r="CJ87" s="218" t="n"/>
      <c r="CK87" s="218" t="n"/>
      <c r="CL87" s="218" t="n"/>
      <c r="CM87" s="218" t="n"/>
      <c r="CN87" s="218" t="n"/>
      <c r="CO87" s="218" t="n"/>
      <c r="CP87" s="218" t="n"/>
      <c r="CQ87" s="215" t="n"/>
      <c r="CR87" s="215" t="n"/>
      <c r="CS87" s="215" t="n"/>
      <c r="CT87" s="215" t="n"/>
      <c r="CU87" s="215" t="n"/>
      <c r="CV87" s="215" t="n"/>
      <c r="CW87" s="215" t="n"/>
      <c r="CX87" s="215" t="n"/>
      <c r="CY87" s="215" t="n"/>
      <c r="CZ87" s="215" t="n"/>
      <c r="DA87" s="215" t="n"/>
      <c r="DB87" s="215" t="n"/>
      <c r="DC87" s="215" t="n"/>
      <c r="DD87" s="215" t="n"/>
      <c r="DE87" s="215" t="n"/>
      <c r="DF87" s="215" t="n"/>
      <c r="DG87" s="215" t="n"/>
      <c r="DH87" s="215" t="n"/>
      <c r="DI87" s="215" t="n"/>
      <c r="DJ87" s="215" t="n"/>
      <c r="DK87" s="215" t="n"/>
      <c r="DL87" s="215" t="n"/>
    </row>
    <row r="88">
      <c r="A88" s="218" t="n"/>
      <c r="B88" s="218" t="n"/>
      <c r="C88" s="146" t="inlineStr">
        <is>
          <t>AUTOCORRECCION</t>
        </is>
      </c>
      <c r="D88" s="146" t="n"/>
      <c r="E88" s="146" t="n"/>
      <c r="F88" s="146" t="n"/>
      <c r="G88" s="146" t="n"/>
      <c r="H88" s="146" t="n"/>
      <c r="I88" s="146" t="n"/>
      <c r="J88" s="146" t="n"/>
      <c r="K88" s="146" t="n"/>
      <c r="L88" s="146" t="n"/>
      <c r="M88" s="146" t="n"/>
      <c r="N88" s="218" t="n"/>
      <c r="O88" s="218" t="n"/>
      <c r="P88" s="218" t="n"/>
      <c r="Q88" s="146" t="inlineStr">
        <is>
          <t>FIANZA</t>
        </is>
      </c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  <c r="AA88" s="146" t="n"/>
      <c r="AB88" s="218" t="n"/>
      <c r="AC88" s="218" t="n"/>
      <c r="AD88" s="218" t="n"/>
      <c r="AE88" s="218" t="n"/>
      <c r="AF88" s="218" t="n"/>
      <c r="AG88" s="218" t="n"/>
      <c r="AH88" s="146" t="inlineStr">
        <is>
          <t>C</t>
        </is>
      </c>
      <c r="AI88" s="146" t="n"/>
      <c r="AJ88" s="146" t="n"/>
      <c r="AK88" s="146" t="n"/>
      <c r="AL88" s="146" t="n"/>
      <c r="AM88" s="146" t="n"/>
      <c r="AN88" s="146" t="n"/>
      <c r="AO88" s="146" t="n"/>
      <c r="AP88" s="146" t="n"/>
      <c r="AQ88" s="218" t="n"/>
      <c r="AR88" s="218" t="n"/>
      <c r="AS88" s="146" t="inlineStr">
        <is>
          <t>P</t>
        </is>
      </c>
      <c r="AT88" s="146" t="n"/>
      <c r="AU88" s="146" t="n"/>
      <c r="AV88" s="146" t="n"/>
      <c r="AW88" s="146" t="n"/>
      <c r="AX88" s="146" t="n"/>
      <c r="AY88" s="146" t="n"/>
      <c r="AZ88" s="146" t="n"/>
      <c r="BA88" s="146" t="n"/>
      <c r="BB88" s="218" t="n"/>
      <c r="BC88" s="218" t="n"/>
      <c r="BD88" s="146" t="inlineStr">
        <is>
          <t>ISR</t>
        </is>
      </c>
      <c r="BE88" s="146" t="n"/>
      <c r="BF88" s="146" t="n"/>
      <c r="BG88" s="146" t="n"/>
      <c r="BH88" s="146" t="n"/>
      <c r="BI88" s="146" t="n"/>
      <c r="BJ88" s="146" t="n"/>
      <c r="BK88" s="146" t="n"/>
      <c r="BL88" s="146" t="n"/>
      <c r="BM88" s="146" t="n"/>
      <c r="BN88" s="146" t="n"/>
      <c r="BO88" s="218" t="n"/>
      <c r="BP88" s="218" t="n"/>
      <c r="BQ88" s="218" t="n"/>
      <c r="BR88" s="218" t="n"/>
      <c r="BS88" s="218" t="n"/>
      <c r="BT88" s="218" t="n"/>
      <c r="BU88" s="218" t="n"/>
      <c r="BV88" s="218" t="n"/>
      <c r="BW88" s="218" t="n"/>
      <c r="BX88" s="218" t="n"/>
      <c r="BY88" s="218" t="n"/>
      <c r="BZ88" s="218" t="n"/>
      <c r="CA88" s="218" t="n"/>
      <c r="CB88" s="218" t="n"/>
      <c r="CC88" s="218" t="n"/>
      <c r="CD88" s="218" t="n"/>
      <c r="CE88" s="218" t="n"/>
      <c r="CF88" s="218" t="n"/>
      <c r="CG88" s="218" t="n"/>
      <c r="CH88" s="218" t="n"/>
      <c r="CI88" s="218" t="n"/>
      <c r="CJ88" s="218" t="n"/>
      <c r="CK88" s="218" t="n"/>
      <c r="CL88" s="218" t="n"/>
      <c r="CM88" s="218" t="n"/>
      <c r="CN88" s="218" t="n"/>
      <c r="CO88" s="218" t="n"/>
      <c r="CP88" s="218" t="n"/>
      <c r="CQ88" s="215" t="n"/>
      <c r="CR88" s="215" t="n"/>
      <c r="CS88" s="215" t="n"/>
      <c r="CT88" s="215" t="n"/>
      <c r="CU88" s="215" t="n"/>
      <c r="CV88" s="215" t="n"/>
      <c r="CW88" s="215" t="n"/>
      <c r="CX88" s="215" t="n"/>
      <c r="CY88" s="215" t="n"/>
      <c r="CZ88" s="215" t="n"/>
      <c r="DA88" s="215" t="n"/>
      <c r="DB88" s="215" t="n"/>
      <c r="DC88" s="215" t="n"/>
    </row>
    <row r="89">
      <c r="A89" s="218" t="n"/>
      <c r="B89" s="218" t="n"/>
      <c r="C89" s="146" t="inlineStr">
        <is>
          <t>LIQUIDACION</t>
        </is>
      </c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218" t="n"/>
      <c r="O89" s="218" t="n"/>
      <c r="P89" s="218" t="n"/>
      <c r="Q89" s="146" t="inlineStr">
        <is>
          <t>HIPOTECA</t>
        </is>
      </c>
      <c r="R89" s="146" t="n"/>
      <c r="S89" s="146" t="n"/>
      <c r="T89" s="146" t="n"/>
      <c r="U89" s="146" t="n"/>
      <c r="V89" s="146" t="n"/>
      <c r="W89" s="146" t="n"/>
      <c r="X89" s="146" t="n"/>
      <c r="Y89" s="146" t="n"/>
      <c r="Z89" s="146" t="n"/>
      <c r="AA89" s="146" t="n"/>
      <c r="AB89" s="218" t="n"/>
      <c r="AC89" s="218" t="n"/>
      <c r="AD89" s="218" t="n"/>
      <c r="AE89" s="218" t="n"/>
      <c r="AF89" s="218" t="n"/>
      <c r="AG89" s="218" t="n"/>
      <c r="AH89" s="146" t="inlineStr">
        <is>
          <t>V</t>
        </is>
      </c>
      <c r="AI89" s="146" t="n"/>
      <c r="AJ89" s="146" t="n"/>
      <c r="AK89" s="146" t="n"/>
      <c r="AL89" s="146" t="n"/>
      <c r="AM89" s="146" t="n"/>
      <c r="AN89" s="146" t="n"/>
      <c r="AO89" s="146" t="n"/>
      <c r="AP89" s="146" t="n"/>
      <c r="AQ89" s="218" t="n"/>
      <c r="AR89" s="218" t="n"/>
      <c r="AS89" s="146" t="inlineStr">
        <is>
          <t>OP</t>
        </is>
      </c>
      <c r="AT89" s="146" t="n"/>
      <c r="AU89" s="146" t="n"/>
      <c r="AV89" s="146" t="n"/>
      <c r="AW89" s="146" t="n"/>
      <c r="AX89" s="146" t="n"/>
      <c r="AY89" s="146" t="n"/>
      <c r="AZ89" s="146" t="n"/>
      <c r="BA89" s="146" t="n"/>
      <c r="BB89" s="218" t="n"/>
      <c r="BC89" s="218" t="n"/>
      <c r="BD89" s="146" t="inlineStr">
        <is>
          <t>ISR RET</t>
        </is>
      </c>
      <c r="BE89" s="146" t="n"/>
      <c r="BF89" s="146" t="n"/>
      <c r="BG89" s="146" t="n"/>
      <c r="BH89" s="146" t="n"/>
      <c r="BI89" s="146" t="n"/>
      <c r="BJ89" s="146" t="n"/>
      <c r="BK89" s="146" t="n"/>
      <c r="BL89" s="146" t="n"/>
      <c r="BM89" s="146" t="n"/>
      <c r="BN89" s="146" t="n"/>
      <c r="BO89" s="218" t="n"/>
      <c r="BP89" s="218" t="n"/>
      <c r="BQ89" s="218" t="n"/>
      <c r="BR89" s="218" t="n"/>
      <c r="BS89" s="218" t="n"/>
      <c r="BT89" s="218" t="n"/>
      <c r="BU89" s="218" t="n"/>
      <c r="BV89" s="218" t="n"/>
      <c r="BW89" s="218" t="n"/>
      <c r="BX89" s="218" t="n"/>
      <c r="BY89" s="218" t="n"/>
      <c r="BZ89" s="218" t="n"/>
      <c r="CA89" s="218" t="n"/>
      <c r="CB89" s="218" t="n"/>
      <c r="CC89" s="218" t="n"/>
      <c r="CD89" s="218" t="n"/>
      <c r="CE89" s="218" t="n"/>
      <c r="CF89" s="218" t="n"/>
      <c r="CG89" s="218" t="n"/>
      <c r="CH89" s="218" t="n"/>
      <c r="CI89" s="218" t="n"/>
      <c r="CJ89" s="218" t="n"/>
      <c r="CK89" s="218" t="n"/>
      <c r="CL89" s="218" t="n"/>
      <c r="CM89" s="218" t="n"/>
      <c r="CN89" s="218" t="n"/>
      <c r="CO89" s="218" t="n"/>
      <c r="CP89" s="218" t="n"/>
      <c r="CQ89" s="215" t="n"/>
      <c r="CR89" s="215" t="n"/>
      <c r="CS89" s="215" t="n"/>
      <c r="CT89" s="215" t="n"/>
      <c r="CU89" s="215" t="n"/>
      <c r="CV89" s="215" t="n"/>
      <c r="CW89" s="215" t="n"/>
      <c r="CX89" s="215" t="n"/>
      <c r="CY89" s="215" t="n"/>
      <c r="CZ89" s="215" t="n"/>
      <c r="DA89" s="215" t="n"/>
      <c r="DB89" s="215" t="n"/>
      <c r="DC89" s="215" t="n"/>
    </row>
    <row r="90">
      <c r="A90" s="218" t="n"/>
      <c r="B90" s="218" t="n"/>
      <c r="C90" s="146" t="inlineStr">
        <is>
          <t>SIN OBSERVACIONES</t>
        </is>
      </c>
      <c r="D90" s="146" t="n"/>
      <c r="E90" s="146" t="n"/>
      <c r="F90" s="146" t="n"/>
      <c r="G90" s="146" t="n"/>
      <c r="H90" s="146" t="n"/>
      <c r="I90" s="146" t="n"/>
      <c r="J90" s="146" t="n"/>
      <c r="K90" s="146" t="n"/>
      <c r="L90" s="146" t="n"/>
      <c r="M90" s="146" t="n"/>
      <c r="N90" s="218" t="n"/>
      <c r="O90" s="218" t="n"/>
      <c r="P90" s="218" t="n"/>
      <c r="Q90" s="146" t="inlineStr">
        <is>
          <t>PRENDA</t>
        </is>
      </c>
      <c r="R90" s="146" t="n"/>
      <c r="S90" s="146" t="n"/>
      <c r="T90" s="146" t="n"/>
      <c r="U90" s="146" t="n"/>
      <c r="V90" s="146" t="n"/>
      <c r="W90" s="146" t="n"/>
      <c r="X90" s="146" t="n"/>
      <c r="Y90" s="146" t="n"/>
      <c r="Z90" s="146" t="n"/>
      <c r="AA90" s="146" t="n"/>
      <c r="AB90" s="218" t="n"/>
      <c r="AC90" s="218" t="n"/>
      <c r="AD90" s="218" t="n"/>
      <c r="AE90" s="218" t="n"/>
      <c r="AF90" s="218" t="n"/>
      <c r="AG90" s="218" t="n"/>
      <c r="AH90" s="146" t="inlineStr">
        <is>
          <t>L</t>
        </is>
      </c>
      <c r="AI90" s="146" t="n"/>
      <c r="AJ90" s="146" t="n"/>
      <c r="AK90" s="146" t="n"/>
      <c r="AL90" s="146" t="n"/>
      <c r="AM90" s="146" t="n"/>
      <c r="AN90" s="146" t="n"/>
      <c r="AO90" s="146" t="n"/>
      <c r="AP90" s="146" t="n"/>
      <c r="AQ90" s="218" t="n"/>
      <c r="AR90" s="218" t="n"/>
      <c r="AS90" s="218" t="n"/>
      <c r="AT90" s="218" t="n"/>
      <c r="AU90" s="218" t="n"/>
      <c r="AV90" s="218" t="n"/>
      <c r="AW90" s="218" t="n"/>
      <c r="AX90" s="218" t="n"/>
      <c r="AY90" s="218" t="n"/>
      <c r="AZ90" s="218" t="n"/>
      <c r="BA90" s="218" t="n"/>
      <c r="BB90" s="218" t="n"/>
      <c r="BC90" s="218" t="n"/>
      <c r="BD90" s="146" t="inlineStr">
        <is>
          <t>IVA</t>
        </is>
      </c>
      <c r="BE90" s="146" t="n"/>
      <c r="BF90" s="146" t="n"/>
      <c r="BG90" s="146" t="n"/>
      <c r="BH90" s="146" t="n"/>
      <c r="BI90" s="146" t="n"/>
      <c r="BJ90" s="146" t="n"/>
      <c r="BK90" s="146" t="n"/>
      <c r="BL90" s="146" t="n"/>
      <c r="BM90" s="146" t="n"/>
      <c r="BN90" s="146" t="n"/>
      <c r="BO90" s="218" t="n"/>
      <c r="BP90" s="218" t="n"/>
      <c r="BQ90" s="218" t="n"/>
      <c r="BR90" s="218" t="n"/>
      <c r="BS90" s="218" t="n"/>
      <c r="BT90" s="218" t="n"/>
      <c r="BU90" s="218" t="n"/>
      <c r="BV90" s="218" t="n"/>
      <c r="BW90" s="218" t="n"/>
      <c r="BX90" s="218" t="n"/>
      <c r="BY90" s="218" t="n"/>
      <c r="BZ90" s="218" t="n"/>
      <c r="CA90" s="218" t="n"/>
      <c r="CB90" s="218" t="n"/>
      <c r="CC90" s="218" t="n"/>
      <c r="CD90" s="218" t="n"/>
      <c r="CE90" s="218" t="n"/>
      <c r="CF90" s="218" t="n"/>
      <c r="CG90" s="218" t="n"/>
      <c r="CH90" s="218" t="n"/>
      <c r="CI90" s="218" t="n"/>
      <c r="CJ90" s="218" t="n"/>
      <c r="CK90" s="218" t="n"/>
      <c r="CL90" s="218" t="n"/>
      <c r="CM90" s="218" t="n"/>
      <c r="CN90" s="218" t="n"/>
      <c r="CO90" s="218" t="n"/>
      <c r="CP90" s="218" t="n"/>
      <c r="CQ90" s="218" t="n"/>
      <c r="CR90" s="218" t="n"/>
      <c r="CS90" s="218" t="n"/>
      <c r="CT90" s="218" t="n"/>
      <c r="CU90" s="218" t="n"/>
      <c r="CV90" s="218" t="n"/>
      <c r="CW90" s="218" t="n"/>
      <c r="CX90" s="218" t="n"/>
      <c r="CY90" s="218" t="n"/>
      <c r="CZ90" s="218" t="n"/>
      <c r="DA90" s="218" t="n"/>
      <c r="DB90" s="218" t="n"/>
      <c r="DC90" s="218" t="n"/>
    </row>
    <row r="91">
      <c r="A91" s="218" t="n"/>
      <c r="B91" s="218" t="n"/>
      <c r="C91" s="146" t="inlineStr">
        <is>
          <t>ANTICIPO</t>
        </is>
      </c>
      <c r="D91" s="146" t="n"/>
      <c r="E91" s="146" t="n"/>
      <c r="F91" s="146" t="n"/>
      <c r="G91" s="146" t="n"/>
      <c r="H91" s="146" t="n"/>
      <c r="I91" s="146" t="n"/>
      <c r="J91" s="146" t="n"/>
      <c r="K91" s="146" t="n"/>
      <c r="L91" s="146" t="n"/>
      <c r="M91" s="146" t="n"/>
      <c r="N91" s="218" t="n"/>
      <c r="O91" s="218" t="n"/>
      <c r="P91" s="218" t="n"/>
      <c r="Q91" s="146" t="inlineStr">
        <is>
          <t>OTROS</t>
        </is>
      </c>
      <c r="R91" s="146" t="n"/>
      <c r="S91" s="146" t="n"/>
      <c r="T91" s="146" t="n"/>
      <c r="U91" s="146" t="n"/>
      <c r="V91" s="146" t="n"/>
      <c r="W91" s="146" t="n"/>
      <c r="X91" s="146" t="n"/>
      <c r="Y91" s="146" t="n"/>
      <c r="Z91" s="146" t="n"/>
      <c r="AA91" s="146" t="n"/>
      <c r="AB91" s="218" t="n"/>
      <c r="AC91" s="218" t="n"/>
      <c r="AD91" s="218" t="n"/>
      <c r="AE91" s="218" t="n"/>
      <c r="AF91" s="218" t="n"/>
      <c r="AG91" s="218" t="n"/>
      <c r="AH91" s="218" t="n"/>
      <c r="AI91" s="218" t="n"/>
      <c r="AJ91" s="218" t="n"/>
      <c r="AK91" s="218" t="n"/>
      <c r="AL91" s="218" t="n"/>
      <c r="AM91" s="218" t="n"/>
      <c r="AN91" s="218" t="n"/>
      <c r="AO91" s="218" t="n"/>
      <c r="AP91" s="218" t="n"/>
      <c r="AQ91" s="218" t="n"/>
      <c r="AR91" s="218" t="n"/>
      <c r="AS91" s="218" t="n"/>
      <c r="AT91" s="218" t="n"/>
      <c r="AU91" s="218" t="n"/>
      <c r="AV91" s="218" t="n"/>
      <c r="AW91" s="218" t="n"/>
      <c r="AX91" s="218" t="n"/>
      <c r="AY91" s="218" t="n"/>
      <c r="AZ91" s="218" t="n"/>
      <c r="BA91" s="218" t="n"/>
      <c r="BB91" s="218" t="n"/>
      <c r="BC91" s="218" t="n"/>
      <c r="BD91" s="146" t="inlineStr">
        <is>
          <t>IVA RET</t>
        </is>
      </c>
      <c r="BE91" s="146" t="n"/>
      <c r="BF91" s="146" t="n"/>
      <c r="BG91" s="146" t="n"/>
      <c r="BH91" s="146" t="n"/>
      <c r="BI91" s="146" t="n"/>
      <c r="BJ91" s="146" t="n"/>
      <c r="BK91" s="146" t="n"/>
      <c r="BL91" s="146" t="n"/>
      <c r="BM91" s="146" t="n"/>
      <c r="BN91" s="146" t="n"/>
      <c r="BO91" s="218" t="n"/>
      <c r="BP91" s="218" t="n"/>
      <c r="BQ91" s="218" t="n"/>
      <c r="BR91" s="218" t="n"/>
      <c r="BS91" s="218" t="n"/>
      <c r="BT91" s="218" t="n"/>
      <c r="BU91" s="218" t="n"/>
      <c r="BV91" s="218" t="n"/>
      <c r="BW91" s="218" t="n"/>
      <c r="BX91" s="218" t="n"/>
      <c r="BY91" s="218" t="n"/>
      <c r="BZ91" s="218" t="n"/>
      <c r="CA91" s="218" t="n"/>
      <c r="CB91" s="218" t="n"/>
      <c r="CC91" s="218" t="n"/>
      <c r="CD91" s="218" t="n"/>
      <c r="CE91" s="218" t="n"/>
      <c r="CF91" s="218" t="n"/>
      <c r="CG91" s="218" t="n"/>
      <c r="CH91" s="218" t="n"/>
      <c r="CI91" s="218" t="n"/>
      <c r="CJ91" s="218" t="n"/>
      <c r="CK91" s="218" t="n"/>
      <c r="CL91" s="218" t="n"/>
      <c r="CM91" s="218" t="n"/>
      <c r="CN91" s="218" t="n"/>
      <c r="CO91" s="218" t="n"/>
      <c r="CP91" s="218" t="n"/>
      <c r="CQ91" s="218" t="n"/>
      <c r="CR91" s="218" t="n"/>
      <c r="CS91" s="218" t="n"/>
      <c r="CT91" s="218" t="n"/>
      <c r="CU91" s="218" t="n"/>
      <c r="CV91" s="218" t="n"/>
      <c r="CW91" s="218" t="n"/>
      <c r="CX91" s="218" t="n"/>
      <c r="CY91" s="218" t="n"/>
      <c r="CZ91" s="218" t="n"/>
      <c r="DA91" s="218" t="n"/>
      <c r="DB91" s="218" t="n"/>
      <c r="DC91" s="218" t="n"/>
    </row>
    <row r="92">
      <c r="A92" s="218" t="n"/>
      <c r="B92" s="218" t="n"/>
      <c r="C92" s="146" t="inlineStr">
        <is>
          <t>CIFRA COMPLEMENTO DE LA TERMINACION</t>
        </is>
      </c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218" t="n"/>
      <c r="O92" s="218" t="n"/>
      <c r="P92" s="218" t="n"/>
      <c r="Q92" s="218" t="n"/>
      <c r="R92" s="218" t="n"/>
      <c r="S92" s="218" t="n"/>
      <c r="T92" s="218" t="n"/>
      <c r="U92" s="218" t="n"/>
      <c r="V92" s="218" t="n"/>
      <c r="W92" s="218" t="n"/>
      <c r="X92" s="218" t="n"/>
      <c r="Y92" s="218" t="n"/>
      <c r="Z92" s="218" t="n"/>
      <c r="AA92" s="218" t="n"/>
      <c r="AB92" s="218" t="n"/>
      <c r="AC92" s="218" t="n"/>
      <c r="AD92" s="218" t="n"/>
      <c r="AE92" s="218" t="n"/>
      <c r="AF92" s="218" t="n"/>
      <c r="AG92" s="218" t="n"/>
      <c r="AH92" s="218" t="n"/>
      <c r="AI92" s="218" t="n"/>
      <c r="AJ92" s="218" t="n"/>
      <c r="AK92" s="218" t="n"/>
      <c r="AL92" s="218" t="n"/>
      <c r="AM92" s="218" t="n"/>
      <c r="AN92" s="218" t="n"/>
      <c r="AO92" s="218" t="n"/>
      <c r="AP92" s="218" t="n"/>
      <c r="AQ92" s="218" t="n"/>
      <c r="AR92" s="218" t="n"/>
      <c r="AS92" s="218" t="n"/>
      <c r="AT92" s="218" t="n"/>
      <c r="AU92" s="218" t="n"/>
      <c r="AV92" s="218" t="n"/>
      <c r="AW92" s="218" t="n"/>
      <c r="AX92" s="218" t="n"/>
      <c r="AY92" s="218" t="n"/>
      <c r="AZ92" s="218" t="n"/>
      <c r="BA92" s="218" t="n"/>
      <c r="BB92" s="218" t="n"/>
      <c r="BC92" s="218" t="n"/>
      <c r="BD92" s="146" t="inlineStr">
        <is>
          <t>IEPS</t>
        </is>
      </c>
      <c r="BE92" s="146" t="n"/>
      <c r="BF92" s="146" t="n"/>
      <c r="BG92" s="146" t="n"/>
      <c r="BH92" s="146" t="n"/>
      <c r="BI92" s="146" t="n"/>
      <c r="BJ92" s="146" t="n"/>
      <c r="BK92" s="146" t="n"/>
      <c r="BL92" s="146" t="n"/>
      <c r="BM92" s="146" t="n"/>
      <c r="BN92" s="146" t="n"/>
      <c r="BO92" s="218" t="n"/>
      <c r="BP92" s="218" t="n"/>
      <c r="BQ92" s="218" t="n"/>
      <c r="BR92" s="218" t="n"/>
      <c r="BS92" s="218" t="n"/>
      <c r="BT92" s="218" t="n"/>
      <c r="BU92" s="218" t="n"/>
      <c r="BV92" s="218" t="n"/>
      <c r="BW92" s="218" t="n"/>
      <c r="BX92" s="218" t="n"/>
      <c r="BY92" s="218" t="n"/>
      <c r="BZ92" s="218" t="n"/>
      <c r="CA92" s="218" t="n"/>
      <c r="CB92" s="218" t="n"/>
      <c r="CC92" s="218" t="n"/>
      <c r="CD92" s="218" t="n"/>
      <c r="CE92" s="218" t="n"/>
      <c r="CF92" s="218" t="n"/>
      <c r="CG92" s="218" t="n"/>
      <c r="CH92" s="218" t="n"/>
      <c r="CI92" s="218" t="n"/>
      <c r="CJ92" s="218" t="n"/>
      <c r="CK92" s="218" t="n"/>
      <c r="CL92" s="218" t="n"/>
      <c r="CM92" s="218" t="n"/>
      <c r="CN92" s="218" t="n"/>
      <c r="CO92" s="218" t="n"/>
      <c r="CP92" s="218" t="n"/>
      <c r="CQ92" s="218" t="n"/>
      <c r="CR92" s="218" t="n"/>
      <c r="CS92" s="218" t="n"/>
      <c r="CT92" s="218" t="n"/>
      <c r="CU92" s="218" t="n"/>
      <c r="CV92" s="218" t="n"/>
      <c r="CW92" s="218" t="n"/>
      <c r="CX92" s="218" t="n"/>
      <c r="CY92" s="218" t="n"/>
      <c r="CZ92" s="218" t="n"/>
      <c r="DA92" s="218" t="n"/>
      <c r="DB92" s="218" t="n"/>
      <c r="DC92" s="218" t="n"/>
    </row>
    <row r="93">
      <c r="A93" s="218" t="n"/>
      <c r="B93" s="218" t="n"/>
      <c r="C93" s="146" t="n"/>
      <c r="D93" s="146" t="n"/>
      <c r="E93" s="146" t="n"/>
      <c r="F93" s="146" t="n"/>
      <c r="G93" s="146" t="n"/>
      <c r="H93" s="146" t="n"/>
      <c r="I93" s="146" t="n"/>
      <c r="J93" s="146" t="n"/>
      <c r="K93" s="146" t="n"/>
      <c r="L93" s="146" t="n"/>
      <c r="M93" s="146" t="n"/>
      <c r="N93" s="218" t="n"/>
      <c r="O93" s="218" t="n"/>
      <c r="P93" s="218" t="n"/>
      <c r="Q93" s="218" t="n"/>
      <c r="R93" s="218" t="n"/>
      <c r="S93" s="218" t="n"/>
      <c r="T93" s="218" t="n"/>
      <c r="U93" s="218" t="n"/>
      <c r="V93" s="218" t="n"/>
      <c r="W93" s="218" t="n"/>
      <c r="X93" s="218" t="n"/>
      <c r="Y93" s="218" t="n"/>
      <c r="Z93" s="218" t="n"/>
      <c r="AA93" s="218" t="n"/>
      <c r="AB93" s="218" t="n"/>
      <c r="AC93" s="218" t="n"/>
      <c r="AD93" s="218" t="n"/>
      <c r="AE93" s="218" t="n"/>
      <c r="AF93" s="218" t="n"/>
      <c r="AG93" s="218" t="n"/>
      <c r="AH93" s="218" t="n"/>
      <c r="AI93" s="218" t="n"/>
      <c r="AJ93" s="218" t="n"/>
      <c r="AK93" s="218" t="n"/>
      <c r="AL93" s="218" t="n"/>
      <c r="AM93" s="218" t="n"/>
      <c r="AN93" s="218" t="n"/>
      <c r="AO93" s="218" t="n"/>
      <c r="AP93" s="218" t="n"/>
      <c r="AQ93" s="218" t="n"/>
      <c r="AR93" s="218" t="n"/>
      <c r="AS93" s="218" t="n"/>
      <c r="AT93" s="218" t="n"/>
      <c r="AU93" s="218" t="n"/>
      <c r="AV93" s="218" t="n"/>
      <c r="AW93" s="218" t="n"/>
      <c r="AX93" s="218" t="n"/>
      <c r="AY93" s="218" t="n"/>
      <c r="AZ93" s="218" t="n"/>
      <c r="BA93" s="218" t="n"/>
      <c r="BB93" s="218" t="n"/>
      <c r="BC93" s="218" t="n"/>
      <c r="BD93" s="146" t="inlineStr">
        <is>
          <t>OTR</t>
        </is>
      </c>
      <c r="BE93" s="146" t="n"/>
      <c r="BF93" s="146" t="n"/>
      <c r="BG93" s="146" t="n"/>
      <c r="BH93" s="146" t="n"/>
      <c r="BI93" s="146" t="n"/>
      <c r="BJ93" s="146" t="n"/>
      <c r="BK93" s="146" t="n"/>
      <c r="BL93" s="146" t="n"/>
      <c r="BM93" s="146" t="n"/>
      <c r="BN93" s="146" t="n"/>
      <c r="BO93" s="218" t="n"/>
      <c r="BP93" s="218" t="n"/>
      <c r="BQ93" s="218" t="n"/>
      <c r="BR93" s="218" t="n"/>
      <c r="BS93" s="218" t="n"/>
      <c r="BT93" s="218" t="n"/>
      <c r="BU93" s="218" t="n"/>
      <c r="BV93" s="218" t="n"/>
      <c r="BW93" s="218" t="n"/>
      <c r="BX93" s="218" t="n"/>
      <c r="BY93" s="218" t="n"/>
      <c r="BZ93" s="218" t="n"/>
      <c r="CA93" s="218" t="n"/>
      <c r="CB93" s="218" t="n"/>
      <c r="CC93" s="218" t="n"/>
      <c r="CD93" s="218" t="n"/>
      <c r="CE93" s="218" t="n"/>
      <c r="CF93" s="218" t="n"/>
      <c r="CG93" s="218" t="n"/>
      <c r="CH93" s="218" t="n"/>
      <c r="CI93" s="218" t="n"/>
      <c r="CJ93" s="218" t="n"/>
      <c r="CK93" s="218" t="n"/>
      <c r="CL93" s="218" t="n"/>
      <c r="CM93" s="218" t="n"/>
      <c r="CN93" s="218" t="n"/>
      <c r="CO93" s="218" t="n"/>
      <c r="CP93" s="218" t="n"/>
      <c r="CQ93" s="218" t="n"/>
      <c r="CR93" s="218" t="n"/>
      <c r="CS93" s="218" t="n"/>
      <c r="CT93" s="218" t="n"/>
      <c r="CU93" s="218" t="n"/>
      <c r="CV93" s="218" t="n"/>
      <c r="CW93" s="218" t="n"/>
      <c r="CX93" s="218" t="n"/>
      <c r="CY93" s="218" t="n"/>
      <c r="CZ93" s="218" t="n"/>
      <c r="DA93" s="218" t="n"/>
      <c r="DB93" s="218" t="n"/>
      <c r="DC93" s="218" t="n"/>
    </row>
    <row r="94">
      <c r="A94" s="218" t="n"/>
      <c r="B94" s="218" t="n"/>
      <c r="C94" s="146" t="n"/>
      <c r="D94" s="146" t="n"/>
      <c r="E94" s="146" t="n"/>
      <c r="F94" s="146" t="n"/>
      <c r="G94" s="146" t="n"/>
      <c r="H94" s="146" t="n"/>
      <c r="I94" s="146" t="n"/>
      <c r="J94" s="146" t="n"/>
      <c r="K94" s="146" t="n"/>
      <c r="L94" s="146" t="n"/>
      <c r="M94" s="146" t="n"/>
      <c r="N94" s="218" t="n"/>
      <c r="O94" s="218" t="n"/>
      <c r="P94" s="218" t="n"/>
      <c r="Q94" s="218" t="n"/>
      <c r="R94" s="218" t="n"/>
      <c r="S94" s="218" t="n"/>
      <c r="T94" s="218" t="n"/>
      <c r="U94" s="218" t="n"/>
      <c r="V94" s="218" t="n"/>
      <c r="W94" s="218" t="n"/>
      <c r="X94" s="218" t="n"/>
      <c r="Y94" s="218" t="n"/>
      <c r="Z94" s="218" t="n"/>
      <c r="AA94" s="218" t="n"/>
      <c r="AB94" s="218" t="n"/>
      <c r="AC94" s="218" t="n"/>
      <c r="AD94" s="218" t="n"/>
      <c r="AE94" s="218" t="n"/>
      <c r="AF94" s="218" t="n"/>
      <c r="AG94" s="218" t="n"/>
      <c r="AH94" s="218" t="n"/>
      <c r="AI94" s="218" t="n"/>
      <c r="AJ94" s="218" t="n"/>
      <c r="AK94" s="218" t="n"/>
      <c r="AL94" s="218" t="n"/>
      <c r="AM94" s="218" t="n"/>
      <c r="AN94" s="218" t="n"/>
      <c r="AO94" s="218" t="n"/>
      <c r="AP94" s="218" t="n"/>
      <c r="AQ94" s="218" t="n"/>
      <c r="AR94" s="218" t="n"/>
      <c r="AS94" s="218" t="n"/>
      <c r="AT94" s="218" t="n"/>
      <c r="AU94" s="218" t="n"/>
      <c r="AV94" s="218" t="n"/>
      <c r="AW94" s="218" t="n"/>
      <c r="AX94" s="218" t="n"/>
      <c r="AY94" s="218" t="n"/>
      <c r="AZ94" s="218" t="n"/>
      <c r="BA94" s="218" t="n"/>
      <c r="BB94" s="218" t="n"/>
      <c r="BC94" s="218" t="n"/>
      <c r="BD94" s="146" t="inlineStr">
        <is>
          <t>OTR RET</t>
        </is>
      </c>
      <c r="BE94" s="146" t="n"/>
      <c r="BF94" s="146" t="n"/>
      <c r="BG94" s="146" t="n"/>
      <c r="BH94" s="146" t="n"/>
      <c r="BI94" s="146" t="n"/>
      <c r="BJ94" s="146" t="n"/>
      <c r="BK94" s="146" t="n"/>
      <c r="BL94" s="146" t="n"/>
      <c r="BM94" s="146" t="n"/>
      <c r="BN94" s="146" t="n"/>
      <c r="BO94" s="218" t="n"/>
      <c r="BP94" s="218" t="n"/>
      <c r="BQ94" s="218" t="n"/>
      <c r="BR94" s="218" t="n"/>
      <c r="BS94" s="218" t="n"/>
      <c r="BT94" s="218" t="n"/>
      <c r="BU94" s="218" t="n"/>
      <c r="BV94" s="218" t="n"/>
      <c r="BW94" s="218" t="n"/>
      <c r="BX94" s="218" t="n"/>
      <c r="BY94" s="218" t="n"/>
      <c r="BZ94" s="218" t="n"/>
      <c r="CA94" s="218" t="n"/>
      <c r="CB94" s="218" t="n"/>
      <c r="CC94" s="218" t="n"/>
      <c r="CD94" s="218" t="n"/>
      <c r="CE94" s="218" t="n"/>
      <c r="CF94" s="218" t="n"/>
      <c r="CG94" s="218" t="n"/>
      <c r="CH94" s="218" t="n"/>
      <c r="CI94" s="218" t="n"/>
      <c r="CJ94" s="218" t="n"/>
      <c r="CK94" s="218" t="n"/>
      <c r="CL94" s="218" t="n"/>
      <c r="CM94" s="218" t="n"/>
      <c r="CN94" s="218" t="n"/>
      <c r="CO94" s="218" t="n"/>
      <c r="CP94" s="218" t="n"/>
      <c r="CQ94" s="218" t="n"/>
      <c r="CR94" s="218" t="n"/>
      <c r="CS94" s="218" t="n"/>
      <c r="CT94" s="218" t="n"/>
      <c r="CU94" s="218" t="n"/>
      <c r="CV94" s="218" t="n"/>
      <c r="CW94" s="218" t="n"/>
      <c r="CX94" s="218" t="n"/>
      <c r="CY94" s="218" t="n"/>
      <c r="CZ94" s="218" t="n"/>
      <c r="DA94" s="218" t="n"/>
      <c r="DB94" s="218" t="n"/>
      <c r="DC94" s="218" t="n"/>
    </row>
    <row r="95">
      <c r="A95" s="218" t="n"/>
      <c r="B95" s="218" t="n"/>
      <c r="C95" s="218" t="n"/>
      <c r="D95" s="218" t="n"/>
      <c r="E95" s="218" t="n"/>
      <c r="F95" s="218" t="n"/>
      <c r="G95" s="218" t="n"/>
      <c r="H95" s="218" t="n"/>
      <c r="I95" s="218" t="n"/>
      <c r="J95" s="218" t="n"/>
      <c r="K95" s="218" t="n"/>
      <c r="L95" s="218" t="n"/>
      <c r="M95" s="218" t="n"/>
      <c r="N95" s="218" t="n"/>
      <c r="O95" s="218" t="n"/>
      <c r="P95" s="218" t="n"/>
      <c r="Q95" s="218" t="n"/>
      <c r="R95" s="218" t="n"/>
      <c r="S95" s="218" t="n"/>
      <c r="T95" s="218" t="n"/>
      <c r="U95" s="218" t="n"/>
      <c r="V95" s="218" t="n"/>
      <c r="W95" s="218" t="n"/>
      <c r="X95" s="218" t="n"/>
      <c r="Y95" s="218" t="n"/>
      <c r="Z95" s="218" t="n"/>
      <c r="AA95" s="218" t="n"/>
      <c r="AB95" s="218" t="n"/>
      <c r="AC95" s="218" t="n"/>
      <c r="AD95" s="218" t="n"/>
      <c r="AE95" s="218" t="n"/>
      <c r="AF95" s="218" t="n"/>
      <c r="AG95" s="218" t="n"/>
      <c r="AH95" s="218" t="n"/>
      <c r="AI95" s="218" t="n"/>
      <c r="AJ95" s="218" t="n"/>
      <c r="AK95" s="218" t="n"/>
      <c r="AL95" s="218" t="n"/>
      <c r="AM95" s="218" t="n"/>
      <c r="AN95" s="218" t="n"/>
      <c r="AO95" s="218" t="n"/>
      <c r="AP95" s="218" t="n"/>
      <c r="AQ95" s="218" t="n"/>
      <c r="AR95" s="218" t="n"/>
      <c r="AS95" s="218" t="n"/>
      <c r="AT95" s="218" t="n"/>
      <c r="AU95" s="218" t="n"/>
      <c r="AV95" s="218" t="n"/>
      <c r="AW95" s="218" t="n"/>
      <c r="AX95" s="218" t="n"/>
      <c r="AY95" s="218" t="n"/>
      <c r="AZ95" s="218" t="n"/>
      <c r="BA95" s="218" t="n"/>
      <c r="BB95" s="218" t="n"/>
      <c r="BC95" s="218" t="n"/>
      <c r="BD95" s="218" t="n"/>
      <c r="BE95" s="218" t="n"/>
      <c r="BF95" s="218" t="n"/>
      <c r="BG95" s="218" t="n"/>
      <c r="BH95" s="218" t="n"/>
      <c r="BI95" s="218" t="n"/>
      <c r="BJ95" s="218" t="n"/>
      <c r="BK95" s="218" t="n"/>
      <c r="BL95" s="218" t="n"/>
      <c r="BM95" s="218" t="n"/>
      <c r="BN95" s="218" t="n"/>
      <c r="BO95" s="218" t="n"/>
      <c r="BP95" s="218" t="n"/>
      <c r="BQ95" s="218" t="n"/>
      <c r="BR95" s="218" t="n"/>
      <c r="BS95" s="218" t="n"/>
      <c r="BT95" s="218" t="n"/>
      <c r="BU95" s="218" t="n"/>
      <c r="BV95" s="218" t="n"/>
      <c r="BW95" s="218" t="n"/>
      <c r="BX95" s="218" t="n"/>
      <c r="BY95" s="218" t="n"/>
      <c r="BZ95" s="218" t="n"/>
      <c r="CA95" s="218" t="n"/>
      <c r="CB95" s="218" t="n"/>
      <c r="CC95" s="218" t="n"/>
      <c r="CD95" s="218" t="n"/>
      <c r="CE95" s="218" t="n"/>
      <c r="CF95" s="218" t="n"/>
      <c r="CG95" s="218" t="n"/>
      <c r="CH95" s="218" t="n"/>
      <c r="CI95" s="218" t="n"/>
      <c r="CJ95" s="218" t="n"/>
      <c r="CK95" s="218" t="n"/>
      <c r="CL95" s="218" t="n"/>
      <c r="CM95" s="218" t="n"/>
      <c r="CN95" s="218" t="n"/>
      <c r="CO95" s="218" t="n"/>
      <c r="CP95" s="218" t="n"/>
      <c r="CQ95" s="218" t="n"/>
      <c r="CR95" s="218" t="n"/>
      <c r="CS95" s="218" t="n"/>
      <c r="CT95" s="218" t="n"/>
      <c r="CU95" s="218" t="n"/>
      <c r="CV95" s="218" t="n"/>
      <c r="CW95" s="218" t="n"/>
      <c r="CX95" s="218" t="n"/>
      <c r="CY95" s="218" t="n"/>
      <c r="CZ95" s="218" t="n"/>
      <c r="DA95" s="218" t="n"/>
      <c r="DB95" s="218" t="n"/>
      <c r="DC95" s="218" t="n"/>
    </row>
    <row r="96">
      <c r="A96" s="218" t="n"/>
      <c r="B96" s="218" t="n"/>
      <c r="C96" s="218" t="n"/>
      <c r="D96" s="218" t="n"/>
      <c r="E96" s="218" t="n"/>
      <c r="F96" s="218" t="n"/>
      <c r="G96" s="218" t="n"/>
      <c r="H96" s="218" t="n"/>
      <c r="I96" s="218" t="n"/>
      <c r="J96" s="218" t="n"/>
      <c r="K96" s="218" t="n"/>
      <c r="L96" s="218" t="n"/>
      <c r="M96" s="218" t="n"/>
      <c r="N96" s="218" t="n"/>
      <c r="O96" s="218" t="n"/>
      <c r="P96" s="218" t="n"/>
      <c r="Q96" s="218" t="n"/>
      <c r="R96" s="218" t="n"/>
      <c r="S96" s="218" t="n"/>
      <c r="T96" s="218" t="n"/>
      <c r="U96" s="218" t="n"/>
      <c r="V96" s="218" t="n"/>
      <c r="W96" s="218" t="n"/>
      <c r="X96" s="218" t="n"/>
      <c r="Y96" s="218" t="n"/>
      <c r="Z96" s="218" t="n"/>
      <c r="AA96" s="218" t="n"/>
      <c r="AB96" s="218" t="n"/>
      <c r="AC96" s="218" t="n"/>
      <c r="AD96" s="218" t="n"/>
      <c r="AE96" s="218" t="n"/>
      <c r="AF96" s="218" t="n"/>
      <c r="AG96" s="218" t="n"/>
      <c r="AH96" s="218" t="n"/>
      <c r="AI96" s="218" t="n"/>
      <c r="AJ96" s="218" t="n"/>
      <c r="AK96" s="218" t="n"/>
      <c r="AL96" s="218" t="n"/>
      <c r="AM96" s="218" t="n"/>
      <c r="AN96" s="218" t="n"/>
      <c r="AO96" s="218" t="n"/>
      <c r="AP96" s="218" t="n"/>
      <c r="AQ96" s="218" t="n"/>
      <c r="AR96" s="218" t="n"/>
      <c r="AS96" s="218" t="n"/>
      <c r="AT96" s="218" t="n"/>
      <c r="AU96" s="218" t="n"/>
      <c r="AV96" s="218" t="n"/>
      <c r="AW96" s="218" t="n"/>
      <c r="AX96" s="218" t="n"/>
      <c r="AY96" s="218" t="n"/>
      <c r="AZ96" s="218" t="n"/>
      <c r="BA96" s="218" t="n"/>
      <c r="BB96" s="218" t="n"/>
      <c r="BC96" s="218" t="n"/>
      <c r="BD96" s="218" t="n"/>
      <c r="BE96" s="218" t="n"/>
      <c r="BF96" s="218" t="n"/>
      <c r="BG96" s="218" t="n"/>
      <c r="BH96" s="218" t="n"/>
      <c r="BI96" s="218" t="n"/>
      <c r="BJ96" s="218" t="n"/>
      <c r="BK96" s="218" t="n"/>
      <c r="BL96" s="218" t="n"/>
      <c r="BM96" s="218" t="n"/>
      <c r="BN96" s="218" t="n"/>
      <c r="BO96" s="218" t="n"/>
      <c r="BP96" s="218" t="n"/>
      <c r="BQ96" s="218" t="n"/>
      <c r="BR96" s="218" t="n"/>
      <c r="BS96" s="218" t="n"/>
      <c r="BT96" s="218" t="n"/>
      <c r="BU96" s="218" t="n"/>
      <c r="BV96" s="218" t="n"/>
      <c r="BW96" s="218" t="n"/>
      <c r="BX96" s="218" t="n"/>
      <c r="BY96" s="218" t="n"/>
      <c r="BZ96" s="218" t="n"/>
      <c r="CA96" s="218" t="n"/>
      <c r="CB96" s="218" t="n"/>
      <c r="CC96" s="218" t="n"/>
      <c r="CD96" s="218" t="n"/>
      <c r="CE96" s="218" t="n"/>
      <c r="CF96" s="218" t="n"/>
      <c r="CG96" s="218" t="n"/>
      <c r="CH96" s="218" t="n"/>
      <c r="CI96" s="218" t="n"/>
      <c r="CJ96" s="218" t="n"/>
      <c r="CK96" s="218" t="n"/>
      <c r="CL96" s="218" t="n"/>
      <c r="CM96" s="218" t="n"/>
      <c r="CN96" s="218" t="n"/>
      <c r="CO96" s="218" t="n"/>
      <c r="CP96" s="218" t="n"/>
      <c r="CQ96" s="218" t="n"/>
      <c r="CR96" s="218" t="n"/>
      <c r="CS96" s="218" t="n"/>
      <c r="CT96" s="218" t="n"/>
      <c r="CU96" s="218" t="n"/>
      <c r="CV96" s="218" t="n"/>
      <c r="CW96" s="218" t="n"/>
      <c r="CX96" s="218" t="n"/>
      <c r="CY96" s="218" t="n"/>
      <c r="CZ96" s="218" t="n"/>
      <c r="DA96" s="218" t="n"/>
      <c r="DB96" s="218" t="n"/>
      <c r="DC96" s="218" t="n"/>
    </row>
    <row r="97">
      <c r="A97" s="218" t="n"/>
      <c r="B97" s="218" t="n"/>
      <c r="C97" s="145" t="inlineStr">
        <is>
          <t>Regimen Fiscal</t>
        </is>
      </c>
      <c r="D97" s="145" t="n"/>
      <c r="E97" s="145" t="n"/>
      <c r="F97" s="145" t="n"/>
      <c r="G97" s="145" t="n"/>
      <c r="H97" s="145" t="n"/>
      <c r="I97" s="145" t="n"/>
      <c r="J97" s="145" t="n"/>
      <c r="K97" s="145" t="n"/>
      <c r="L97" s="145" t="n"/>
      <c r="M97" s="145" t="n"/>
      <c r="N97" s="147" t="n"/>
      <c r="O97" s="147" t="n"/>
      <c r="P97" s="147" t="n"/>
      <c r="Q97" s="145" t="inlineStr">
        <is>
          <t>Área Actuante</t>
        </is>
      </c>
      <c r="R97" s="145" t="n"/>
      <c r="S97" s="145" t="n"/>
      <c r="T97" s="145" t="n"/>
      <c r="U97" s="145" t="n"/>
      <c r="V97" s="145" t="n"/>
      <c r="W97" s="145" t="n"/>
      <c r="X97" s="145" t="n"/>
      <c r="Y97" s="145" t="inlineStr">
        <is>
          <t>Delegaciones</t>
        </is>
      </c>
      <c r="Z97" s="145" t="n"/>
      <c r="AA97" s="145" t="n"/>
      <c r="AB97" s="145" t="n"/>
      <c r="AC97" s="145" t="n"/>
      <c r="AD97" s="145" t="n"/>
      <c r="AE97" s="145" t="n"/>
      <c r="AF97" s="145" t="n"/>
      <c r="AG97" s="147" t="n"/>
      <c r="AH97" s="145" t="inlineStr">
        <is>
          <t>ALAF's</t>
        </is>
      </c>
      <c r="AI97" s="145" t="n"/>
      <c r="AJ97" s="145" t="n"/>
      <c r="AK97" s="145" t="n"/>
      <c r="AL97" s="145" t="n"/>
      <c r="AM97" s="145" t="n"/>
      <c r="AN97" s="145" t="n"/>
      <c r="AO97" s="145" t="n"/>
      <c r="AP97" s="145" t="n"/>
      <c r="AQ97" s="147" t="n"/>
      <c r="AR97" s="147" t="n"/>
      <c r="AS97" s="145" t="inlineStr">
        <is>
          <t>Estatus de las Revisiones</t>
        </is>
      </c>
      <c r="AT97" s="146" t="n"/>
      <c r="AU97" s="146" t="n"/>
      <c r="AV97" s="146" t="n"/>
      <c r="AW97" s="146" t="n"/>
      <c r="AX97" s="146" t="n"/>
      <c r="AY97" s="146" t="n"/>
      <c r="AZ97" s="146" t="n"/>
      <c r="BA97" s="146" t="n"/>
      <c r="BB97" s="146" t="n"/>
      <c r="BC97" s="146" t="n"/>
      <c r="BD97" s="146" t="n"/>
      <c r="BE97" s="146" t="n"/>
      <c r="BF97" s="146" t="n"/>
      <c r="BG97" s="146" t="n"/>
      <c r="BH97" s="146" t="n"/>
      <c r="BI97" s="146" t="n"/>
      <c r="BJ97" s="148" t="inlineStr">
        <is>
          <t>No. Actividad</t>
        </is>
      </c>
      <c r="BK97" s="148" t="inlineStr">
        <is>
          <t>Nombre</t>
        </is>
      </c>
      <c r="BL97" s="146" t="n"/>
      <c r="BM97" s="146" t="n"/>
      <c r="BN97" s="146" t="n"/>
      <c r="BO97" s="146" t="n"/>
      <c r="BP97" s="146" t="n"/>
      <c r="BQ97" s="146" t="n"/>
      <c r="BR97" s="146" t="n"/>
      <c r="BS97" s="146" t="n"/>
      <c r="BT97" s="218" t="n"/>
      <c r="BY97" s="145" t="inlineStr">
        <is>
          <t>Otros Estímulos</t>
        </is>
      </c>
      <c r="BZ97" s="146" t="n"/>
      <c r="CA97" s="146" t="n"/>
      <c r="CB97" s="146" t="n"/>
      <c r="CC97" s="146" t="n"/>
      <c r="CD97" s="146" t="n"/>
      <c r="CE97" s="146" t="n"/>
      <c r="CF97" s="146" t="n"/>
      <c r="CG97" s="146" t="n"/>
      <c r="CH97" s="146" t="n"/>
      <c r="CI97" s="146" t="n"/>
      <c r="CJ97" s="146" t="n"/>
      <c r="CK97" s="146" t="n"/>
      <c r="CL97" s="146" t="n"/>
      <c r="CM97" s="218" t="n"/>
      <c r="CN97" s="218" t="n"/>
      <c r="CO97" s="218" t="n"/>
      <c r="CP97" s="218" t="n"/>
      <c r="CQ97" s="218" t="n"/>
      <c r="CR97" s="218" t="n"/>
      <c r="CS97" s="218" t="n"/>
      <c r="CT97" s="218" t="n"/>
      <c r="CU97" s="148" t="inlineStr">
        <is>
          <t>Personal</t>
        </is>
      </c>
      <c r="CV97" s="146" t="n"/>
      <c r="CW97" s="218" t="n"/>
      <c r="CX97" s="218" t="n"/>
      <c r="CY97" s="148" t="inlineStr">
        <is>
          <t>Causa Irregularidad</t>
        </is>
      </c>
      <c r="CZ97" s="146" t="n"/>
      <c r="DA97" s="218" t="n"/>
      <c r="DB97" s="148" t="inlineStr">
        <is>
          <t>SubCausa Irregularidad</t>
        </is>
      </c>
      <c r="DC97" s="146" t="n"/>
      <c r="DD97" s="145" t="n"/>
      <c r="DE97" s="145" t="n"/>
      <c r="DF97" s="145" t="n"/>
      <c r="DG97" s="145" t="n"/>
      <c r="DH97" s="145" t="n"/>
      <c r="DI97" s="145" t="n"/>
      <c r="DJ97" s="145" t="n"/>
      <c r="DK97" s="145" t="n"/>
      <c r="DL97" s="145" t="n"/>
      <c r="DM97" s="145" t="n"/>
      <c r="DN97" s="145" t="n"/>
      <c r="DO97" s="145" t="n"/>
      <c r="DP97" s="145" t="n"/>
      <c r="DQ97" s="145" t="n"/>
      <c r="DR97" s="145" t="n"/>
      <c r="DS97" s="145" t="n"/>
      <c r="DT97" s="145" t="n"/>
      <c r="DU97" s="145" t="n"/>
      <c r="DV97" s="145" t="n"/>
      <c r="DW97" s="145" t="n"/>
      <c r="DX97" s="145" t="n"/>
      <c r="DY97" s="145" t="n"/>
      <c r="DZ97" s="145" t="n"/>
      <c r="EA97" s="145" t="n"/>
      <c r="EB97" s="145" t="n"/>
      <c r="EC97" s="145" t="n"/>
      <c r="ED97" s="145" t="n"/>
      <c r="EE97" s="145" t="n"/>
    </row>
    <row r="98">
      <c r="A98" s="218" t="n"/>
      <c r="B98" s="218" t="n"/>
      <c r="C98" s="146" t="inlineStr">
        <is>
          <t>PMRGL</t>
        </is>
      </c>
      <c r="D98" s="146" t="n"/>
      <c r="E98" s="146" t="n"/>
      <c r="F98" s="146" t="inlineStr">
        <is>
          <t>PM Regimen Gral de Ley</t>
        </is>
      </c>
      <c r="G98" s="146" t="n"/>
      <c r="H98" s="146" t="n"/>
      <c r="I98" s="146" t="n"/>
      <c r="J98" s="146" t="n"/>
      <c r="K98" s="146" t="n"/>
      <c r="L98" s="146" t="n"/>
      <c r="M98" s="146" t="n"/>
      <c r="N98" s="218" t="n"/>
      <c r="O98" s="218" t="n"/>
      <c r="P98" s="218" t="n"/>
      <c r="Q98" s="146" t="inlineStr">
        <is>
          <t>COMERCIO EXTERIOR</t>
        </is>
      </c>
      <c r="R98" s="149" t="n"/>
      <c r="S98" s="146" t="n"/>
      <c r="T98" s="146" t="n"/>
      <c r="U98" s="146" t="n"/>
      <c r="V98" s="146" t="n"/>
      <c r="W98" s="146" t="n"/>
      <c r="X98" s="146" t="n"/>
      <c r="Y98" s="146" t="inlineStr">
        <is>
          <t>CIUDAD GUZMAN</t>
        </is>
      </c>
      <c r="Z98" s="146" t="n"/>
      <c r="AA98" s="146" t="n"/>
      <c r="AB98" s="146" t="n"/>
      <c r="AC98" s="146" t="n"/>
      <c r="AD98" s="146" t="n"/>
      <c r="AE98" s="146" t="n"/>
      <c r="AF98" s="146" t="n"/>
      <c r="AG98" s="218" t="n"/>
      <c r="AH98" s="146" t="inlineStr">
        <is>
          <t xml:space="preserve"> (1) GUADALAJARA CENTRO</t>
        </is>
      </c>
      <c r="AI98" s="146" t="n"/>
      <c r="AJ98" s="146" t="n"/>
      <c r="AK98" s="146" t="n"/>
      <c r="AL98" s="146" t="n"/>
      <c r="AM98" s="146" t="n"/>
      <c r="AN98" s="146" t="n"/>
      <c r="AO98" s="146" t="n"/>
      <c r="AP98" s="146" t="n"/>
      <c r="AQ98" s="218" t="n"/>
      <c r="AR98" s="218" t="n"/>
      <c r="AS98" s="146" t="n">
        <v>1</v>
      </c>
      <c r="AT98" s="146" t="inlineStr">
        <is>
          <t>(1) EN PLAZO DE APORTACIÓN DE LA DOCUMENTACIÓN REQUERIDA</t>
        </is>
      </c>
      <c r="AU98" s="146" t="n"/>
      <c r="AV98" s="146" t="n"/>
      <c r="AW98" s="146" t="n"/>
      <c r="AX98" s="146" t="n"/>
      <c r="AY98" s="146" t="n"/>
      <c r="AZ98" s="146" t="n"/>
      <c r="BA98" s="146" t="n"/>
      <c r="BB98" s="146" t="n"/>
      <c r="BC98" s="146" t="n"/>
      <c r="BD98" s="146" t="n"/>
      <c r="BE98" s="146" t="n"/>
      <c r="BF98" s="146" t="n"/>
      <c r="BG98" s="146" t="n"/>
      <c r="BH98" s="146" t="n"/>
      <c r="BI98" s="146" t="n"/>
      <c r="BJ98" s="146" t="n">
        <v>4</v>
      </c>
      <c r="BK98" s="146" t="inlineStr">
        <is>
          <t>SIEMBRA, CULTIVO Y COSECHA ANUAL DE OTRAS SEMILLAS OLEAGINOSAS</t>
        </is>
      </c>
      <c r="BL98" s="146" t="n"/>
      <c r="BM98" s="146" t="n"/>
      <c r="BN98" s="146" t="n"/>
      <c r="BO98" s="146" t="n"/>
      <c r="BP98" s="146" t="n"/>
      <c r="BQ98" s="146" t="n"/>
      <c r="BR98" s="146" t="n"/>
      <c r="BS98" s="146" t="n"/>
      <c r="BT98" s="218" t="n"/>
      <c r="BY98" s="146" t="inlineStr">
        <is>
          <t>CREDITO DIESEL</t>
        </is>
      </c>
      <c r="BZ98" s="146" t="n"/>
      <c r="CA98" s="146" t="n"/>
      <c r="CB98" s="146" t="n"/>
      <c r="CC98" s="146" t="n"/>
      <c r="CD98" s="146" t="n"/>
      <c r="CE98" s="146" t="n"/>
      <c r="CF98" s="146" t="n"/>
      <c r="CG98" s="146" t="n"/>
      <c r="CH98" s="146" t="n"/>
      <c r="CI98" s="146" t="n"/>
      <c r="CJ98" s="146" t="n"/>
      <c r="CK98" s="146" t="n"/>
      <c r="CL98" s="146" t="n"/>
      <c r="CM98" s="218" t="n"/>
      <c r="CN98" s="218" t="n"/>
      <c r="CO98" s="218" t="n"/>
      <c r="CP98" s="218" t="n"/>
      <c r="CQ98" s="218" t="n"/>
      <c r="CR98" s="218" t="n"/>
      <c r="CS98" s="218" t="n"/>
      <c r="CT98" s="218" t="n"/>
      <c r="CU98" s="146" t="n">
        <v>2630</v>
      </c>
      <c r="CV98" s="146" t="inlineStr">
        <is>
          <t>HARO REYNOSO JOSE LUIS</t>
        </is>
      </c>
      <c r="CW98" s="218" t="n"/>
      <c r="CX98" s="218" t="n"/>
      <c r="CY98" s="146" t="inlineStr">
        <is>
          <t>1. Ingresos Omitidos</t>
        </is>
      </c>
      <c r="CZ98" s="146" t="n"/>
      <c r="DA98" s="218" t="n"/>
      <c r="DB98" s="146" t="inlineStr">
        <is>
          <t>1.1 De documentación expedida por actividades propias.</t>
        </is>
      </c>
      <c r="DC98" s="146" t="n"/>
      <c r="DD98" s="146" t="n"/>
      <c r="DE98" s="146" t="n"/>
      <c r="DF98" s="146" t="n"/>
      <c r="DG98" s="146" t="n"/>
      <c r="DH98" s="146" t="n"/>
      <c r="DI98" s="146" t="n"/>
      <c r="DJ98" s="146" t="n"/>
      <c r="DK98" s="146" t="n"/>
      <c r="DL98" s="146" t="n"/>
      <c r="DM98" s="146" t="n"/>
      <c r="DN98" s="146" t="n"/>
      <c r="DO98" s="146" t="n"/>
      <c r="DP98" s="146" t="n"/>
      <c r="DQ98" s="146" t="n"/>
      <c r="DR98" s="146" t="n"/>
      <c r="DS98" s="146" t="n"/>
      <c r="DT98" s="146" t="n"/>
      <c r="DU98" s="146" t="n"/>
      <c r="DV98" s="146" t="n"/>
      <c r="DW98" s="146" t="n"/>
      <c r="DX98" s="146" t="n"/>
      <c r="DY98" s="146" t="n"/>
      <c r="DZ98" s="146" t="n"/>
      <c r="EA98" s="146" t="n"/>
      <c r="EB98" s="146" t="n"/>
      <c r="EC98" s="146" t="n"/>
      <c r="ED98" s="146" t="n"/>
      <c r="EE98" s="146" t="n"/>
    </row>
    <row r="99">
      <c r="A99" s="218" t="n"/>
      <c r="B99" s="218" t="n"/>
      <c r="C99" s="146" t="inlineStr">
        <is>
          <t>PMRS</t>
        </is>
      </c>
      <c r="D99" s="146" t="n"/>
      <c r="E99" s="146" t="n"/>
      <c r="F99" s="146" t="inlineStr">
        <is>
          <t>PM Regimen Simplificado / Coordinados</t>
        </is>
      </c>
      <c r="G99" s="146" t="n"/>
      <c r="H99" s="146" t="n"/>
      <c r="I99" s="146" t="n"/>
      <c r="J99" s="146" t="n"/>
      <c r="K99" s="146" t="n"/>
      <c r="L99" s="146" t="n"/>
      <c r="M99" s="146" t="n"/>
      <c r="N99" s="218" t="n"/>
      <c r="O99" s="218" t="n"/>
      <c r="P99" s="218" t="n"/>
      <c r="Q99" s="146" t="inlineStr">
        <is>
          <t>GABINETE 1</t>
        </is>
      </c>
      <c r="R99" s="149" t="n"/>
      <c r="S99" s="146" t="n"/>
      <c r="T99" s="146" t="n"/>
      <c r="U99" s="146" t="n"/>
      <c r="V99" s="146" t="n"/>
      <c r="W99" s="146" t="n"/>
      <c r="X99" s="146" t="n"/>
      <c r="Y99" s="146" t="inlineStr">
        <is>
          <t>LAGOS DE MORENO</t>
        </is>
      </c>
      <c r="Z99" s="146" t="n"/>
      <c r="AA99" s="146" t="n"/>
      <c r="AB99" s="146" t="n"/>
      <c r="AC99" s="146" t="n"/>
      <c r="AD99" s="146" t="n"/>
      <c r="AE99" s="146" t="n"/>
      <c r="AF99" s="146" t="n"/>
      <c r="AG99" s="218" t="n"/>
      <c r="AH99" s="146" t="inlineStr">
        <is>
          <t xml:space="preserve"> (2) GUADALAJARA SUR</t>
        </is>
      </c>
      <c r="AI99" s="146" t="n"/>
      <c r="AJ99" s="146" t="n"/>
      <c r="AK99" s="146" t="n"/>
      <c r="AL99" s="146" t="n"/>
      <c r="AM99" s="146" t="n"/>
      <c r="AN99" s="146" t="n"/>
      <c r="AO99" s="146" t="n"/>
      <c r="AP99" s="146" t="n"/>
      <c r="AQ99" s="218" t="n"/>
      <c r="AR99" s="218" t="n"/>
      <c r="AS99" s="146" t="n">
        <v>2</v>
      </c>
      <c r="AT99" s="146" t="inlineStr">
        <is>
          <t>(2) REVISIÓN DE DOCUMENTACIÓN APORTADA POR EL CONTRIBUYENTE</t>
        </is>
      </c>
      <c r="AU99" s="146" t="n"/>
      <c r="AV99" s="146" t="n"/>
      <c r="AW99" s="146" t="n"/>
      <c r="AX99" s="146" t="n"/>
      <c r="AY99" s="146" t="n"/>
      <c r="AZ99" s="146" t="n"/>
      <c r="BA99" s="146" t="n"/>
      <c r="BB99" s="146" t="n"/>
      <c r="BC99" s="146" t="n"/>
      <c r="BD99" s="146" t="n"/>
      <c r="BE99" s="146" t="n"/>
      <c r="BF99" s="146" t="n"/>
      <c r="BG99" s="146" t="n"/>
      <c r="BH99" s="146" t="n"/>
      <c r="BI99" s="146" t="n"/>
      <c r="BJ99" s="146" t="n">
        <v>5</v>
      </c>
      <c r="BK99" s="146" t="inlineStr">
        <is>
          <t>SIEMBRA, CULTIVO Y COSECHA DE FRIJOL</t>
        </is>
      </c>
      <c r="BL99" s="146" t="n"/>
      <c r="BM99" s="146" t="n"/>
      <c r="BN99" s="146" t="n"/>
      <c r="BO99" s="146" t="n"/>
      <c r="BP99" s="146" t="n"/>
      <c r="BQ99" s="146" t="n"/>
      <c r="BR99" s="146" t="n"/>
      <c r="BS99" s="146" t="n"/>
      <c r="BT99" s="218" t="n"/>
      <c r="BY99" s="146" t="inlineStr">
        <is>
          <t>USO DE INFRAESTRUCTURA CARRETERA DE CUOTA</t>
        </is>
      </c>
      <c r="BZ99" s="146" t="n"/>
      <c r="CA99" s="146" t="n"/>
      <c r="CB99" s="146" t="n"/>
      <c r="CC99" s="146" t="n"/>
      <c r="CD99" s="146" t="n"/>
      <c r="CE99" s="146" t="n"/>
      <c r="CF99" s="146" t="n"/>
      <c r="CG99" s="146" t="n"/>
      <c r="CH99" s="146" t="n"/>
      <c r="CI99" s="146" t="n"/>
      <c r="CJ99" s="146" t="n"/>
      <c r="CK99" s="146" t="n"/>
      <c r="CL99" s="146" t="n"/>
      <c r="CM99" s="218" t="n"/>
      <c r="CN99" s="218" t="n"/>
      <c r="CO99" s="218" t="n"/>
      <c r="CP99" s="218" t="n"/>
      <c r="CQ99" s="218" t="n"/>
      <c r="CR99" s="218" t="n"/>
      <c r="CS99" s="218" t="n"/>
      <c r="CT99" s="218" t="n"/>
      <c r="CU99" s="146" t="n">
        <v>2632</v>
      </c>
      <c r="CV99" s="146" t="inlineStr">
        <is>
          <t>LOPEZ HERRERA MIRIAM TERESITA</t>
        </is>
      </c>
      <c r="CW99" s="218" t="n"/>
      <c r="CX99" s="218" t="n"/>
      <c r="CY99" s="146" t="inlineStr">
        <is>
          <t>2. Deducciones Improcedentes</t>
        </is>
      </c>
      <c r="CZ99" s="146" t="n"/>
      <c r="DA99" s="218" t="n"/>
      <c r="DB99" s="146" t="inlineStr">
        <is>
          <t>1.2 De cuentas bancarias.</t>
        </is>
      </c>
      <c r="DC99" s="146" t="n"/>
      <c r="DD99" s="146" t="n"/>
      <c r="DE99" s="146" t="n"/>
      <c r="DF99" s="146" t="n"/>
      <c r="DG99" s="146" t="n"/>
      <c r="DH99" s="146" t="n"/>
      <c r="DI99" s="146" t="n"/>
      <c r="DJ99" s="146" t="n"/>
      <c r="DK99" s="146" t="n"/>
      <c r="DL99" s="146" t="n"/>
      <c r="DM99" s="146" t="n"/>
      <c r="DN99" s="146" t="n"/>
      <c r="DO99" s="146" t="n"/>
      <c r="DP99" s="146" t="n"/>
      <c r="DQ99" s="146" t="n"/>
      <c r="DR99" s="146" t="n"/>
      <c r="DS99" s="146" t="n"/>
      <c r="DT99" s="146" t="n"/>
      <c r="DU99" s="146" t="n"/>
      <c r="DV99" s="146" t="n"/>
      <c r="DW99" s="146" t="n"/>
      <c r="DX99" s="146" t="n"/>
      <c r="DY99" s="146" t="n"/>
      <c r="DZ99" s="146" t="n"/>
      <c r="EA99" s="146" t="n"/>
      <c r="EB99" s="146" t="n"/>
      <c r="EC99" s="146" t="n"/>
      <c r="ED99" s="146" t="n"/>
      <c r="EE99" s="146" t="n"/>
    </row>
    <row r="100">
      <c r="A100" s="218" t="n"/>
      <c r="B100" s="218" t="n"/>
      <c r="C100" s="146" t="inlineStr">
        <is>
          <t>PMCFNL</t>
        </is>
      </c>
      <c r="D100" s="146" t="n"/>
      <c r="E100" s="146" t="n"/>
      <c r="F100" s="146" t="inlineStr">
        <is>
          <t>PM Fines No Lucrativos</t>
        </is>
      </c>
      <c r="G100" s="146" t="n"/>
      <c r="H100" s="146" t="n"/>
      <c r="I100" s="146" t="n"/>
      <c r="J100" s="146" t="n"/>
      <c r="K100" s="146" t="n"/>
      <c r="L100" s="146" t="n"/>
      <c r="M100" s="146" t="n"/>
      <c r="N100" s="218" t="n"/>
      <c r="O100" s="218" t="n"/>
      <c r="P100" s="218" t="n"/>
      <c r="Q100" s="146" t="inlineStr">
        <is>
          <t>GABINETE 2</t>
        </is>
      </c>
      <c r="R100" s="149" t="n"/>
      <c r="S100" s="146" t="n"/>
      <c r="T100" s="146" t="n"/>
      <c r="U100" s="146" t="n"/>
      <c r="V100" s="146" t="n"/>
      <c r="W100" s="146" t="n"/>
      <c r="X100" s="146" t="n"/>
      <c r="Y100" s="146" t="inlineStr">
        <is>
          <t>PUERTO VALLARTA</t>
        </is>
      </c>
      <c r="Z100" s="146" t="n"/>
      <c r="AA100" s="146" t="n"/>
      <c r="AB100" s="146" t="n"/>
      <c r="AC100" s="146" t="n"/>
      <c r="AD100" s="146" t="n"/>
      <c r="AE100" s="146" t="n"/>
      <c r="AF100" s="146" t="n"/>
      <c r="AG100" s="218" t="n"/>
      <c r="AH100" s="146" t="inlineStr">
        <is>
          <t xml:space="preserve"> (3) ZAPOPAN</t>
        </is>
      </c>
      <c r="AI100" s="146" t="n"/>
      <c r="AJ100" s="146" t="n"/>
      <c r="AK100" s="146" t="n"/>
      <c r="AL100" s="146" t="n"/>
      <c r="AM100" s="146" t="n"/>
      <c r="AN100" s="146" t="n"/>
      <c r="AO100" s="146" t="n"/>
      <c r="AP100" s="146" t="n"/>
      <c r="AQ100" s="218" t="n"/>
      <c r="AR100" s="218" t="n"/>
      <c r="AS100" s="146" t="n">
        <v>3</v>
      </c>
      <c r="AT100" s="146" t="inlineStr">
        <is>
          <t>(3) SOLICITUD DE INFORMACIÓN Y/O DOCUMENTACIÓN ADICIONAL AL CONTRIBUYENTE</t>
        </is>
      </c>
      <c r="AU100" s="146" t="n"/>
      <c r="AV100" s="146" t="n"/>
      <c r="AW100" s="146" t="n"/>
      <c r="AX100" s="146" t="n"/>
      <c r="AY100" s="146" t="n"/>
      <c r="AZ100" s="146" t="n"/>
      <c r="BA100" s="146" t="n"/>
      <c r="BB100" s="146" t="n"/>
      <c r="BC100" s="146" t="n"/>
      <c r="BD100" s="146" t="n"/>
      <c r="BE100" s="146" t="n"/>
      <c r="BF100" s="146" t="n"/>
      <c r="BG100" s="146" t="n"/>
      <c r="BH100" s="146" t="n"/>
      <c r="BI100" s="146" t="n"/>
      <c r="BJ100" s="146" t="n">
        <v>6</v>
      </c>
      <c r="BK100" s="146" t="inlineStr">
        <is>
          <t>SIEMBRA, CULTIVO Y COSECHA DE GARBANZO</t>
        </is>
      </c>
      <c r="BL100" s="146" t="n"/>
      <c r="BM100" s="146" t="n"/>
      <c r="BN100" s="146" t="n"/>
      <c r="BO100" s="146" t="n"/>
      <c r="BP100" s="146" t="n"/>
      <c r="BQ100" s="146" t="n"/>
      <c r="BR100" s="146" t="n"/>
      <c r="BS100" s="146" t="n"/>
      <c r="BT100" s="218" t="n"/>
      <c r="BY100" s="146" t="inlineStr">
        <is>
          <t>ACTIVIDADES DEL SECTOR PRIMARIO</t>
        </is>
      </c>
      <c r="BZ100" s="146" t="n"/>
      <c r="CA100" s="146" t="n"/>
      <c r="CB100" s="146" t="n"/>
      <c r="CC100" s="146" t="n"/>
      <c r="CD100" s="146" t="n"/>
      <c r="CE100" s="146" t="n"/>
      <c r="CF100" s="146" t="n"/>
      <c r="CG100" s="146" t="n"/>
      <c r="CH100" s="146" t="n"/>
      <c r="CI100" s="146" t="n"/>
      <c r="CJ100" s="146" t="n"/>
      <c r="CK100" s="146" t="n"/>
      <c r="CL100" s="146" t="n"/>
      <c r="CM100" s="218" t="n"/>
      <c r="CN100" s="218" t="n"/>
      <c r="CO100" s="218" t="n"/>
      <c r="CP100" s="218" t="n"/>
      <c r="CQ100" s="218" t="n"/>
      <c r="CR100" s="218" t="n"/>
      <c r="CS100" s="218" t="n"/>
      <c r="CT100" s="218" t="n"/>
      <c r="CU100" s="146" t="n">
        <v>2638</v>
      </c>
      <c r="CV100" s="146" t="inlineStr">
        <is>
          <t>SALCEDO MELENDEZ JESUS OSCAR</t>
        </is>
      </c>
      <c r="CW100" s="218" t="n"/>
      <c r="CX100" s="218" t="n"/>
      <c r="CY100" s="146" t="inlineStr">
        <is>
          <t>3. Valor de los Actos o Actividades Omitidas</t>
        </is>
      </c>
      <c r="CZ100" s="146" t="n"/>
      <c r="DA100" s="218" t="n"/>
      <c r="DB100" s="146" t="inlineStr">
        <is>
          <t>1.3 Según compulsas</t>
        </is>
      </c>
      <c r="DC100" s="146" t="n"/>
      <c r="DD100" s="146" t="n"/>
      <c r="DE100" s="146" t="n"/>
      <c r="DF100" s="146" t="n"/>
      <c r="DG100" s="146" t="n"/>
      <c r="DH100" s="146" t="n"/>
      <c r="DI100" s="146" t="n"/>
      <c r="DJ100" s="146" t="n"/>
      <c r="DK100" s="146" t="n"/>
      <c r="DL100" s="146" t="n"/>
      <c r="DM100" s="146" t="n"/>
      <c r="DN100" s="146" t="n"/>
      <c r="DO100" s="146" t="n"/>
      <c r="DP100" s="146" t="n"/>
      <c r="DQ100" s="146" t="n"/>
      <c r="DR100" s="146" t="n"/>
      <c r="DS100" s="146" t="n"/>
      <c r="DT100" s="146" t="n"/>
      <c r="DU100" s="146" t="n"/>
      <c r="DV100" s="146" t="n"/>
      <c r="DW100" s="146" t="n"/>
      <c r="DX100" s="146" t="n"/>
      <c r="DY100" s="146" t="n"/>
      <c r="DZ100" s="146" t="n"/>
      <c r="EA100" s="146" t="n"/>
      <c r="EB100" s="146" t="n"/>
      <c r="EC100" s="146" t="n"/>
      <c r="ED100" s="146" t="n"/>
      <c r="EE100" s="146" t="n"/>
    </row>
    <row r="101">
      <c r="A101" s="218" t="n"/>
      <c r="B101" s="218" t="n"/>
      <c r="C101" s="146" t="inlineStr">
        <is>
          <t>PFS</t>
        </is>
      </c>
      <c r="D101" s="146" t="n"/>
      <c r="E101" s="146" t="n"/>
      <c r="F101" s="146" t="inlineStr">
        <is>
          <t>PF Salarios</t>
        </is>
      </c>
      <c r="G101" s="146" t="n"/>
      <c r="H101" s="146" t="n"/>
      <c r="I101" s="146" t="n"/>
      <c r="J101" s="146" t="n"/>
      <c r="K101" s="146" t="n"/>
      <c r="L101" s="146" t="n"/>
      <c r="M101" s="146" t="n"/>
      <c r="N101" s="218" t="n"/>
      <c r="O101" s="218" t="n"/>
      <c r="P101" s="218" t="n"/>
      <c r="Q101" s="146" t="inlineStr">
        <is>
          <t>GABINETE 3</t>
        </is>
      </c>
      <c r="R101" s="149" t="n"/>
      <c r="S101" s="146" t="n"/>
      <c r="T101" s="146" t="n"/>
      <c r="U101" s="146" t="n"/>
      <c r="V101" s="146" t="n"/>
      <c r="W101" s="146" t="n"/>
      <c r="X101" s="146" t="n"/>
      <c r="Y101" s="146" t="n"/>
      <c r="Z101" s="146" t="n"/>
      <c r="AA101" s="146" t="n"/>
      <c r="AB101" s="146" t="n"/>
      <c r="AC101" s="146" t="n"/>
      <c r="AD101" s="146" t="n"/>
      <c r="AE101" s="146" t="n"/>
      <c r="AF101" s="146" t="n"/>
      <c r="AG101" s="218" t="n"/>
      <c r="AH101" s="146" t="n"/>
      <c r="AI101" s="146" t="n"/>
      <c r="AJ101" s="146" t="n"/>
      <c r="AK101" s="146" t="n"/>
      <c r="AL101" s="146" t="n"/>
      <c r="AM101" s="146" t="n"/>
      <c r="AN101" s="146" t="n"/>
      <c r="AO101" s="146" t="n"/>
      <c r="AP101" s="146" t="n"/>
      <c r="AQ101" s="218" t="n"/>
      <c r="AR101" s="218" t="n"/>
      <c r="AS101" s="146" t="n">
        <v>4</v>
      </c>
      <c r="AT101" s="146" t="inlineStr">
        <is>
          <t>(4) AMPLIACION DE PROCEDIMIENTOS</t>
        </is>
      </c>
      <c r="AU101" s="146" t="n"/>
      <c r="AV101" s="146" t="n"/>
      <c r="AW101" s="146" t="n"/>
      <c r="AX101" s="146" t="n"/>
      <c r="AY101" s="146" t="n"/>
      <c r="AZ101" s="146" t="n"/>
      <c r="BA101" s="146" t="n"/>
      <c r="BB101" s="146" t="n"/>
      <c r="BC101" s="146" t="n"/>
      <c r="BD101" s="146" t="n"/>
      <c r="BE101" s="146" t="n"/>
      <c r="BF101" s="146" t="n"/>
      <c r="BG101" s="146" t="n"/>
      <c r="BH101" s="146" t="n"/>
      <c r="BI101" s="146" t="n"/>
      <c r="BJ101" s="146" t="n">
        <v>7</v>
      </c>
      <c r="BK101" s="146" t="inlineStr">
        <is>
          <t>SIEMBRA, CULTIVO Y COSECHA DE OTRAS LEGUMBRES</t>
        </is>
      </c>
      <c r="BL101" s="146" t="n"/>
      <c r="BM101" s="146" t="n"/>
      <c r="BN101" s="146" t="n"/>
      <c r="BO101" s="146" t="n"/>
      <c r="BP101" s="146" t="n"/>
      <c r="BQ101" s="146" t="n"/>
      <c r="BR101" s="146" t="n"/>
      <c r="BS101" s="146" t="n"/>
      <c r="BT101" s="218" t="n"/>
      <c r="BY101" s="146" t="inlineStr">
        <is>
          <t>INVESTIGACION Y DESARROLLO TECNOLOGICO</t>
        </is>
      </c>
      <c r="BZ101" s="146" t="n"/>
      <c r="CA101" s="146" t="n"/>
      <c r="CB101" s="146" t="n"/>
      <c r="CC101" s="146" t="n"/>
      <c r="CD101" s="146" t="n"/>
      <c r="CE101" s="146" t="n"/>
      <c r="CF101" s="146" t="n"/>
      <c r="CG101" s="146" t="n"/>
      <c r="CH101" s="146" t="n"/>
      <c r="CI101" s="146" t="n"/>
      <c r="CJ101" s="146" t="n"/>
      <c r="CK101" s="146" t="n"/>
      <c r="CL101" s="146" t="n"/>
      <c r="CM101" s="218" t="n"/>
      <c r="CN101" s="218" t="n"/>
      <c r="CO101" s="218" t="n"/>
      <c r="CP101" s="218" t="n"/>
      <c r="CQ101" s="218" t="n"/>
      <c r="CR101" s="218" t="n"/>
      <c r="CS101" s="218" t="n"/>
      <c r="CT101" s="218" t="n"/>
      <c r="CU101" s="146" t="n">
        <v>2639</v>
      </c>
      <c r="CV101" s="146" t="inlineStr">
        <is>
          <t>SANCHEZ MEZA SUSANA</t>
        </is>
      </c>
      <c r="CW101" s="218" t="n"/>
      <c r="CX101" s="218" t="n"/>
      <c r="CY101" s="146" t="inlineStr">
        <is>
          <t>4. IVA Acreditable</t>
        </is>
      </c>
      <c r="CZ101" s="146" t="n"/>
      <c r="DA101" s="218" t="n"/>
      <c r="DB101" s="146" t="inlineStr">
        <is>
          <t>1.4 Determinadas por presuntivas</t>
        </is>
      </c>
      <c r="DC101" s="146" t="n"/>
      <c r="DD101" s="146" t="n"/>
      <c r="DE101" s="146" t="n"/>
      <c r="DF101" s="146" t="n"/>
      <c r="DG101" s="146" t="n"/>
      <c r="DH101" s="146" t="n"/>
      <c r="DI101" s="146" t="n"/>
      <c r="DJ101" s="146" t="n"/>
      <c r="DK101" s="146" t="n"/>
      <c r="DL101" s="146" t="n"/>
      <c r="DM101" s="146" t="n"/>
      <c r="DN101" s="146" t="n"/>
      <c r="DO101" s="146" t="n"/>
      <c r="DP101" s="146" t="n"/>
      <c r="DQ101" s="146" t="n"/>
      <c r="DR101" s="146" t="n"/>
      <c r="DS101" s="146" t="n"/>
      <c r="DT101" s="146" t="n"/>
      <c r="DU101" s="146" t="n"/>
      <c r="DV101" s="146" t="n"/>
      <c r="DW101" s="146" t="n"/>
      <c r="DX101" s="146" t="n"/>
      <c r="DY101" s="146" t="n"/>
      <c r="DZ101" s="146" t="n"/>
      <c r="EA101" s="146" t="n"/>
      <c r="EB101" s="146" t="n"/>
      <c r="EC101" s="146" t="n"/>
      <c r="ED101" s="146" t="n"/>
      <c r="EE101" s="146" t="n"/>
    </row>
    <row r="102">
      <c r="A102" s="218" t="n"/>
      <c r="B102" s="218" t="n"/>
      <c r="C102" s="146" t="inlineStr">
        <is>
          <t>PFAEPP</t>
        </is>
      </c>
      <c r="D102" s="146" t="n"/>
      <c r="E102" s="146" t="n"/>
      <c r="F102" s="146" t="inlineStr">
        <is>
          <t>PF Actividad Emp y Profes.</t>
        </is>
      </c>
      <c r="G102" s="146" t="n"/>
      <c r="H102" s="146" t="n"/>
      <c r="I102" s="146" t="n"/>
      <c r="J102" s="146" t="n"/>
      <c r="K102" s="146" t="n"/>
      <c r="L102" s="146" t="n"/>
      <c r="M102" s="146" t="n"/>
      <c r="N102" s="218" t="n"/>
      <c r="O102" s="218" t="n"/>
      <c r="P102" s="218" t="n"/>
      <c r="Q102" s="146" t="inlineStr">
        <is>
          <t>GABINETE 4</t>
        </is>
      </c>
      <c r="R102" s="150" t="n"/>
      <c r="S102" s="146" t="n"/>
      <c r="T102" s="146" t="n"/>
      <c r="U102" s="146" t="n"/>
      <c r="V102" s="146" t="n"/>
      <c r="W102" s="146" t="n"/>
      <c r="X102" s="146" t="n"/>
      <c r="Y102" s="146" t="n"/>
      <c r="Z102" s="146" t="n"/>
      <c r="AA102" s="146" t="n"/>
      <c r="AB102" s="146" t="n"/>
      <c r="AC102" s="146" t="n"/>
      <c r="AD102" s="146" t="n"/>
      <c r="AE102" s="146" t="n"/>
      <c r="AF102" s="146" t="n"/>
      <c r="AG102" s="218" t="n"/>
      <c r="AH102" s="146" t="n"/>
      <c r="AI102" s="146" t="n"/>
      <c r="AJ102" s="146" t="n"/>
      <c r="AK102" s="146" t="n"/>
      <c r="AL102" s="146" t="n"/>
      <c r="AM102" s="146" t="n"/>
      <c r="AN102" s="146" t="n"/>
      <c r="AO102" s="146" t="n"/>
      <c r="AP102" s="146" t="n"/>
      <c r="AQ102" s="218" t="n"/>
      <c r="AR102" s="218" t="n"/>
      <c r="AS102" s="146" t="n">
        <v>5</v>
      </c>
      <c r="AT102" s="146" t="inlineStr">
        <is>
          <t>(5) COMPULSA EN PROCESO</t>
        </is>
      </c>
      <c r="AU102" s="146" t="n"/>
      <c r="AV102" s="146" t="n"/>
      <c r="AW102" s="146" t="n"/>
      <c r="AX102" s="146" t="n"/>
      <c r="AY102" s="146" t="n"/>
      <c r="AZ102" s="146" t="n"/>
      <c r="BA102" s="146" t="n"/>
      <c r="BB102" s="146" t="n"/>
      <c r="BC102" s="146" t="n"/>
      <c r="BD102" s="146" t="n"/>
      <c r="BE102" s="146" t="n"/>
      <c r="BF102" s="146" t="n"/>
      <c r="BG102" s="146" t="n"/>
      <c r="BH102" s="146" t="n"/>
      <c r="BI102" s="146" t="n"/>
      <c r="BJ102" s="146" t="n">
        <v>8</v>
      </c>
      <c r="BK102" s="146" t="inlineStr">
        <is>
          <t>SIEMBRA, CULTIVO Y COSECHA DE TRIGO</t>
        </is>
      </c>
      <c r="BL102" s="146" t="n"/>
      <c r="BM102" s="146" t="n"/>
      <c r="BN102" s="146" t="n"/>
      <c r="BO102" s="146" t="n"/>
      <c r="BP102" s="146" t="n"/>
      <c r="BQ102" s="146" t="n"/>
      <c r="BR102" s="146" t="n"/>
      <c r="BS102" s="146" t="n"/>
      <c r="BT102" s="218" t="n"/>
      <c r="BY102" s="146" t="inlineStr">
        <is>
          <t>COMPRA DE BOMBAS Y DISPENSARIOS DE GASOLINA</t>
        </is>
      </c>
      <c r="BZ102" s="146" t="n"/>
      <c r="CA102" s="146" t="n"/>
      <c r="CB102" s="146" t="n"/>
      <c r="CC102" s="146" t="n"/>
      <c r="CD102" s="146" t="n"/>
      <c r="CE102" s="146" t="n"/>
      <c r="CF102" s="146" t="n"/>
      <c r="CG102" s="146" t="n"/>
      <c r="CH102" s="146" t="n"/>
      <c r="CI102" s="146" t="n"/>
      <c r="CJ102" s="146" t="n"/>
      <c r="CK102" s="146" t="n"/>
      <c r="CL102" s="146" t="n"/>
      <c r="CM102" s="218" t="n"/>
      <c r="CN102" s="218" t="n"/>
      <c r="CO102" s="218" t="n"/>
      <c r="CP102" s="218" t="n"/>
      <c r="CQ102" s="218" t="n"/>
      <c r="CR102" s="218" t="n"/>
      <c r="CS102" s="218" t="n"/>
      <c r="CT102" s="218" t="n"/>
      <c r="CU102" s="146" t="n">
        <v>2653</v>
      </c>
      <c r="CV102" s="146" t="inlineStr">
        <is>
          <t>ACEVEDO RODRIGUEZ SANDRA CATALINA</t>
        </is>
      </c>
      <c r="CW102" s="218" t="n"/>
      <c r="CX102" s="218" t="n"/>
      <c r="CY102" s="146" t="inlineStr">
        <is>
          <t>5. Retenciones no enteradas</t>
        </is>
      </c>
      <c r="CZ102" s="146" t="n"/>
      <c r="DA102" s="218" t="n"/>
      <c r="DB102" s="146" t="inlineStr">
        <is>
          <t>1.5 Por ajuste anual por inflación acumulable.</t>
        </is>
      </c>
      <c r="DC102" s="146" t="n"/>
      <c r="DD102" s="146" t="n"/>
      <c r="DE102" s="146" t="n"/>
      <c r="DF102" s="146" t="n"/>
      <c r="DG102" s="146" t="n"/>
      <c r="DH102" s="146" t="n"/>
      <c r="DI102" s="146" t="n"/>
      <c r="DJ102" s="146" t="n"/>
      <c r="DK102" s="146" t="n"/>
      <c r="DL102" s="146" t="n"/>
      <c r="DM102" s="146" t="n"/>
      <c r="DN102" s="146" t="n"/>
      <c r="DO102" s="146" t="n"/>
      <c r="DP102" s="146" t="n"/>
      <c r="DQ102" s="146" t="n"/>
      <c r="DR102" s="146" t="n"/>
      <c r="DS102" s="146" t="n"/>
      <c r="DT102" s="146" t="n"/>
      <c r="DU102" s="146" t="n"/>
      <c r="DV102" s="146" t="n"/>
      <c r="DW102" s="146" t="n"/>
      <c r="DX102" s="146" t="n"/>
      <c r="DY102" s="146" t="n"/>
      <c r="DZ102" s="146" t="n"/>
      <c r="EA102" s="146" t="n"/>
      <c r="EB102" s="146" t="n"/>
      <c r="EC102" s="146" t="n"/>
      <c r="ED102" s="146" t="n"/>
      <c r="EE102" s="146" t="n"/>
    </row>
    <row r="103">
      <c r="A103" s="218" t="n"/>
      <c r="B103" s="218" t="n"/>
      <c r="C103" s="146" t="inlineStr">
        <is>
          <t>PFRI</t>
        </is>
      </c>
      <c r="D103" s="146" t="n"/>
      <c r="E103" s="146" t="n"/>
      <c r="F103" s="146" t="inlineStr">
        <is>
          <t>PF Regimen Intermedio</t>
        </is>
      </c>
      <c r="G103" s="146" t="n"/>
      <c r="H103" s="146" t="n"/>
      <c r="I103" s="146" t="n"/>
      <c r="J103" s="146" t="n"/>
      <c r="K103" s="146" t="n"/>
      <c r="L103" s="146" t="n"/>
      <c r="M103" s="146" t="n"/>
      <c r="N103" s="218" t="n"/>
      <c r="O103" s="218" t="n"/>
      <c r="P103" s="218" t="n"/>
      <c r="Q103" s="146" t="inlineStr">
        <is>
          <t>GABINETE 5</t>
        </is>
      </c>
      <c r="R103" s="150" t="n"/>
      <c r="S103" s="146" t="n"/>
      <c r="T103" s="146" t="n"/>
      <c r="U103" s="146" t="n"/>
      <c r="V103" s="146" t="n"/>
      <c r="W103" s="146" t="n"/>
      <c r="X103" s="146" t="n"/>
      <c r="Y103" s="146" t="n"/>
      <c r="Z103" s="146" t="n"/>
      <c r="AA103" s="146" t="n"/>
      <c r="AB103" s="146" t="n"/>
      <c r="AC103" s="146" t="n"/>
      <c r="AD103" s="146" t="n"/>
      <c r="AE103" s="146" t="n"/>
      <c r="AF103" s="146" t="n"/>
      <c r="AG103" s="218" t="n"/>
      <c r="AH103" s="145" t="inlineStr">
        <is>
          <t>ULTIMA ACTA PARCIAL</t>
        </is>
      </c>
      <c r="AI103" s="145" t="n"/>
      <c r="AJ103" s="145" t="n"/>
      <c r="AK103" s="145" t="n"/>
      <c r="AL103" s="145" t="n"/>
      <c r="AM103" s="145" t="n"/>
      <c r="AN103" s="145" t="n"/>
      <c r="AO103" s="145" t="n"/>
      <c r="AP103" s="145" t="n"/>
      <c r="AQ103" s="218" t="n"/>
      <c r="AR103" s="218" t="n"/>
      <c r="AS103" s="146" t="n">
        <v>6</v>
      </c>
      <c r="AT103" s="146" t="inlineStr">
        <is>
          <t>(6) EN ESPERA DE HABILITACION DE LA A.G.G.C. PARA REALIZAR COMPULSA</t>
        </is>
      </c>
      <c r="AU103" s="146" t="n"/>
      <c r="AV103" s="146" t="n"/>
      <c r="AW103" s="146" t="n"/>
      <c r="AX103" s="146" t="n"/>
      <c r="AY103" s="146" t="n"/>
      <c r="AZ103" s="146" t="n"/>
      <c r="BA103" s="146" t="n"/>
      <c r="BB103" s="146" t="n"/>
      <c r="BC103" s="146" t="n"/>
      <c r="BD103" s="146" t="n"/>
      <c r="BE103" s="146" t="n"/>
      <c r="BF103" s="146" t="n"/>
      <c r="BG103" s="146" t="n"/>
      <c r="BH103" s="146" t="n"/>
      <c r="BI103" s="146" t="n"/>
      <c r="BJ103" s="146" t="n">
        <v>9</v>
      </c>
      <c r="BK103" s="146" t="inlineStr">
        <is>
          <t>SIEMBRA, CULTIVO Y COSECHA DE MAIZ GRANO</t>
        </is>
      </c>
      <c r="BL103" s="146" t="n"/>
      <c r="BM103" s="146" t="n"/>
      <c r="BN103" s="146" t="n"/>
      <c r="BO103" s="146" t="n"/>
      <c r="BP103" s="146" t="n"/>
      <c r="BQ103" s="146" t="n"/>
      <c r="BR103" s="146" t="n"/>
      <c r="BS103" s="146" t="n"/>
      <c r="BT103" s="218" t="n"/>
      <c r="BY103" s="146" t="n"/>
      <c r="BZ103" s="146" t="n"/>
      <c r="CA103" s="146" t="n"/>
      <c r="CB103" s="146" t="n"/>
      <c r="CC103" s="146" t="n"/>
      <c r="CD103" s="146" t="n"/>
      <c r="CE103" s="146" t="n"/>
      <c r="CF103" s="146" t="n"/>
      <c r="CG103" s="146" t="n"/>
      <c r="CH103" s="146" t="n"/>
      <c r="CI103" s="146" t="n"/>
      <c r="CJ103" s="146" t="n"/>
      <c r="CK103" s="146" t="n"/>
      <c r="CL103" s="146" t="n"/>
      <c r="CM103" s="218" t="n"/>
      <c r="CN103" s="218" t="n"/>
      <c r="CO103" s="218" t="n"/>
      <c r="CP103" s="218" t="n"/>
      <c r="CQ103" s="218" t="n"/>
      <c r="CR103" s="218" t="n"/>
      <c r="CS103" s="218" t="n"/>
      <c r="CT103" s="218" t="n"/>
      <c r="CU103" s="146" t="n">
        <v>2686</v>
      </c>
      <c r="CV103" s="146" t="inlineStr">
        <is>
          <t>TORRE AGUILAR MARIA ALEJANDRA DE LA</t>
        </is>
      </c>
      <c r="CW103" s="218" t="n"/>
      <c r="CX103" s="218" t="n"/>
      <c r="CY103" s="146" t="inlineStr">
        <is>
          <t>6. Disminución indebida de pérdidas fiscales</t>
        </is>
      </c>
      <c r="CZ103" s="146" t="n"/>
      <c r="DA103" s="218" t="n"/>
      <c r="DB103" s="146" t="inlineStr">
        <is>
          <t>1.6 Por ganancia en enajenación de activo fijo</t>
        </is>
      </c>
      <c r="DC103" s="146" t="n"/>
      <c r="DD103" s="146" t="n"/>
      <c r="DE103" s="146" t="n"/>
      <c r="DF103" s="146" t="n"/>
      <c r="DG103" s="146" t="n"/>
      <c r="DH103" s="146" t="n"/>
      <c r="DI103" s="146" t="n"/>
      <c r="DJ103" s="146" t="n"/>
      <c r="DK103" s="146" t="n"/>
      <c r="DL103" s="146" t="n"/>
      <c r="DM103" s="146" t="n"/>
      <c r="DN103" s="146" t="n"/>
      <c r="DO103" s="146" t="n"/>
      <c r="DP103" s="146" t="n"/>
      <c r="DQ103" s="146" t="n"/>
      <c r="DR103" s="146" t="n"/>
      <c r="DS103" s="146" t="n"/>
      <c r="DT103" s="146" t="n"/>
      <c r="DU103" s="146" t="n"/>
      <c r="DV103" s="146" t="n"/>
      <c r="DW103" s="146" t="n"/>
      <c r="DX103" s="146" t="n"/>
      <c r="DY103" s="146" t="n"/>
      <c r="DZ103" s="146" t="n"/>
      <c r="EA103" s="146" t="n"/>
      <c r="EB103" s="146" t="n"/>
      <c r="EC103" s="146" t="n"/>
      <c r="ED103" s="146" t="n"/>
      <c r="EE103" s="146" t="n"/>
    </row>
    <row r="104">
      <c r="A104" s="218" t="n"/>
      <c r="B104" s="218" t="n"/>
      <c r="C104" s="146" t="inlineStr">
        <is>
          <t>PF RIF</t>
        </is>
      </c>
      <c r="D104" s="146" t="n"/>
      <c r="E104" s="146" t="n"/>
      <c r="F104" s="146" t="inlineStr">
        <is>
          <t>PF Regimen Incorporacion Fiscal</t>
        </is>
      </c>
      <c r="G104" s="146" t="n"/>
      <c r="H104" s="146" t="n"/>
      <c r="I104" s="146" t="n"/>
      <c r="J104" s="146" t="n"/>
      <c r="K104" s="146" t="n"/>
      <c r="L104" s="146" t="n"/>
      <c r="M104" s="146" t="n"/>
      <c r="N104" s="218" t="n"/>
      <c r="O104" s="218" t="n"/>
      <c r="P104" s="218" t="n"/>
      <c r="Q104" s="146" t="inlineStr">
        <is>
          <t>GABINETE 6</t>
        </is>
      </c>
      <c r="R104" s="150" t="n"/>
      <c r="S104" s="146" t="n"/>
      <c r="T104" s="146" t="n"/>
      <c r="U104" s="146" t="n"/>
      <c r="V104" s="146" t="n"/>
      <c r="W104" s="146" t="n"/>
      <c r="X104" s="146" t="n"/>
      <c r="Y104" s="146" t="n"/>
      <c r="Z104" s="146" t="n"/>
      <c r="AA104" s="146" t="n"/>
      <c r="AB104" s="146" t="n"/>
      <c r="AC104" s="146" t="n"/>
      <c r="AD104" s="146" t="n"/>
      <c r="AE104" s="146" t="n"/>
      <c r="AF104" s="146" t="n"/>
      <c r="AG104" s="218" t="n"/>
      <c r="AH104" s="146" t="inlineStr">
        <is>
          <t>SI</t>
        </is>
      </c>
      <c r="AI104" s="146" t="n"/>
      <c r="AJ104" s="146" t="n"/>
      <c r="AK104" s="146" t="n"/>
      <c r="AL104" s="146" t="n"/>
      <c r="AM104" s="146" t="n"/>
      <c r="AN104" s="146" t="n"/>
      <c r="AO104" s="146" t="n"/>
      <c r="AP104" s="146" t="n"/>
      <c r="AQ104" s="218" t="n"/>
      <c r="AR104" s="218" t="n"/>
      <c r="AS104" s="146" t="n">
        <v>7</v>
      </c>
      <c r="AT104" s="146" t="inlineStr">
        <is>
          <t>(7) SOLICITUD DE INFORMACIÓN A LA C.N.B.V.</t>
        </is>
      </c>
      <c r="AU104" s="146" t="n"/>
      <c r="AV104" s="146" t="n"/>
      <c r="AW104" s="146" t="n"/>
      <c r="AX104" s="146" t="n"/>
      <c r="AY104" s="146" t="n"/>
      <c r="AZ104" s="146" t="n"/>
      <c r="BA104" s="146" t="n"/>
      <c r="BB104" s="146" t="n"/>
      <c r="BC104" s="146" t="n"/>
      <c r="BD104" s="146" t="n"/>
      <c r="BE104" s="146" t="n"/>
      <c r="BF104" s="146" t="n"/>
      <c r="BG104" s="146" t="n"/>
      <c r="BH104" s="146" t="n"/>
      <c r="BI104" s="146" t="n"/>
      <c r="BJ104" s="146" t="n">
        <v>10</v>
      </c>
      <c r="BK104" s="146" t="inlineStr">
        <is>
          <t>SIEMBRA, CULTIVO Y COSECHA DE MAIZ FORRAJERO</t>
        </is>
      </c>
      <c r="BL104" s="146" t="n"/>
      <c r="BM104" s="146" t="n"/>
      <c r="BN104" s="146" t="n"/>
      <c r="BO104" s="146" t="n"/>
      <c r="BP104" s="146" t="n"/>
      <c r="BQ104" s="146" t="n"/>
      <c r="BR104" s="146" t="n"/>
      <c r="BS104" s="146" t="n"/>
      <c r="BT104" s="218" t="n"/>
      <c r="CM104" s="218" t="n"/>
      <c r="CN104" s="218" t="n"/>
      <c r="CO104" s="218" t="n"/>
      <c r="CP104" s="218" t="n"/>
      <c r="CQ104" s="218" t="n"/>
      <c r="CR104" s="218" t="n"/>
      <c r="CS104" s="218" t="n"/>
      <c r="CT104" s="218" t="n"/>
      <c r="CU104" s="146" t="n">
        <v>2688</v>
      </c>
      <c r="CV104" s="146" t="inlineStr">
        <is>
          <t>VALERO RODRIGUEZ DULCE ANA GINA</t>
        </is>
      </c>
      <c r="CW104" s="218" t="n"/>
      <c r="CX104" s="218" t="n"/>
      <c r="CY104" s="146" t="inlineStr">
        <is>
          <t>7. Compensación indebida de impuestos (ISR, IVA)</t>
        </is>
      </c>
      <c r="CZ104" s="146" t="n"/>
      <c r="DA104" s="218" t="n"/>
      <c r="DB104" s="146" t="inlineStr">
        <is>
          <t>1.7 Por ganancia inflacionaria.</t>
        </is>
      </c>
      <c r="DC104" s="146" t="n"/>
      <c r="DD104" s="146" t="n"/>
      <c r="DE104" s="146" t="n"/>
      <c r="DF104" s="146" t="n"/>
      <c r="DG104" s="146" t="n"/>
      <c r="DH104" s="146" t="n"/>
      <c r="DI104" s="146" t="n"/>
      <c r="DJ104" s="146" t="n"/>
      <c r="DK104" s="146" t="n"/>
      <c r="DL104" s="146" t="n"/>
      <c r="DM104" s="146" t="n"/>
      <c r="DN104" s="146" t="n"/>
      <c r="DO104" s="146" t="n"/>
      <c r="DP104" s="146" t="n"/>
      <c r="DQ104" s="146" t="n"/>
      <c r="DR104" s="146" t="n"/>
      <c r="DS104" s="146" t="n"/>
      <c r="DT104" s="146" t="n"/>
      <c r="DU104" s="146" t="n"/>
      <c r="DV104" s="146" t="n"/>
      <c r="DW104" s="146" t="n"/>
      <c r="DX104" s="146" t="n"/>
      <c r="DY104" s="146" t="n"/>
      <c r="DZ104" s="146" t="n"/>
      <c r="EA104" s="146" t="n"/>
      <c r="EB104" s="146" t="n"/>
      <c r="EC104" s="146" t="n"/>
      <c r="ED104" s="146" t="n"/>
      <c r="EE104" s="146" t="n"/>
    </row>
    <row r="105">
      <c r="A105" s="218" t="n"/>
      <c r="B105" s="218" t="n"/>
      <c r="C105" s="146" t="inlineStr">
        <is>
          <t>PFA</t>
        </is>
      </c>
      <c r="D105" s="146" t="n"/>
      <c r="E105" s="146" t="n"/>
      <c r="F105" s="146" t="inlineStr">
        <is>
          <t>PF Arrendamiento</t>
        </is>
      </c>
      <c r="G105" s="146" t="n"/>
      <c r="H105" s="146" t="n"/>
      <c r="I105" s="146" t="n"/>
      <c r="J105" s="146" t="n"/>
      <c r="K105" s="146" t="n"/>
      <c r="L105" s="146" t="n"/>
      <c r="M105" s="146" t="n"/>
      <c r="N105" s="218" t="n"/>
      <c r="O105" s="218" t="n"/>
      <c r="P105" s="218" t="n"/>
      <c r="Q105" s="146" t="inlineStr">
        <is>
          <t>MASIVOS</t>
        </is>
      </c>
      <c r="R105" s="146" t="n"/>
      <c r="S105" s="146" t="n"/>
      <c r="T105" s="146" t="n"/>
      <c r="U105" s="146" t="n"/>
      <c r="V105" s="146" t="n"/>
      <c r="W105" s="146" t="n"/>
      <c r="X105" s="146" t="n"/>
      <c r="Y105" s="146" t="n"/>
      <c r="Z105" s="146" t="n"/>
      <c r="AA105" s="146" t="n"/>
      <c r="AB105" s="146" t="n"/>
      <c r="AC105" s="146" t="n"/>
      <c r="AD105" s="146" t="n"/>
      <c r="AE105" s="146" t="n"/>
      <c r="AF105" s="146" t="n"/>
      <c r="AG105" s="218" t="n"/>
      <c r="AH105" s="146" t="inlineStr">
        <is>
          <t>NO</t>
        </is>
      </c>
      <c r="AI105" s="146" t="n"/>
      <c r="AJ105" s="146" t="n"/>
      <c r="AK105" s="146" t="n"/>
      <c r="AL105" s="146" t="n"/>
      <c r="AM105" s="146" t="n"/>
      <c r="AN105" s="146" t="n"/>
      <c r="AO105" s="146" t="n"/>
      <c r="AP105" s="146" t="n"/>
      <c r="AQ105" s="218" t="n"/>
      <c r="AR105" s="218" t="n"/>
      <c r="AS105" s="146" t="n">
        <v>9</v>
      </c>
      <c r="AT105" s="146" t="inlineStr">
        <is>
          <t>(9) ELABORACIÓN DEL PROYECTO DE LA ULTIMA ACTA PARCIAL</t>
        </is>
      </c>
      <c r="AU105" s="146" t="n"/>
      <c r="AV105" s="146" t="n"/>
      <c r="AW105" s="146" t="n"/>
      <c r="AX105" s="146" t="n"/>
      <c r="AY105" s="146" t="n"/>
      <c r="AZ105" s="146" t="n"/>
      <c r="BA105" s="146" t="n"/>
      <c r="BB105" s="146" t="n"/>
      <c r="BC105" s="146" t="n"/>
      <c r="BD105" s="146" t="n"/>
      <c r="BE105" s="146" t="n"/>
      <c r="BF105" s="146" t="n"/>
      <c r="BG105" s="146" t="n"/>
      <c r="BH105" s="146" t="n"/>
      <c r="BI105" s="146" t="n"/>
      <c r="BJ105" s="146" t="n">
        <v>11</v>
      </c>
      <c r="BK105" s="146" t="inlineStr">
        <is>
          <t>SIEMBRA, CULTIVO Y COSECHA DE ARROZ</t>
        </is>
      </c>
      <c r="BL105" s="146" t="n"/>
      <c r="BM105" s="146" t="n"/>
      <c r="BN105" s="146" t="n"/>
      <c r="BO105" s="146" t="n"/>
      <c r="BP105" s="146" t="n"/>
      <c r="BQ105" s="146" t="n"/>
      <c r="BR105" s="146" t="n"/>
      <c r="BS105" s="146" t="n"/>
      <c r="BT105" s="218" t="n"/>
      <c r="BY105" s="218" t="n"/>
      <c r="BZ105" s="218" t="n"/>
      <c r="CA105" s="218" t="n"/>
      <c r="CB105" s="218" t="n"/>
      <c r="CC105" s="218" t="n"/>
      <c r="CD105" s="218" t="n"/>
      <c r="CE105" s="218" t="n"/>
      <c r="CF105" s="218" t="n"/>
      <c r="CG105" s="218" t="n"/>
      <c r="CH105" s="218" t="n"/>
      <c r="CI105" s="218" t="n"/>
      <c r="CJ105" s="218" t="n"/>
      <c r="CK105" s="218" t="n"/>
      <c r="CL105" s="218" t="n"/>
      <c r="CM105" s="218" t="n"/>
      <c r="CN105" s="218" t="n"/>
      <c r="CO105" s="218" t="n"/>
      <c r="CP105" s="218" t="n"/>
      <c r="CQ105" s="218" t="n"/>
      <c r="CR105" s="218" t="n"/>
      <c r="CS105" s="218" t="n"/>
      <c r="CT105" s="218" t="n"/>
      <c r="CU105" s="146" t="n">
        <v>2700</v>
      </c>
      <c r="CV105" s="146" t="inlineStr">
        <is>
          <t>CASILLAS HERNANDEZ CARLOS ANTONIO</t>
        </is>
      </c>
      <c r="CW105" s="218" t="n"/>
      <c r="CX105" s="218" t="n"/>
      <c r="CY105" s="146" t="inlineStr">
        <is>
          <t>8. Determinación errónea de pagos provisionales</t>
        </is>
      </c>
      <c r="CZ105" s="146" t="n"/>
      <c r="DA105" s="218" t="n"/>
      <c r="DB105" s="146" t="inlineStr">
        <is>
          <t>1.8 Por intereses acumulables.</t>
        </is>
      </c>
      <c r="DC105" s="146" t="n"/>
      <c r="DD105" s="146" t="n"/>
      <c r="DE105" s="146" t="n"/>
      <c r="DF105" s="146" t="n"/>
      <c r="DG105" s="146" t="n"/>
      <c r="DH105" s="146" t="n"/>
      <c r="DI105" s="146" t="n"/>
      <c r="DJ105" s="146" t="n"/>
      <c r="DK105" s="146" t="n"/>
      <c r="DL105" s="146" t="n"/>
      <c r="DM105" s="146" t="n"/>
      <c r="DN105" s="146" t="n"/>
      <c r="DO105" s="146" t="n"/>
      <c r="DP105" s="146" t="n"/>
      <c r="DQ105" s="146" t="n"/>
      <c r="DR105" s="146" t="n"/>
      <c r="DS105" s="146" t="n"/>
      <c r="DT105" s="146" t="n"/>
      <c r="DU105" s="146" t="n"/>
      <c r="DV105" s="146" t="n"/>
      <c r="DW105" s="146" t="n"/>
      <c r="DX105" s="146" t="n"/>
      <c r="DY105" s="146" t="n"/>
      <c r="DZ105" s="146" t="n"/>
      <c r="EA105" s="146" t="n"/>
      <c r="EB105" s="146" t="n"/>
      <c r="EC105" s="146" t="n"/>
      <c r="ED105" s="146" t="n"/>
      <c r="EE105" s="146" t="n"/>
    </row>
    <row r="106">
      <c r="A106" s="218" t="n"/>
      <c r="B106" s="218" t="n"/>
      <c r="C106" s="146" t="inlineStr">
        <is>
          <t>PFEB</t>
        </is>
      </c>
      <c r="D106" s="146" t="n"/>
      <c r="E106" s="146" t="n"/>
      <c r="F106" s="146" t="inlineStr">
        <is>
          <t>PF Enajenación de Bienes</t>
        </is>
      </c>
      <c r="G106" s="146" t="n"/>
      <c r="H106" s="146" t="n"/>
      <c r="I106" s="146" t="n"/>
      <c r="J106" s="146" t="n"/>
      <c r="K106" s="146" t="n"/>
      <c r="L106" s="146" t="n"/>
      <c r="M106" s="146" t="n"/>
      <c r="N106" s="218" t="n"/>
      <c r="O106" s="218" t="n"/>
      <c r="P106" s="218" t="n"/>
      <c r="Q106" s="146" t="inlineStr">
        <is>
          <t>VECF</t>
        </is>
      </c>
      <c r="R106" s="146" t="n"/>
      <c r="S106" s="146" t="n"/>
      <c r="T106" s="146" t="n"/>
      <c r="U106" s="146" t="n"/>
      <c r="V106" s="146" t="n"/>
      <c r="W106" s="146" t="n"/>
      <c r="X106" s="146" t="n"/>
      <c r="Y106" s="146" t="n"/>
      <c r="Z106" s="146" t="n"/>
      <c r="AA106" s="146" t="n"/>
      <c r="AB106" s="146" t="n"/>
      <c r="AC106" s="146" t="n"/>
      <c r="AD106" s="146" t="n"/>
      <c r="AE106" s="146" t="n"/>
      <c r="AF106" s="146" t="n"/>
      <c r="AG106" s="218" t="n"/>
      <c r="AH106" s="218" t="n"/>
      <c r="AI106" s="218" t="n"/>
      <c r="AJ106" s="218" t="n"/>
      <c r="AK106" s="218" t="n"/>
      <c r="AL106" s="218" t="n"/>
      <c r="AM106" s="218" t="n"/>
      <c r="AN106" s="218" t="n"/>
      <c r="AO106" s="218" t="n"/>
      <c r="AP106" s="218" t="n"/>
      <c r="AQ106" s="218" t="n"/>
      <c r="AR106" s="218" t="n"/>
      <c r="AS106" s="146" t="n">
        <v>11</v>
      </c>
      <c r="AT106" s="146" t="inlineStr">
        <is>
          <t>(11) ELABORACIÓN DEL OFICIO DE OBSERVACIONES</t>
        </is>
      </c>
      <c r="AU106" s="146" t="n"/>
      <c r="AV106" s="146" t="n"/>
      <c r="AW106" s="146" t="n"/>
      <c r="AX106" s="146" t="n"/>
      <c r="AY106" s="146" t="n"/>
      <c r="AZ106" s="146" t="n"/>
      <c r="BA106" s="146" t="n"/>
      <c r="BB106" s="146" t="n"/>
      <c r="BC106" s="146" t="n"/>
      <c r="BD106" s="146" t="n"/>
      <c r="BE106" s="146" t="n"/>
      <c r="BF106" s="146" t="n"/>
      <c r="BG106" s="146" t="n"/>
      <c r="BH106" s="146" t="n"/>
      <c r="BI106" s="146" t="n"/>
      <c r="BJ106" s="146" t="n">
        <v>12</v>
      </c>
      <c r="BK106" s="146" t="inlineStr">
        <is>
          <t>SIEMBRA, CULTIVO Y COSECHA DE SORGO GRANO</t>
        </is>
      </c>
      <c r="BL106" s="146" t="n"/>
      <c r="BM106" s="146" t="n"/>
      <c r="BN106" s="146" t="n"/>
      <c r="BO106" s="146" t="n"/>
      <c r="BP106" s="146" t="n"/>
      <c r="BQ106" s="146" t="n"/>
      <c r="BR106" s="146" t="n"/>
      <c r="BS106" s="146" t="n"/>
      <c r="BT106" s="218" t="n"/>
      <c r="BY106" s="145" t="inlineStr">
        <is>
          <t>Tipo de Cumplimentacion</t>
        </is>
      </c>
      <c r="BZ106" s="146" t="n"/>
      <c r="CA106" s="146" t="n"/>
      <c r="CB106" s="146" t="n"/>
      <c r="CC106" s="146" t="n"/>
      <c r="CD106" s="146" t="n"/>
      <c r="CE106" s="146" t="n"/>
      <c r="CF106" s="146" t="n"/>
      <c r="CG106" s="146" t="n"/>
      <c r="CH106" s="218" t="n"/>
      <c r="CI106" s="218" t="n"/>
      <c r="CJ106" s="218" t="n"/>
      <c r="CK106" s="218" t="n"/>
      <c r="CL106" s="218" t="n"/>
      <c r="CM106" s="218" t="n"/>
      <c r="CN106" s="218" t="n"/>
      <c r="CO106" s="218" t="n"/>
      <c r="CP106" s="218" t="n"/>
      <c r="CQ106" s="218" t="n"/>
      <c r="CR106" s="218" t="n"/>
      <c r="CS106" s="218" t="n"/>
      <c r="CT106" s="218" t="n"/>
      <c r="CU106" s="146" t="n">
        <v>2701</v>
      </c>
      <c r="CV106" s="146" t="inlineStr">
        <is>
          <t>CASTAÑEDA ARIAS MARIA MAGDALENA</t>
        </is>
      </c>
      <c r="CW106" s="218" t="n"/>
      <c r="CX106" s="218" t="n"/>
      <c r="CY106" s="146" t="inlineStr">
        <is>
          <t>9. Acreditamiento indebido</t>
        </is>
      </c>
      <c r="CZ106" s="146" t="n"/>
      <c r="DA106" s="218" t="n"/>
      <c r="DB106" s="146" t="inlineStr">
        <is>
          <t>2.1 Sin documentación comprobatoria</t>
        </is>
      </c>
      <c r="DC106" s="146" t="n"/>
      <c r="DD106" s="146" t="n"/>
      <c r="DE106" s="146" t="n"/>
      <c r="DF106" s="146" t="n"/>
      <c r="DG106" s="146" t="n"/>
      <c r="DH106" s="146" t="n"/>
      <c r="DI106" s="146" t="n"/>
      <c r="DJ106" s="146" t="n"/>
      <c r="DK106" s="146" t="n"/>
      <c r="DL106" s="146" t="n"/>
      <c r="DM106" s="146" t="n"/>
      <c r="DN106" s="146" t="n"/>
      <c r="DO106" s="146" t="n"/>
      <c r="DP106" s="146" t="n"/>
      <c r="DQ106" s="146" t="n"/>
      <c r="DR106" s="146" t="n"/>
      <c r="DS106" s="146" t="n"/>
      <c r="DT106" s="146" t="n"/>
      <c r="DU106" s="146" t="n"/>
      <c r="DV106" s="146" t="n"/>
      <c r="DW106" s="146" t="n"/>
      <c r="DX106" s="146" t="n"/>
      <c r="DY106" s="146" t="n"/>
      <c r="DZ106" s="146" t="n"/>
      <c r="EA106" s="146" t="n"/>
      <c r="EB106" s="146" t="n"/>
      <c r="EC106" s="146" t="n"/>
      <c r="ED106" s="146" t="n"/>
      <c r="EE106" s="146" t="n"/>
    </row>
    <row r="107">
      <c r="A107" s="218" t="n"/>
      <c r="B107" s="218" t="n"/>
      <c r="C107" s="146" t="inlineStr">
        <is>
          <t>PFAB</t>
        </is>
      </c>
      <c r="D107" s="146" t="n"/>
      <c r="E107" s="146" t="n"/>
      <c r="F107" s="146" t="inlineStr">
        <is>
          <t>PF Adquisición de Bienes</t>
        </is>
      </c>
      <c r="G107" s="146" t="n"/>
      <c r="H107" s="146" t="n"/>
      <c r="I107" s="146" t="n"/>
      <c r="J107" s="146" t="n"/>
      <c r="K107" s="146" t="n"/>
      <c r="L107" s="146" t="n"/>
      <c r="M107" s="146" t="n"/>
      <c r="N107" s="218" t="n"/>
      <c r="O107" s="218" t="n"/>
      <c r="P107" s="218" t="n"/>
      <c r="Q107" s="146" t="inlineStr">
        <is>
          <t>VISITAS1 F1</t>
        </is>
      </c>
      <c r="R107" s="146" t="n"/>
      <c r="S107" s="146" t="n"/>
      <c r="T107" s="146" t="n"/>
      <c r="U107" s="146" t="n"/>
      <c r="V107" s="146" t="n"/>
      <c r="W107" s="146" t="n"/>
      <c r="X107" s="146" t="n"/>
      <c r="Y107" s="146" t="n"/>
      <c r="Z107" s="146" t="n"/>
      <c r="AA107" s="146" t="n"/>
      <c r="AB107" s="146" t="n"/>
      <c r="AC107" s="146" t="n"/>
      <c r="AD107" s="146" t="n"/>
      <c r="AE107" s="146" t="n"/>
      <c r="AF107" s="146" t="n"/>
      <c r="AG107" s="218" t="n"/>
      <c r="AH107" s="218" t="n"/>
      <c r="AI107" s="218" t="n"/>
      <c r="AJ107" s="218" t="n"/>
      <c r="AK107" s="218" t="n"/>
      <c r="AL107" s="218" t="n"/>
      <c r="AM107" s="218" t="n"/>
      <c r="AN107" s="218" t="n"/>
      <c r="AO107" s="218" t="n"/>
      <c r="AP107" s="218" t="n"/>
      <c r="AQ107" s="218" t="n"/>
      <c r="AR107" s="218" t="n"/>
      <c r="AS107" s="146" t="n">
        <v>12</v>
      </c>
      <c r="AT107" s="146" t="inlineStr">
        <is>
          <t>(12) VALORACIÓN DE PRUEBAS APORTADAS A LA ULTIMA ACTA PARCIAL</t>
        </is>
      </c>
      <c r="AU107" s="146" t="n"/>
      <c r="AV107" s="146" t="n"/>
      <c r="AW107" s="146" t="n"/>
      <c r="AX107" s="146" t="n"/>
      <c r="AY107" s="146" t="n"/>
      <c r="AZ107" s="146" t="n"/>
      <c r="BA107" s="146" t="n"/>
      <c r="BB107" s="146" t="n"/>
      <c r="BC107" s="146" t="n"/>
      <c r="BD107" s="146" t="n"/>
      <c r="BE107" s="146" t="n"/>
      <c r="BF107" s="146" t="n"/>
      <c r="BG107" s="146" t="n"/>
      <c r="BH107" s="146" t="n"/>
      <c r="BI107" s="146" t="n"/>
      <c r="BJ107" s="146" t="n">
        <v>13</v>
      </c>
      <c r="BK107" s="146" t="inlineStr">
        <is>
          <t>SIEMBRA, CULTIVO Y COSECHA DE AVENA GRANO</t>
        </is>
      </c>
      <c r="BL107" s="146" t="n"/>
      <c r="BM107" s="146" t="n"/>
      <c r="BN107" s="146" t="n"/>
      <c r="BO107" s="146" t="n"/>
      <c r="BP107" s="146" t="n"/>
      <c r="BQ107" s="146" t="n"/>
      <c r="BR107" s="146" t="n"/>
      <c r="BS107" s="146" t="n"/>
      <c r="BT107" s="218" t="n"/>
      <c r="BY107" s="146" t="inlineStr">
        <is>
          <t>NULIDAD LISA Y LLANA</t>
        </is>
      </c>
      <c r="BZ107" s="146" t="n"/>
      <c r="CA107" s="146" t="n"/>
      <c r="CB107" s="146" t="n"/>
      <c r="CC107" s="146" t="n"/>
      <c r="CD107" s="146" t="n"/>
      <c r="CE107" s="146" t="n"/>
      <c r="CF107" s="146" t="n"/>
      <c r="CG107" s="146" t="n"/>
      <c r="CH107" s="218" t="n"/>
      <c r="CI107" s="218" t="n"/>
      <c r="CJ107" s="218" t="n"/>
      <c r="CK107" s="218" t="n"/>
      <c r="CL107" s="218" t="n"/>
      <c r="CM107" s="218" t="n"/>
      <c r="CN107" s="218" t="n"/>
      <c r="CO107" s="218" t="n"/>
      <c r="CP107" s="218" t="n"/>
      <c r="CQ107" s="218" t="n"/>
      <c r="CR107" s="218" t="n"/>
      <c r="CS107" s="218" t="n"/>
      <c r="CT107" s="218" t="n"/>
      <c r="CU107" s="146" t="n">
        <v>2721</v>
      </c>
      <c r="CV107" s="146" t="inlineStr">
        <is>
          <t>PULIDO MORA MIREYA</t>
        </is>
      </c>
      <c r="CW107" s="218" t="n"/>
      <c r="CX107" s="218" t="n"/>
      <c r="CY107" s="146" t="inlineStr">
        <is>
          <t>10. Devolución indebida de impuestos</t>
        </is>
      </c>
      <c r="CZ107" s="146" t="n"/>
      <c r="DA107" s="218" t="n"/>
      <c r="DB107" s="146" t="inlineStr">
        <is>
          <t>2.2 Amparada en documentos apócrifos</t>
        </is>
      </c>
      <c r="DC107" s="146" t="n"/>
      <c r="DD107" s="146" t="n"/>
      <c r="DE107" s="146" t="n"/>
      <c r="DF107" s="146" t="n"/>
      <c r="DG107" s="146" t="n"/>
      <c r="DH107" s="146" t="n"/>
      <c r="DI107" s="146" t="n"/>
      <c r="DJ107" s="146" t="n"/>
      <c r="DK107" s="146" t="n"/>
      <c r="DL107" s="146" t="n"/>
      <c r="DM107" s="146" t="n"/>
      <c r="DN107" s="146" t="n"/>
      <c r="DO107" s="146" t="n"/>
      <c r="DP107" s="146" t="n"/>
      <c r="DQ107" s="146" t="n"/>
      <c r="DR107" s="146" t="n"/>
      <c r="DS107" s="146" t="n"/>
      <c r="DT107" s="146" t="n"/>
      <c r="DU107" s="146" t="n"/>
      <c r="DV107" s="146" t="n"/>
      <c r="DW107" s="146" t="n"/>
      <c r="DX107" s="146" t="n"/>
      <c r="DY107" s="146" t="n"/>
      <c r="DZ107" s="146" t="n"/>
      <c r="EA107" s="146" t="n"/>
      <c r="EB107" s="146" t="n"/>
      <c r="EC107" s="146" t="n"/>
      <c r="ED107" s="146" t="n"/>
      <c r="EE107" s="146" t="n"/>
    </row>
    <row r="108">
      <c r="A108" s="218" t="n"/>
      <c r="B108" s="218" t="n"/>
      <c r="C108" s="146" t="inlineStr">
        <is>
          <t>PFEA</t>
        </is>
      </c>
      <c r="D108" s="146" t="n"/>
      <c r="E108" s="146" t="n"/>
      <c r="F108" s="146" t="inlineStr">
        <is>
          <t>PF Enajenación de Acciones</t>
        </is>
      </c>
      <c r="G108" s="146" t="n"/>
      <c r="H108" s="146" t="n"/>
      <c r="I108" s="146" t="n"/>
      <c r="J108" s="146" t="n"/>
      <c r="K108" s="146" t="n"/>
      <c r="L108" s="146" t="n"/>
      <c r="M108" s="146" t="n"/>
      <c r="N108" s="218" t="n"/>
      <c r="O108" s="218" t="n"/>
      <c r="P108" s="218" t="n"/>
      <c r="Q108" s="146" t="inlineStr">
        <is>
          <t>VISITAS1 F2</t>
        </is>
      </c>
      <c r="R108" s="146" t="n"/>
      <c r="S108" s="146" t="n"/>
      <c r="T108" s="146" t="n"/>
      <c r="U108" s="146" t="n"/>
      <c r="V108" s="146" t="n"/>
      <c r="W108" s="146" t="n"/>
      <c r="X108" s="146" t="n"/>
      <c r="Y108" s="146" t="n"/>
      <c r="Z108" s="146" t="n"/>
      <c r="AA108" s="146" t="n"/>
      <c r="AB108" s="146" t="n"/>
      <c r="AC108" s="146" t="n"/>
      <c r="AD108" s="146" t="n"/>
      <c r="AE108" s="146" t="n"/>
      <c r="AF108" s="146" t="n"/>
      <c r="AG108" s="218" t="n"/>
      <c r="AH108" s="218" t="n"/>
      <c r="AI108" s="218" t="n"/>
      <c r="AJ108" s="218" t="n"/>
      <c r="AK108" s="218" t="n"/>
      <c r="AL108" s="218" t="n"/>
      <c r="AM108" s="218" t="n"/>
      <c r="AN108" s="218" t="n"/>
      <c r="AO108" s="218" t="n"/>
      <c r="AP108" s="218" t="n"/>
      <c r="AQ108" s="218" t="n"/>
      <c r="AR108" s="218" t="n"/>
      <c r="AS108" s="146" t="n">
        <v>13</v>
      </c>
      <c r="AT108" s="146" t="inlineStr">
        <is>
          <t>(13) VALORACIÓN DE PRUEBAS APORTADAS AL OFICIO DE OBSERVACIONES</t>
        </is>
      </c>
      <c r="AU108" s="146" t="n"/>
      <c r="AV108" s="146" t="n"/>
      <c r="AW108" s="146" t="n"/>
      <c r="AX108" s="146" t="n"/>
      <c r="AY108" s="146" t="n"/>
      <c r="AZ108" s="146" t="n"/>
      <c r="BA108" s="146" t="n"/>
      <c r="BB108" s="146" t="n"/>
      <c r="BC108" s="146" t="n"/>
      <c r="BD108" s="146" t="n"/>
      <c r="BE108" s="146" t="n"/>
      <c r="BF108" s="146" t="n"/>
      <c r="BG108" s="146" t="n"/>
      <c r="BH108" s="146" t="n"/>
      <c r="BI108" s="146" t="n"/>
      <c r="BJ108" s="146" t="n">
        <v>14</v>
      </c>
      <c r="BK108" s="146" t="inlineStr">
        <is>
          <t>SIEMBRA, CULTIVO Y COSECHA DE CEBADA GRANO</t>
        </is>
      </c>
      <c r="BL108" s="146" t="n"/>
      <c r="BM108" s="146" t="n"/>
      <c r="BN108" s="146" t="n"/>
      <c r="BO108" s="146" t="n"/>
      <c r="BP108" s="146" t="n"/>
      <c r="BQ108" s="146" t="n"/>
      <c r="BR108" s="146" t="n"/>
      <c r="BS108" s="146" t="n"/>
      <c r="BT108" s="218" t="n"/>
      <c r="BY108" s="146" t="inlineStr">
        <is>
          <t>VALIDEZ DE LA RESOLUCION</t>
        </is>
      </c>
      <c r="BZ108" s="146" t="n"/>
      <c r="CA108" s="146" t="n"/>
      <c r="CB108" s="146" t="n"/>
      <c r="CC108" s="146" t="n"/>
      <c r="CD108" s="146" t="n"/>
      <c r="CE108" s="146" t="n"/>
      <c r="CF108" s="146" t="n"/>
      <c r="CG108" s="146" t="n"/>
      <c r="CH108" s="218" t="n"/>
      <c r="CI108" s="218" t="n"/>
      <c r="CJ108" s="218" t="n"/>
      <c r="CK108" s="218" t="n"/>
      <c r="CL108" s="218" t="n"/>
      <c r="CM108" s="218" t="n"/>
      <c r="CN108" s="218" t="n"/>
      <c r="CO108" s="218" t="n"/>
      <c r="CP108" s="218" t="n"/>
      <c r="CQ108" s="218" t="n"/>
      <c r="CR108" s="218" t="n"/>
      <c r="CS108" s="218" t="n"/>
      <c r="CT108" s="218" t="n"/>
      <c r="CU108" s="146" t="n">
        <v>2723</v>
      </c>
      <c r="CV108" s="146" t="inlineStr">
        <is>
          <t>RUELAS SILVA CLAUDIA NORA</t>
        </is>
      </c>
      <c r="CW108" s="218" t="n"/>
      <c r="CX108" s="218" t="n"/>
      <c r="CY108" s="146" t="inlineStr">
        <is>
          <t>11. Omisión de pagos provisionales</t>
        </is>
      </c>
      <c r="CZ108" s="146" t="n"/>
      <c r="DA108" s="218" t="n"/>
      <c r="DB108" s="146" t="inlineStr">
        <is>
          <t>2.3 Sin requisitos fiscales</t>
        </is>
      </c>
      <c r="DC108" s="146" t="n"/>
      <c r="DD108" s="146" t="n"/>
      <c r="DE108" s="146" t="n"/>
      <c r="DF108" s="146" t="n"/>
      <c r="DG108" s="146" t="n"/>
      <c r="DH108" s="146" t="n"/>
      <c r="DI108" s="146" t="n"/>
      <c r="DJ108" s="146" t="n"/>
      <c r="DK108" s="146" t="n"/>
      <c r="DL108" s="146" t="n"/>
      <c r="DM108" s="146" t="n"/>
      <c r="DN108" s="146" t="n"/>
      <c r="DO108" s="146" t="n"/>
      <c r="DP108" s="146" t="n"/>
      <c r="DQ108" s="146" t="n"/>
      <c r="DR108" s="146" t="n"/>
      <c r="DS108" s="146" t="n"/>
      <c r="DT108" s="146" t="n"/>
      <c r="DU108" s="146" t="n"/>
      <c r="DV108" s="146" t="n"/>
      <c r="DW108" s="146" t="n"/>
      <c r="DX108" s="146" t="n"/>
      <c r="DY108" s="146" t="n"/>
      <c r="DZ108" s="146" t="n"/>
      <c r="EA108" s="146" t="n"/>
      <c r="EB108" s="146" t="n"/>
      <c r="EC108" s="146" t="n"/>
      <c r="ED108" s="146" t="n"/>
      <c r="EE108" s="146" t="n"/>
    </row>
    <row r="109">
      <c r="A109" s="218" t="n"/>
      <c r="B109" s="218" t="n"/>
      <c r="C109" s="146" t="inlineStr">
        <is>
          <t>PM R</t>
        </is>
      </c>
      <c r="D109" s="146" t="n"/>
      <c r="E109" s="146" t="n"/>
      <c r="F109" s="146" t="inlineStr">
        <is>
          <t>PM</t>
        </is>
      </c>
      <c r="G109" s="146" t="inlineStr">
        <is>
          <t>Persona Moral Resico</t>
        </is>
      </c>
      <c r="H109" s="146" t="n"/>
      <c r="I109" s="146" t="n"/>
      <c r="J109" s="146" t="n"/>
      <c r="K109" s="146" t="n"/>
      <c r="L109" s="146" t="n"/>
      <c r="M109" s="146" t="n"/>
      <c r="N109" s="218" t="n"/>
      <c r="O109" s="218" t="n"/>
      <c r="P109" s="218" t="n"/>
      <c r="Q109" s="146" t="inlineStr">
        <is>
          <t>VISITAS1 F3</t>
        </is>
      </c>
      <c r="R109" s="146" t="n"/>
      <c r="S109" s="146" t="n"/>
      <c r="T109" s="146" t="n"/>
      <c r="U109" s="146" t="n"/>
      <c r="V109" s="146" t="n"/>
      <c r="W109" s="146" t="n"/>
      <c r="X109" s="146" t="n"/>
      <c r="Y109" s="146" t="n"/>
      <c r="Z109" s="146" t="n"/>
      <c r="AA109" s="146" t="n"/>
      <c r="AB109" s="146" t="n"/>
      <c r="AC109" s="146" t="n"/>
      <c r="AD109" s="146" t="n"/>
      <c r="AE109" s="146" t="n"/>
      <c r="AF109" s="146" t="n"/>
      <c r="AG109" s="218" t="n"/>
      <c r="AH109" s="218" t="n"/>
      <c r="AI109" s="218" t="n"/>
      <c r="AJ109" s="218" t="n"/>
      <c r="AK109" s="218" t="n"/>
      <c r="AL109" s="218" t="n"/>
      <c r="AM109" s="218" t="n"/>
      <c r="AN109" s="218" t="n"/>
      <c r="AO109" s="218" t="n"/>
      <c r="AP109" s="218" t="n"/>
      <c r="AQ109" s="218" t="n"/>
      <c r="AR109" s="218" t="n"/>
      <c r="AS109" s="146" t="n">
        <v>14</v>
      </c>
      <c r="AT109" s="146" t="inlineStr">
        <is>
          <t>(14) EN PLAZO DE LA ULTIMA ACTA PARCIAL</t>
        </is>
      </c>
      <c r="AU109" s="146" t="n"/>
      <c r="AV109" s="146" t="n"/>
      <c r="AW109" s="146" t="n"/>
      <c r="AX109" s="146" t="n"/>
      <c r="AY109" s="146" t="n"/>
      <c r="AZ109" s="146" t="n"/>
      <c r="BA109" s="146" t="n"/>
      <c r="BB109" s="146" t="n"/>
      <c r="BC109" s="146" t="n"/>
      <c r="BD109" s="146" t="n"/>
      <c r="BE109" s="146" t="n"/>
      <c r="BF109" s="146" t="n"/>
      <c r="BG109" s="146" t="n"/>
      <c r="BH109" s="146" t="n"/>
      <c r="BI109" s="146" t="n"/>
      <c r="BJ109" s="146" t="n">
        <v>15</v>
      </c>
      <c r="BK109" s="146" t="inlineStr">
        <is>
          <t>SIEMBRA, CULTIVO Y COSECHA DE SORGO FORRAJERO</t>
        </is>
      </c>
      <c r="BL109" s="146" t="n"/>
      <c r="BM109" s="146" t="n"/>
      <c r="BN109" s="146" t="n"/>
      <c r="BO109" s="146" t="n"/>
      <c r="BP109" s="146" t="n"/>
      <c r="BQ109" s="146" t="n"/>
      <c r="BR109" s="146" t="n"/>
      <c r="BS109" s="146" t="n"/>
      <c r="BT109" s="218" t="n"/>
      <c r="BY109" s="146" t="inlineStr">
        <is>
          <t>NULIDAD PARA EFECTOS</t>
        </is>
      </c>
      <c r="BZ109" s="146" t="n"/>
      <c r="CA109" s="146" t="n"/>
      <c r="CB109" s="146" t="n"/>
      <c r="CC109" s="146" t="n"/>
      <c r="CD109" s="146" t="n"/>
      <c r="CE109" s="146" t="n"/>
      <c r="CF109" s="146" t="n"/>
      <c r="CG109" s="146" t="n"/>
      <c r="CH109" s="218" t="n"/>
      <c r="CI109" s="218" t="n"/>
      <c r="CJ109" s="218" t="n"/>
      <c r="CK109" s="218" t="n"/>
      <c r="CL109" s="218" t="n"/>
      <c r="CM109" s="218" t="n"/>
      <c r="CN109" s="218" t="n"/>
      <c r="CO109" s="218" t="n"/>
      <c r="CP109" s="218" t="n"/>
      <c r="CQ109" s="218" t="n"/>
      <c r="CR109" s="218" t="n"/>
      <c r="CS109" s="218" t="n"/>
      <c r="CT109" s="218" t="n"/>
      <c r="CU109" s="146" t="n">
        <v>2733</v>
      </c>
      <c r="CV109" s="146" t="inlineStr">
        <is>
          <t>VILLANUEVA CALDERON HUGO ERNESTO</t>
        </is>
      </c>
      <c r="CW109" s="218" t="n"/>
      <c r="CX109" s="218" t="n"/>
      <c r="CY109" s="146" t="inlineStr">
        <is>
          <t>12. Omisión de declaración anual</t>
        </is>
      </c>
      <c r="CZ109" s="146" t="n"/>
      <c r="DA109" s="218" t="n"/>
      <c r="DB109" s="146" t="inlineStr">
        <is>
          <t>2.4 Sin retención y/o entero del impuesto</t>
        </is>
      </c>
      <c r="DC109" s="146" t="n"/>
      <c r="DD109" s="146" t="n"/>
      <c r="DE109" s="146" t="n"/>
      <c r="DF109" s="146" t="n"/>
      <c r="DG109" s="146" t="n"/>
      <c r="DH109" s="146" t="n"/>
      <c r="DI109" s="146" t="n"/>
      <c r="DJ109" s="146" t="n"/>
      <c r="DK109" s="146" t="n"/>
      <c r="DL109" s="146" t="n"/>
      <c r="DM109" s="146" t="n"/>
      <c r="DN109" s="146" t="n"/>
      <c r="DO109" s="146" t="n"/>
      <c r="DP109" s="146" t="n"/>
      <c r="DQ109" s="146" t="n"/>
      <c r="DR109" s="146" t="n"/>
      <c r="DS109" s="146" t="n"/>
      <c r="DT109" s="146" t="n"/>
      <c r="DU109" s="146" t="n"/>
      <c r="DV109" s="146" t="n"/>
      <c r="DW109" s="146" t="n"/>
      <c r="DX109" s="146" t="n"/>
      <c r="DY109" s="146" t="n"/>
      <c r="DZ109" s="146" t="n"/>
      <c r="EA109" s="146" t="n"/>
      <c r="EB109" s="146" t="n"/>
      <c r="EC109" s="146" t="n"/>
      <c r="ED109" s="146" t="n"/>
      <c r="EE109" s="146" t="n"/>
    </row>
    <row r="110">
      <c r="A110" s="218" t="n"/>
      <c r="B110" s="218" t="n"/>
      <c r="C110" s="146" t="inlineStr">
        <is>
          <t>PF R</t>
        </is>
      </c>
      <c r="D110" s="146" t="n"/>
      <c r="E110" s="146" t="n"/>
      <c r="F110" s="146" t="inlineStr">
        <is>
          <t>PF</t>
        </is>
      </c>
      <c r="G110" s="146" t="inlineStr">
        <is>
          <t>Persona Fisica Resico</t>
        </is>
      </c>
      <c r="H110" s="146" t="n"/>
      <c r="I110" s="146" t="n"/>
      <c r="J110" s="146" t="n"/>
      <c r="K110" s="146" t="n"/>
      <c r="L110" s="146" t="n"/>
      <c r="M110" s="146" t="n"/>
      <c r="N110" s="218" t="n"/>
      <c r="O110" s="218" t="n"/>
      <c r="P110" s="218" t="n"/>
      <c r="Q110" s="146" t="inlineStr">
        <is>
          <t>VISITAS1 ESTATAL</t>
        </is>
      </c>
      <c r="R110" s="146" t="n"/>
      <c r="S110" s="146" t="n"/>
      <c r="T110" s="146" t="n"/>
      <c r="U110" s="146" t="n"/>
      <c r="V110" s="146" t="n"/>
      <c r="W110" s="146" t="n"/>
      <c r="X110" s="146" t="n"/>
      <c r="Y110" s="146" t="n"/>
      <c r="Z110" s="146" t="n"/>
      <c r="AA110" s="146" t="n"/>
      <c r="AB110" s="146" t="n"/>
      <c r="AC110" s="146" t="n"/>
      <c r="AD110" s="146" t="n"/>
      <c r="AE110" s="146" t="n"/>
      <c r="AF110" s="146" t="n"/>
      <c r="AG110" s="218" t="n"/>
      <c r="AH110" s="218" t="n"/>
      <c r="AI110" s="218" t="n"/>
      <c r="AJ110" s="218" t="n"/>
      <c r="AK110" s="218" t="n"/>
      <c r="AL110" s="218" t="n"/>
      <c r="AM110" s="218" t="n"/>
      <c r="AN110" s="218" t="n"/>
      <c r="AO110" s="218" t="n"/>
      <c r="AP110" s="218" t="n"/>
      <c r="AQ110" s="218" t="n"/>
      <c r="AR110" s="218" t="n"/>
      <c r="AS110" s="146" t="n">
        <v>15</v>
      </c>
      <c r="AT110" s="146" t="inlineStr">
        <is>
          <t>(15) ELABORACIÓN DEL PROYECTO DEL ACTA FINAL</t>
        </is>
      </c>
      <c r="AU110" s="146" t="n"/>
      <c r="AV110" s="146" t="n"/>
      <c r="AW110" s="146" t="n"/>
      <c r="AX110" s="146" t="n"/>
      <c r="AY110" s="146" t="n"/>
      <c r="AZ110" s="146" t="n"/>
      <c r="BA110" s="146" t="n"/>
      <c r="BB110" s="146" t="n"/>
      <c r="BC110" s="146" t="n"/>
      <c r="BD110" s="146" t="n"/>
      <c r="BE110" s="146" t="n"/>
      <c r="BF110" s="146" t="n"/>
      <c r="BG110" s="146" t="n"/>
      <c r="BH110" s="146" t="n"/>
      <c r="BI110" s="146" t="n"/>
      <c r="BJ110" s="146" t="n">
        <v>16</v>
      </c>
      <c r="BK110" s="146" t="inlineStr">
        <is>
          <t>SIEMBRA, CULTIVO Y COSECHA DE AVENA FORRAJERA</t>
        </is>
      </c>
      <c r="BL110" s="146" t="n"/>
      <c r="BM110" s="146" t="n"/>
      <c r="BN110" s="146" t="n"/>
      <c r="BO110" s="146" t="n"/>
      <c r="BP110" s="146" t="n"/>
      <c r="BQ110" s="146" t="n"/>
      <c r="BR110" s="146" t="n"/>
      <c r="BS110" s="146" t="n"/>
      <c r="BT110" s="218" t="n"/>
      <c r="BU110" s="218" t="n"/>
      <c r="BV110" s="218" t="n"/>
      <c r="BW110" s="218" t="n"/>
      <c r="BX110" s="218" t="n"/>
      <c r="BY110" s="218" t="n"/>
      <c r="BZ110" s="218" t="n"/>
      <c r="CA110" s="218" t="n"/>
      <c r="CB110" s="218" t="n"/>
      <c r="CC110" s="218" t="n"/>
      <c r="CD110" s="218" t="n"/>
      <c r="CE110" s="218" t="n"/>
      <c r="CF110" s="218" t="n"/>
      <c r="CG110" s="218" t="n"/>
      <c r="CH110" s="218" t="n"/>
      <c r="CI110" s="218" t="n"/>
      <c r="CJ110" s="218" t="n"/>
      <c r="CK110" s="218" t="n"/>
      <c r="CL110" s="218" t="n"/>
      <c r="CM110" s="218" t="n"/>
      <c r="CN110" s="218" t="n"/>
      <c r="CO110" s="218" t="n"/>
      <c r="CP110" s="218" t="n"/>
      <c r="CQ110" s="218" t="n"/>
      <c r="CR110" s="218" t="n"/>
      <c r="CS110" s="218" t="n"/>
      <c r="CT110" s="218" t="n"/>
      <c r="CU110" s="146" t="n">
        <v>2754</v>
      </c>
      <c r="CV110" s="146" t="inlineStr">
        <is>
          <t>ESPINOZA DEL TORO JORGE ALBERTO</t>
        </is>
      </c>
      <c r="CW110" s="218" t="n"/>
      <c r="CX110" s="218" t="n"/>
      <c r="CY110" s="146" t="inlineStr">
        <is>
          <t>13. Comercio Exterior</t>
        </is>
      </c>
      <c r="CZ110" s="146" t="n"/>
      <c r="DA110" s="218" t="n"/>
      <c r="DB110" s="146" t="inlineStr">
        <is>
          <t>2.5 Por intereses deducibles</t>
        </is>
      </c>
      <c r="DC110" s="146" t="n"/>
      <c r="DD110" s="146" t="n"/>
      <c r="DE110" s="146" t="n"/>
      <c r="DF110" s="146" t="n"/>
      <c r="DG110" s="146" t="n"/>
      <c r="DH110" s="146" t="n"/>
      <c r="DI110" s="146" t="n"/>
      <c r="DJ110" s="146" t="n"/>
      <c r="DK110" s="146" t="n"/>
      <c r="DL110" s="146" t="n"/>
      <c r="DM110" s="146" t="n"/>
      <c r="DN110" s="146" t="n"/>
      <c r="DO110" s="146" t="n"/>
      <c r="DP110" s="146" t="n"/>
      <c r="DQ110" s="146" t="n"/>
      <c r="DR110" s="146" t="n"/>
      <c r="DS110" s="146" t="n"/>
      <c r="DT110" s="146" t="n"/>
      <c r="DU110" s="146" t="n"/>
      <c r="DV110" s="146" t="n"/>
      <c r="DW110" s="146" t="n"/>
      <c r="DX110" s="146" t="n"/>
      <c r="DY110" s="146" t="n"/>
      <c r="DZ110" s="146" t="n"/>
      <c r="EA110" s="146" t="n"/>
      <c r="EB110" s="146" t="n"/>
      <c r="EC110" s="146" t="n"/>
      <c r="ED110" s="146" t="n"/>
      <c r="EE110" s="146" t="n"/>
    </row>
    <row r="111">
      <c r="A111" s="218" t="n"/>
      <c r="B111" s="218" t="n"/>
      <c r="C111" s="146" t="inlineStr">
        <is>
          <t>PFDI</t>
        </is>
      </c>
      <c r="D111" s="146" t="n"/>
      <c r="E111" s="146" t="n"/>
      <c r="F111" s="146" t="inlineStr">
        <is>
          <t>PF Demas Ingresos</t>
        </is>
      </c>
      <c r="G111" s="146" t="n"/>
      <c r="H111" s="146" t="n"/>
      <c r="I111" s="146" t="n"/>
      <c r="J111" s="146" t="n"/>
      <c r="K111" s="146" t="n"/>
      <c r="L111" s="146" t="n"/>
      <c r="M111" s="146" t="n"/>
      <c r="N111" s="218" t="n"/>
      <c r="O111" s="218" t="n"/>
      <c r="P111" s="218" t="n"/>
      <c r="Q111" s="146" t="inlineStr">
        <is>
          <t>VISITAS1 GABINETE</t>
        </is>
      </c>
      <c r="R111" s="146" t="n"/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6" t="n"/>
      <c r="AC111" s="146" t="n"/>
      <c r="AD111" s="146" t="n"/>
      <c r="AE111" s="146" t="n"/>
      <c r="AF111" s="146" t="n"/>
      <c r="AG111" s="218" t="n"/>
      <c r="AH111" s="218" t="n"/>
      <c r="AI111" s="218" t="n"/>
      <c r="AJ111" s="218" t="n"/>
      <c r="AK111" s="218" t="n"/>
      <c r="AL111" s="218" t="n"/>
      <c r="AM111" s="218" t="n"/>
      <c r="AN111" s="218" t="n"/>
      <c r="AO111" s="218" t="n"/>
      <c r="AP111" s="218" t="n"/>
      <c r="AQ111" s="218" t="n"/>
      <c r="AR111" s="218" t="n"/>
      <c r="AS111" s="146" t="n">
        <v>17</v>
      </c>
      <c r="AT111" s="146" t="inlineStr">
        <is>
          <t xml:space="preserve">(17) ELABORACIÓN DEL PROYECTO DEL OFICIO DE AMPLIACIÓN DE PLAZOS </t>
        </is>
      </c>
      <c r="AU111" s="146" t="n"/>
      <c r="AV111" s="146" t="n"/>
      <c r="AW111" s="146" t="n"/>
      <c r="AX111" s="146" t="n"/>
      <c r="AY111" s="146" t="n"/>
      <c r="AZ111" s="146" t="n"/>
      <c r="BA111" s="146" t="n"/>
      <c r="BB111" s="146" t="n"/>
      <c r="BC111" s="146" t="n"/>
      <c r="BD111" s="146" t="n"/>
      <c r="BE111" s="146" t="n"/>
      <c r="BF111" s="146" t="n"/>
      <c r="BG111" s="146" t="n"/>
      <c r="BH111" s="146" t="n"/>
      <c r="BI111" s="146" t="n"/>
      <c r="BJ111" s="146" t="n">
        <v>17</v>
      </c>
      <c r="BK111" s="146" t="inlineStr">
        <is>
          <t>SIEMBRA, CULTIVO Y COSECHA DE OTROS CEREALES</t>
        </is>
      </c>
      <c r="BL111" s="146" t="n"/>
      <c r="BM111" s="146" t="n"/>
      <c r="BN111" s="146" t="n"/>
      <c r="BO111" s="146" t="n"/>
      <c r="BP111" s="146" t="n"/>
      <c r="BQ111" s="146" t="n"/>
      <c r="BR111" s="146" t="n"/>
      <c r="BS111" s="146" t="n"/>
      <c r="BT111" s="218" t="n"/>
      <c r="BU111" s="218" t="n"/>
      <c r="BV111" s="218" t="n"/>
      <c r="BW111" s="218" t="n"/>
      <c r="BX111" s="218" t="n"/>
      <c r="BY111" s="218" t="n"/>
      <c r="BZ111" s="218" t="n"/>
      <c r="CA111" s="218" t="n"/>
      <c r="CB111" s="218" t="n"/>
      <c r="CC111" s="218" t="n"/>
      <c r="CD111" s="218" t="n"/>
      <c r="CE111" s="218" t="n"/>
      <c r="CF111" s="218" t="n"/>
      <c r="CG111" s="218" t="n"/>
      <c r="CH111" s="218" t="n"/>
      <c r="CI111" s="218" t="n"/>
      <c r="CJ111" s="218" t="n"/>
      <c r="CK111" s="218" t="n"/>
      <c r="CL111" s="218" t="n"/>
      <c r="CM111" s="218" t="n"/>
      <c r="CN111" s="218" t="n"/>
      <c r="CO111" s="218" t="n"/>
      <c r="CP111" s="218" t="n"/>
      <c r="CQ111" s="218" t="n"/>
      <c r="CR111" s="218" t="n"/>
      <c r="CS111" s="218" t="n"/>
      <c r="CT111" s="218" t="n"/>
      <c r="CU111" s="146" t="n">
        <v>2765</v>
      </c>
      <c r="CV111" s="146" t="inlineStr">
        <is>
          <t>MUÑOZ GUERRERO GABRIEL</t>
        </is>
      </c>
      <c r="CW111" s="218" t="n"/>
      <c r="CX111" s="218" t="n"/>
      <c r="CY111" s="146" t="inlineStr">
        <is>
          <t>14.  No expedir comprobantes fiscales</t>
        </is>
      </c>
      <c r="CZ111" s="146" t="n"/>
      <c r="DA111" s="218" t="n"/>
      <c r="DB111" s="146" t="inlineStr">
        <is>
          <t>2.6 Por perdida inflacionaria</t>
        </is>
      </c>
      <c r="DC111" s="146" t="n"/>
      <c r="DD111" s="146" t="n"/>
      <c r="DE111" s="146" t="n"/>
      <c r="DF111" s="146" t="n"/>
      <c r="DG111" s="146" t="n"/>
      <c r="DH111" s="146" t="n"/>
      <c r="DI111" s="146" t="n"/>
      <c r="DJ111" s="146" t="n"/>
      <c r="DK111" s="146" t="n"/>
      <c r="DL111" s="146" t="n"/>
      <c r="DM111" s="146" t="n"/>
      <c r="DN111" s="146" t="n"/>
      <c r="DO111" s="146" t="n"/>
      <c r="DP111" s="146" t="n"/>
      <c r="DQ111" s="146" t="n"/>
      <c r="DR111" s="146" t="n"/>
      <c r="DS111" s="146" t="n"/>
      <c r="DT111" s="146" t="n"/>
      <c r="DU111" s="146" t="n"/>
      <c r="DV111" s="146" t="n"/>
      <c r="DW111" s="146" t="n"/>
      <c r="DX111" s="146" t="n"/>
      <c r="DY111" s="146" t="n"/>
      <c r="DZ111" s="146" t="n"/>
      <c r="EA111" s="146" t="n"/>
      <c r="EB111" s="146" t="n"/>
      <c r="EC111" s="146" t="n"/>
      <c r="ED111" s="146" t="n"/>
      <c r="EE111" s="146" t="n"/>
    </row>
    <row r="112">
      <c r="A112" s="218" t="n"/>
      <c r="B112" s="218" t="n"/>
      <c r="N112" s="218" t="n"/>
      <c r="Q112" s="146" t="inlineStr">
        <is>
          <t>VISITAS2 F1</t>
        </is>
      </c>
      <c r="R112" s="146" t="n"/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6" t="n"/>
      <c r="AC112" s="146" t="n"/>
      <c r="AD112" s="146" t="n"/>
      <c r="AE112" s="146" t="n"/>
      <c r="AF112" s="146" t="n"/>
      <c r="AG112" s="218" t="n"/>
      <c r="AH112" s="218" t="n"/>
      <c r="AI112" s="218" t="n"/>
      <c r="AS112" s="146" t="n">
        <v>19</v>
      </c>
      <c r="AT112" s="146" t="inlineStr">
        <is>
          <t xml:space="preserve">(19) ELABORACIÓN DEL PROYECTO DE LIQUIDACION </t>
        </is>
      </c>
      <c r="AU112" s="146" t="n"/>
      <c r="AV112" s="146" t="n"/>
      <c r="AW112" s="146" t="n"/>
      <c r="AX112" s="146" t="n"/>
      <c r="AY112" s="146" t="n"/>
      <c r="AZ112" s="146" t="n"/>
      <c r="BA112" s="146" t="n"/>
      <c r="BB112" s="146" t="n"/>
      <c r="BC112" s="146" t="n"/>
      <c r="BD112" s="146" t="n"/>
      <c r="BE112" s="146" t="n"/>
      <c r="BF112" s="146" t="n"/>
      <c r="BG112" s="146" t="n"/>
      <c r="BH112" s="146" t="n"/>
      <c r="BI112" s="146" t="n"/>
      <c r="BJ112" s="146" t="n">
        <v>18</v>
      </c>
      <c r="BK112" s="146" t="inlineStr">
        <is>
          <t>SIEMBRA, CULTIVO Y COSECHA DE JITOMATE O TOMATE ROJO</t>
        </is>
      </c>
      <c r="BL112" s="146" t="n"/>
      <c r="BM112" s="146" t="n"/>
      <c r="BN112" s="146" t="n"/>
      <c r="BO112" s="146" t="n"/>
      <c r="BP112" s="146" t="n"/>
      <c r="BQ112" s="146" t="n"/>
      <c r="BR112" s="146" t="n"/>
      <c r="BS112" s="146" t="n"/>
      <c r="BT112" s="218" t="n"/>
      <c r="BU112" s="218" t="n"/>
      <c r="BV112" s="218" t="n"/>
      <c r="BW112" s="218" t="n"/>
      <c r="BX112" s="218" t="n"/>
      <c r="BY112" s="218" t="n"/>
      <c r="BZ112" s="218" t="n"/>
      <c r="CA112" s="218" t="n"/>
      <c r="CB112" s="218" t="n"/>
      <c r="CC112" s="218" t="n"/>
      <c r="CD112" s="218" t="n"/>
      <c r="CE112" s="218" t="n"/>
      <c r="CF112" s="218" t="n"/>
      <c r="CG112" s="218" t="n"/>
      <c r="CH112" s="218" t="n"/>
      <c r="CI112" s="218" t="n"/>
      <c r="CJ112" s="218" t="n"/>
      <c r="CK112" s="218" t="n"/>
      <c r="CL112" s="218" t="n"/>
      <c r="CM112" s="218" t="n"/>
      <c r="CN112" s="218" t="n"/>
      <c r="CO112" s="218" t="n"/>
      <c r="CP112" s="218" t="n"/>
      <c r="CQ112" s="218" t="n"/>
      <c r="CR112" s="218" t="n"/>
      <c r="CS112" s="218" t="n"/>
      <c r="CT112" s="218" t="n"/>
      <c r="CU112" s="146" t="n">
        <v>2770</v>
      </c>
      <c r="CV112" s="146" t="inlineStr">
        <is>
          <t>RAMIREZ PEREZ EDUARDO</t>
        </is>
      </c>
      <c r="CW112" s="218" t="n"/>
      <c r="CX112" s="218" t="n"/>
      <c r="CY112" s="146" t="inlineStr">
        <is>
          <t>15.  Expedir comprobantes fiscales sin requisitos</t>
        </is>
      </c>
      <c r="CZ112" s="146" t="n"/>
      <c r="DA112" s="218" t="n"/>
      <c r="DB112" s="146" t="inlineStr">
        <is>
          <t>2.7 De inversiones calculadas en exceso</t>
        </is>
      </c>
      <c r="DC112" s="146" t="n"/>
      <c r="DD112" s="146" t="n"/>
      <c r="DE112" s="146" t="n"/>
      <c r="DF112" s="146" t="n"/>
      <c r="DG112" s="146" t="n"/>
      <c r="DH112" s="146" t="n"/>
      <c r="DI112" s="146" t="n"/>
      <c r="DJ112" s="146" t="n"/>
      <c r="DK112" s="146" t="n"/>
      <c r="DL112" s="146" t="n"/>
      <c r="DM112" s="146" t="n"/>
      <c r="DN112" s="146" t="n"/>
      <c r="DO112" s="146" t="n"/>
      <c r="DP112" s="146" t="n"/>
      <c r="DQ112" s="146" t="n"/>
      <c r="DR112" s="146" t="n"/>
      <c r="DS112" s="146" t="n"/>
      <c r="DT112" s="146" t="n"/>
      <c r="DU112" s="146" t="n"/>
      <c r="DV112" s="146" t="n"/>
      <c r="DW112" s="146" t="n"/>
      <c r="DX112" s="146" t="n"/>
      <c r="DY112" s="146" t="n"/>
      <c r="DZ112" s="146" t="n"/>
      <c r="EA112" s="146" t="n"/>
      <c r="EB112" s="146" t="n"/>
      <c r="EC112" s="146" t="n"/>
      <c r="ED112" s="146" t="n"/>
      <c r="EE112" s="146" t="n"/>
    </row>
    <row r="113">
      <c r="A113" s="218" t="n"/>
      <c r="B113" s="218" t="n"/>
      <c r="C113" s="218" t="n"/>
      <c r="D113" s="218" t="n"/>
      <c r="E113" s="218" t="n"/>
      <c r="F113" s="218" t="n"/>
      <c r="G113" s="218" t="n"/>
      <c r="H113" s="218" t="n"/>
      <c r="I113" s="218" t="n"/>
      <c r="J113" s="218" t="n"/>
      <c r="K113" s="218" t="n"/>
      <c r="L113" s="218" t="n"/>
      <c r="M113" s="218" t="n"/>
      <c r="N113" s="218" t="n"/>
      <c r="Q113" s="146" t="inlineStr">
        <is>
          <t>VISITAS2 F2</t>
        </is>
      </c>
      <c r="R113" s="146" t="n"/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6" t="n"/>
      <c r="AC113" s="146" t="n"/>
      <c r="AD113" s="146" t="n"/>
      <c r="AE113" s="146" t="n"/>
      <c r="AF113" s="146" t="n"/>
      <c r="AG113" s="218" t="n"/>
      <c r="AH113" s="218" t="n"/>
      <c r="AI113" s="218" t="n"/>
      <c r="AS113" s="146" t="n">
        <v>21</v>
      </c>
      <c r="AT113" s="146" t="inlineStr">
        <is>
          <t>(21) VALORADO COMO LD (LAVADO DE DINERO)</t>
        </is>
      </c>
      <c r="AU113" s="146" t="n"/>
      <c r="AV113" s="146" t="n"/>
      <c r="AW113" s="146" t="n"/>
      <c r="AX113" s="146" t="n"/>
      <c r="AY113" s="146" t="n"/>
      <c r="AZ113" s="146" t="n"/>
      <c r="BA113" s="146" t="n"/>
      <c r="BB113" s="146" t="n"/>
      <c r="BC113" s="146" t="n"/>
      <c r="BD113" s="146" t="n"/>
      <c r="BE113" s="146" t="n"/>
      <c r="BF113" s="146" t="n"/>
      <c r="BG113" s="146" t="n"/>
      <c r="BH113" s="146" t="n"/>
      <c r="BI113" s="146" t="n"/>
      <c r="BJ113" s="146" t="n">
        <v>19</v>
      </c>
      <c r="BK113" s="146" t="inlineStr">
        <is>
          <t>SIEMBRA, CULTIVO Y COSECHA DE CHILE</t>
        </is>
      </c>
      <c r="BL113" s="146" t="n"/>
      <c r="BM113" s="146" t="n"/>
      <c r="BN113" s="146" t="n"/>
      <c r="BO113" s="146" t="n"/>
      <c r="BP113" s="146" t="n"/>
      <c r="BQ113" s="146" t="n"/>
      <c r="BR113" s="146" t="n"/>
      <c r="BS113" s="146" t="n"/>
      <c r="BT113" s="218" t="n"/>
      <c r="BU113" s="218" t="n"/>
      <c r="BV113" s="218" t="n"/>
      <c r="BW113" s="218" t="n"/>
      <c r="BX113" s="218" t="n"/>
      <c r="BY113" s="218" t="n"/>
      <c r="BZ113" s="218" t="n"/>
      <c r="CA113" s="218" t="n"/>
      <c r="CB113" s="218" t="n"/>
      <c r="CC113" s="218" t="n"/>
      <c r="CD113" s="218" t="n"/>
      <c r="CE113" s="218" t="n"/>
      <c r="CF113" s="218" t="n"/>
      <c r="CG113" s="218" t="n"/>
      <c r="CH113" s="218" t="n"/>
      <c r="CI113" s="218" t="n"/>
      <c r="CJ113" s="218" t="n"/>
      <c r="CK113" s="218" t="n"/>
      <c r="CL113" s="218" t="n"/>
      <c r="CM113" s="218" t="n"/>
      <c r="CN113" s="218" t="n"/>
      <c r="CO113" s="218" t="n"/>
      <c r="CP113" s="218" t="n"/>
      <c r="CQ113" s="218" t="n"/>
      <c r="CR113" s="218" t="n"/>
      <c r="CS113" s="218" t="n"/>
      <c r="CT113" s="218" t="n"/>
      <c r="CU113" s="146" t="n">
        <v>2785</v>
      </c>
      <c r="CV113" s="146" t="inlineStr">
        <is>
          <t xml:space="preserve">CRUZ HERRERA VICENTE DE LA </t>
        </is>
      </c>
      <c r="CW113" s="218" t="n"/>
      <c r="CX113" s="218" t="n"/>
      <c r="CY113" s="146" t="inlineStr">
        <is>
          <t>16.  Impuestos omitidos por espectáculos públicos</t>
        </is>
      </c>
      <c r="CZ113" s="146" t="n"/>
      <c r="DA113" s="218" t="n"/>
      <c r="DB113" s="146" t="inlineStr">
        <is>
          <t>3.1 De documentación expedida por actividades propias</t>
        </is>
      </c>
      <c r="DC113" s="146" t="n"/>
      <c r="DD113" s="146" t="n"/>
      <c r="DE113" s="146" t="n"/>
      <c r="DF113" s="146" t="n"/>
      <c r="DG113" s="146" t="n"/>
      <c r="DH113" s="146" t="n"/>
      <c r="DI113" s="146" t="n"/>
      <c r="DJ113" s="146" t="n"/>
      <c r="DK113" s="146" t="n"/>
      <c r="DL113" s="146" t="n"/>
      <c r="DM113" s="146" t="n"/>
      <c r="DN113" s="146" t="n"/>
      <c r="DO113" s="146" t="n"/>
      <c r="DP113" s="146" t="n"/>
      <c r="DQ113" s="146" t="n"/>
      <c r="DR113" s="146" t="n"/>
      <c r="DS113" s="146" t="n"/>
      <c r="DT113" s="146" t="n"/>
      <c r="DU113" s="146" t="n"/>
      <c r="DV113" s="146" t="n"/>
      <c r="DW113" s="146" t="n"/>
      <c r="DX113" s="146" t="n"/>
      <c r="DY113" s="146" t="n"/>
      <c r="DZ113" s="146" t="n"/>
      <c r="EA113" s="146" t="n"/>
      <c r="EB113" s="146" t="n"/>
      <c r="EC113" s="146" t="n"/>
      <c r="ED113" s="146" t="n"/>
      <c r="EE113" s="146" t="n"/>
    </row>
    <row r="114">
      <c r="A114" s="218" t="n"/>
      <c r="B114" s="218" t="n"/>
      <c r="C114" s="145" t="inlineStr">
        <is>
          <t>Documento de Terminación</t>
        </is>
      </c>
      <c r="D114" s="146" t="n"/>
      <c r="E114" s="146" t="n"/>
      <c r="F114" s="146" t="n"/>
      <c r="G114" s="146" t="n"/>
      <c r="H114" s="146" t="n"/>
      <c r="I114" s="146" t="n"/>
      <c r="J114" s="146" t="n"/>
      <c r="K114" s="146" t="n"/>
      <c r="L114" s="218" t="n"/>
      <c r="M114" s="218" t="n"/>
      <c r="N114" s="218" t="n"/>
      <c r="Q114" s="146" t="inlineStr">
        <is>
          <t>VISITAS2 CDGU</t>
        </is>
      </c>
      <c r="R114" s="146" t="n"/>
      <c r="S114" s="151" t="n"/>
      <c r="T114" s="151" t="n"/>
      <c r="U114" s="151" t="n"/>
      <c r="V114" s="151" t="n"/>
      <c r="W114" s="151" t="n"/>
      <c r="X114" s="151" t="n"/>
      <c r="Y114" s="151" t="n"/>
      <c r="Z114" s="151" t="n"/>
      <c r="AA114" s="151" t="n"/>
      <c r="AB114" s="151" t="n"/>
      <c r="AC114" s="151" t="n"/>
      <c r="AD114" s="151" t="n"/>
      <c r="AE114" s="151" t="n"/>
      <c r="AF114" s="151" t="n"/>
      <c r="AG114" s="218" t="n"/>
      <c r="AH114" s="218" t="n"/>
      <c r="AI114" s="218" t="n"/>
      <c r="AS114" s="146" t="n">
        <v>22</v>
      </c>
      <c r="AT114" s="146" t="inlineStr">
        <is>
          <t>(22) VALORADO COMO DT (DEFRAUDACIÓN FISCAL)</t>
        </is>
      </c>
      <c r="AU114" s="146" t="n"/>
      <c r="AV114" s="146" t="n"/>
      <c r="AW114" s="146" t="n"/>
      <c r="AX114" s="146" t="n"/>
      <c r="AY114" s="146" t="n"/>
      <c r="AZ114" s="146" t="n"/>
      <c r="BA114" s="146" t="n"/>
      <c r="BB114" s="146" t="n"/>
      <c r="BC114" s="146" t="n"/>
      <c r="BD114" s="146" t="n"/>
      <c r="BE114" s="146" t="n"/>
      <c r="BF114" s="146" t="n"/>
      <c r="BG114" s="146" t="n"/>
      <c r="BH114" s="146" t="n"/>
      <c r="BI114" s="146" t="n"/>
      <c r="BJ114" s="146" t="n">
        <v>20</v>
      </c>
      <c r="BK114" s="146" t="inlineStr">
        <is>
          <t>SIEMBRA, CULTIVO Y COSECHA DE CEBOLLA</t>
        </is>
      </c>
      <c r="BL114" s="146" t="n"/>
      <c r="BM114" s="146" t="n"/>
      <c r="BN114" s="146" t="n"/>
      <c r="BO114" s="146" t="n"/>
      <c r="BP114" s="146" t="n"/>
      <c r="BQ114" s="146" t="n"/>
      <c r="BR114" s="146" t="n"/>
      <c r="BS114" s="146" t="n"/>
      <c r="BT114" s="218" t="n"/>
      <c r="BU114" s="218" t="n"/>
      <c r="BV114" s="218" t="n"/>
      <c r="BW114" s="218" t="n"/>
      <c r="BX114" s="218" t="n"/>
      <c r="BY114" s="218" t="n"/>
      <c r="BZ114" s="218" t="n"/>
      <c r="CA114" s="218" t="n"/>
      <c r="CB114" s="218" t="n"/>
      <c r="CC114" s="218" t="n"/>
      <c r="CD114" s="218" t="n"/>
      <c r="CE114" s="218" t="n"/>
      <c r="CF114" s="218" t="n"/>
      <c r="CG114" s="218" t="n"/>
      <c r="CH114" s="218" t="n"/>
      <c r="CI114" s="218" t="n"/>
      <c r="CJ114" s="218" t="n"/>
      <c r="CK114" s="218" t="n"/>
      <c r="CL114" s="218" t="n"/>
      <c r="CM114" s="218" t="n"/>
      <c r="CN114" s="218" t="n"/>
      <c r="CO114" s="218" t="n"/>
      <c r="CP114" s="218" t="n"/>
      <c r="CQ114" s="218" t="n"/>
      <c r="CR114" s="218" t="n"/>
      <c r="CS114" s="218" t="n"/>
      <c r="CT114" s="218" t="n"/>
      <c r="CU114" s="146" t="n">
        <v>2786</v>
      </c>
      <c r="CV114" s="146" t="inlineStr">
        <is>
          <t>GOMEZ HERNANDEZ JUAN JOSE</t>
        </is>
      </c>
      <c r="CW114" s="218" t="n"/>
      <c r="CX114" s="218" t="n"/>
      <c r="CY114" s="146" t="inlineStr">
        <is>
          <t>17.  Diferencias de impuestos por pagar dictaminadas</t>
        </is>
      </c>
      <c r="CZ114" s="146" t="n"/>
      <c r="DA114" s="218" t="n"/>
      <c r="DB114" s="146" t="inlineStr">
        <is>
          <t>3.2 De cuentas bancarias</t>
        </is>
      </c>
      <c r="DC114" s="146" t="n"/>
      <c r="DD114" s="146" t="n"/>
      <c r="DE114" s="146" t="n"/>
      <c r="DF114" s="146" t="n"/>
      <c r="DG114" s="146" t="n"/>
      <c r="DH114" s="146" t="n"/>
      <c r="DI114" s="146" t="n"/>
      <c r="DJ114" s="146" t="n"/>
      <c r="DK114" s="146" t="n"/>
      <c r="DL114" s="146" t="n"/>
      <c r="DM114" s="146" t="n"/>
      <c r="DN114" s="146" t="n"/>
      <c r="DO114" s="146" t="n"/>
      <c r="DP114" s="146" t="n"/>
      <c r="DQ114" s="146" t="n"/>
      <c r="DR114" s="146" t="n"/>
      <c r="DS114" s="146" t="n"/>
      <c r="DT114" s="146" t="n"/>
      <c r="DU114" s="146" t="n"/>
      <c r="DV114" s="146" t="n"/>
      <c r="DW114" s="146" t="n"/>
      <c r="DX114" s="146" t="n"/>
      <c r="DY114" s="146" t="n"/>
      <c r="DZ114" s="146" t="n"/>
      <c r="EA114" s="146" t="n"/>
      <c r="EB114" s="146" t="n"/>
      <c r="EC114" s="146" t="n"/>
      <c r="ED114" s="146" t="n"/>
      <c r="EE114" s="146" t="n"/>
    </row>
    <row r="115">
      <c r="A115" s="218" t="n"/>
      <c r="B115" s="218" t="n"/>
      <c r="C115" s="146" t="inlineStr">
        <is>
          <t>ACTA FINAL</t>
        </is>
      </c>
      <c r="D115" s="146" t="n"/>
      <c r="E115" s="146" t="n"/>
      <c r="F115" s="146" t="n"/>
      <c r="G115" s="146" t="n"/>
      <c r="H115" s="146" t="n"/>
      <c r="I115" s="146" t="n"/>
      <c r="J115" s="146" t="n"/>
      <c r="K115" s="146" t="n"/>
      <c r="L115" s="218" t="n"/>
      <c r="M115" s="218" t="n"/>
      <c r="N115" s="218" t="n"/>
      <c r="Q115" s="146" t="inlineStr">
        <is>
          <t>VISITAS2 LAMO</t>
        </is>
      </c>
      <c r="R115" s="146" t="n"/>
      <c r="S115" s="151" t="n"/>
      <c r="T115" s="151" t="n"/>
      <c r="U115" s="151" t="n"/>
      <c r="V115" s="151" t="n"/>
      <c r="W115" s="151" t="n"/>
      <c r="X115" s="151" t="n"/>
      <c r="Y115" s="151" t="n"/>
      <c r="Z115" s="151" t="n"/>
      <c r="AA115" s="151" t="n"/>
      <c r="AB115" s="151" t="n"/>
      <c r="AC115" s="151" t="n"/>
      <c r="AD115" s="151" t="n"/>
      <c r="AE115" s="151" t="n"/>
      <c r="AF115" s="151" t="n"/>
      <c r="AS115" s="146" t="n">
        <v>23</v>
      </c>
      <c r="AT115" s="146" t="inlineStr">
        <is>
          <t>(23) SUSPENSIÓN DEL PLAZO POR DESAPARICIÓN DEL CONTRIBUYENTE</t>
        </is>
      </c>
      <c r="AU115" s="146" t="n"/>
      <c r="AV115" s="146" t="n"/>
      <c r="AW115" s="146" t="n"/>
      <c r="AX115" s="146" t="n"/>
      <c r="AY115" s="146" t="n"/>
      <c r="AZ115" s="146" t="n"/>
      <c r="BA115" s="146" t="n"/>
      <c r="BB115" s="146" t="n"/>
      <c r="BC115" s="146" t="n"/>
      <c r="BD115" s="146" t="n"/>
      <c r="BE115" s="146" t="n"/>
      <c r="BF115" s="146" t="n"/>
      <c r="BG115" s="146" t="n"/>
      <c r="BH115" s="146" t="n"/>
      <c r="BI115" s="146" t="n"/>
      <c r="BJ115" s="146" t="n">
        <v>21</v>
      </c>
      <c r="BK115" s="146" t="inlineStr">
        <is>
          <t>SIEMBRA, CULTIVO Y COSECHA DE MELON O SANDIA</t>
        </is>
      </c>
      <c r="BL115" s="146" t="n"/>
      <c r="BM115" s="146" t="n"/>
      <c r="BN115" s="146" t="n"/>
      <c r="BO115" s="146" t="n"/>
      <c r="BP115" s="146" t="n"/>
      <c r="BQ115" s="146" t="n"/>
      <c r="BR115" s="146" t="n"/>
      <c r="BS115" s="146" t="n"/>
      <c r="BT115" s="218" t="n"/>
      <c r="BU115" s="218" t="n"/>
      <c r="BV115" s="218" t="n"/>
      <c r="BW115" s="218" t="n"/>
      <c r="BX115" s="218" t="n"/>
      <c r="BY115" s="218" t="n"/>
      <c r="BZ115" s="218" t="n"/>
      <c r="CA115" s="218" t="n"/>
      <c r="CB115" s="218" t="n"/>
      <c r="CC115" s="218" t="n"/>
      <c r="CD115" s="218" t="n"/>
      <c r="CE115" s="218" t="n"/>
      <c r="CF115" s="218" t="n"/>
      <c r="CG115" s="218" t="n"/>
      <c r="CH115" s="218" t="n"/>
      <c r="CI115" s="218" t="n"/>
      <c r="CJ115" s="218" t="n"/>
      <c r="CK115" s="218" t="n"/>
      <c r="CL115" s="218" t="n"/>
      <c r="CM115" s="218" t="n"/>
      <c r="CN115" s="218" t="n"/>
      <c r="CO115" s="218" t="n"/>
      <c r="CP115" s="218" t="n"/>
      <c r="CQ115" s="218" t="n"/>
      <c r="CR115" s="218" t="n"/>
      <c r="CS115" s="218" t="n"/>
      <c r="CT115" s="218" t="n"/>
      <c r="CU115" s="146" t="n">
        <v>2787</v>
      </c>
      <c r="CV115" s="146" t="inlineStr">
        <is>
          <t>MACIAS SANCHEZ MARCOS</t>
        </is>
      </c>
      <c r="CW115" s="218" t="n"/>
      <c r="CX115" s="218" t="n"/>
      <c r="CY115" s="146" t="inlineStr">
        <is>
          <t>18.  Régimen de tributación incorrecto</t>
        </is>
      </c>
      <c r="CZ115" s="146" t="n"/>
      <c r="DA115" s="218" t="n"/>
      <c r="DB115" s="146" t="inlineStr">
        <is>
          <t>3.3 Según compulsas</t>
        </is>
      </c>
      <c r="DC115" s="146" t="n"/>
      <c r="DD115" s="146" t="n"/>
      <c r="DE115" s="146" t="n"/>
      <c r="DF115" s="146" t="n"/>
      <c r="DG115" s="146" t="n"/>
      <c r="DH115" s="146" t="n"/>
      <c r="DI115" s="146" t="n"/>
      <c r="DJ115" s="146" t="n"/>
      <c r="DK115" s="146" t="n"/>
      <c r="DL115" s="146" t="n"/>
      <c r="DM115" s="146" t="n"/>
      <c r="DN115" s="146" t="n"/>
      <c r="DO115" s="146" t="n"/>
      <c r="DP115" s="146" t="n"/>
      <c r="DQ115" s="146" t="n"/>
      <c r="DR115" s="146" t="n"/>
      <c r="DS115" s="146" t="n"/>
      <c r="DT115" s="146" t="n"/>
      <c r="DU115" s="146" t="n"/>
      <c r="DV115" s="146" t="n"/>
      <c r="DW115" s="146" t="n"/>
      <c r="DX115" s="146" t="n"/>
      <c r="DY115" s="146" t="n"/>
      <c r="DZ115" s="146" t="n"/>
      <c r="EA115" s="146" t="n"/>
      <c r="EB115" s="146" t="n"/>
      <c r="EC115" s="146" t="n"/>
      <c r="ED115" s="146" t="n"/>
      <c r="EE115" s="146" t="n"/>
    </row>
    <row r="116">
      <c r="A116" s="218" t="n"/>
      <c r="B116" s="218" t="n"/>
      <c r="C116" s="146" t="inlineStr">
        <is>
          <t>OFICIO DE OBSERVACIONES</t>
        </is>
      </c>
      <c r="D116" s="146" t="n"/>
      <c r="E116" s="146" t="n"/>
      <c r="F116" s="146" t="n"/>
      <c r="G116" s="146" t="n"/>
      <c r="H116" s="146" t="n"/>
      <c r="I116" s="146" t="n"/>
      <c r="J116" s="146" t="n"/>
      <c r="K116" s="146" t="n"/>
      <c r="L116" s="218" t="n"/>
      <c r="M116" s="218" t="n"/>
      <c r="N116" s="218" t="n"/>
      <c r="Q116" s="146" t="inlineStr">
        <is>
          <t>VISITAS2 PTOV</t>
        </is>
      </c>
      <c r="R116" s="146" t="n"/>
      <c r="S116" s="151" t="n"/>
      <c r="T116" s="151" t="n"/>
      <c r="U116" s="151" t="n"/>
      <c r="V116" s="151" t="n"/>
      <c r="W116" s="151" t="n"/>
      <c r="X116" s="151" t="n"/>
      <c r="Y116" s="151" t="n"/>
      <c r="Z116" s="151" t="n"/>
      <c r="AA116" s="151" t="n"/>
      <c r="AB116" s="151" t="n"/>
      <c r="AC116" s="151" t="n"/>
      <c r="AD116" s="151" t="n"/>
      <c r="AE116" s="151" t="n"/>
      <c r="AF116" s="151" t="n"/>
      <c r="AS116" s="146" t="n">
        <v>24</v>
      </c>
      <c r="AT116" s="146" t="inlineStr">
        <is>
          <t>(24) CONTINUACION DE PROCEDIMIENTOS VIA ESTRADOS</t>
        </is>
      </c>
      <c r="AU116" s="146" t="n"/>
      <c r="AV116" s="146" t="n"/>
      <c r="AW116" s="146" t="n"/>
      <c r="AX116" s="146" t="n"/>
      <c r="AY116" s="146" t="n"/>
      <c r="AZ116" s="146" t="n"/>
      <c r="BA116" s="146" t="n"/>
      <c r="BB116" s="146" t="n"/>
      <c r="BC116" s="146" t="n"/>
      <c r="BD116" s="146" t="n"/>
      <c r="BE116" s="146" t="n"/>
      <c r="BF116" s="146" t="n"/>
      <c r="BG116" s="146" t="n"/>
      <c r="BH116" s="146" t="n"/>
      <c r="BI116" s="146" t="n"/>
      <c r="BJ116" s="146" t="n">
        <v>22</v>
      </c>
      <c r="BK116" s="146" t="inlineStr">
        <is>
          <t>SIEMBRA, CULTIVO Y COSECHA DE TOMATE VERDE</t>
        </is>
      </c>
      <c r="BL116" s="146" t="n"/>
      <c r="BM116" s="146" t="n"/>
      <c r="BN116" s="146" t="n"/>
      <c r="BO116" s="146" t="n"/>
      <c r="BP116" s="146" t="n"/>
      <c r="BQ116" s="146" t="n"/>
      <c r="BR116" s="146" t="n"/>
      <c r="BS116" s="146" t="n"/>
      <c r="BT116" s="218" t="n"/>
      <c r="BU116" s="218" t="n"/>
      <c r="BV116" s="218" t="n"/>
      <c r="BW116" s="218" t="n"/>
      <c r="BX116" s="218" t="n"/>
      <c r="BY116" s="218" t="n"/>
      <c r="BZ116" s="218" t="n"/>
      <c r="CA116" s="218" t="n"/>
      <c r="CB116" s="218" t="n"/>
      <c r="CC116" s="218" t="n"/>
      <c r="CD116" s="218" t="n"/>
      <c r="CE116" s="218" t="n"/>
      <c r="CF116" s="218" t="n"/>
      <c r="CG116" s="218" t="n"/>
      <c r="CH116" s="218" t="n"/>
      <c r="CI116" s="218" t="n"/>
      <c r="CJ116" s="218" t="n"/>
      <c r="CK116" s="218" t="n"/>
      <c r="CL116" s="218" t="n"/>
      <c r="CM116" s="218" t="n"/>
      <c r="CN116" s="218" t="n"/>
      <c r="CO116" s="218" t="n"/>
      <c r="CP116" s="218" t="n"/>
      <c r="CQ116" s="218" t="n"/>
      <c r="CR116" s="218" t="n"/>
      <c r="CS116" s="218" t="n"/>
      <c r="CT116" s="218" t="n"/>
      <c r="CU116" s="146" t="n">
        <v>2788</v>
      </c>
      <c r="CV116" s="146" t="inlineStr">
        <is>
          <t>MORALES LUIS JUAN CARLOS</t>
        </is>
      </c>
      <c r="CW116" s="218" t="n"/>
      <c r="CX116" s="218" t="n"/>
      <c r="CY116" s="146" t="inlineStr">
        <is>
          <t>19.  Pagos anteriores o posteriores al ejercicio revisado</t>
        </is>
      </c>
      <c r="CZ116" s="146" t="n"/>
      <c r="DA116" s="218" t="n"/>
      <c r="DB116" s="146" t="inlineStr">
        <is>
          <t>3.4 Determinada por presuntiva</t>
        </is>
      </c>
      <c r="DC116" s="146" t="n"/>
      <c r="DD116" s="146" t="n"/>
      <c r="DE116" s="146" t="n"/>
      <c r="DF116" s="146" t="n"/>
      <c r="DG116" s="146" t="n"/>
      <c r="DH116" s="146" t="n"/>
      <c r="DI116" s="146" t="n"/>
      <c r="DJ116" s="146" t="n"/>
      <c r="DK116" s="146" t="n"/>
      <c r="DL116" s="146" t="n"/>
      <c r="DM116" s="146" t="n"/>
      <c r="DN116" s="146" t="n"/>
      <c r="DO116" s="146" t="n"/>
      <c r="DP116" s="146" t="n"/>
      <c r="DQ116" s="146" t="n"/>
      <c r="DR116" s="146" t="n"/>
      <c r="DS116" s="146" t="n"/>
      <c r="DT116" s="146" t="n"/>
      <c r="DU116" s="146" t="n"/>
      <c r="DV116" s="146" t="n"/>
      <c r="DW116" s="146" t="n"/>
      <c r="DX116" s="146" t="n"/>
      <c r="DY116" s="146" t="n"/>
      <c r="DZ116" s="146" t="n"/>
      <c r="EA116" s="146" t="n"/>
      <c r="EB116" s="146" t="n"/>
      <c r="EC116" s="146" t="n"/>
      <c r="ED116" s="146" t="n"/>
      <c r="EE116" s="146" t="n"/>
    </row>
    <row r="117">
      <c r="A117" s="218" t="n"/>
      <c r="B117" s="218" t="n"/>
      <c r="C117" s="146" t="inlineStr">
        <is>
          <t>OFICIO DE CONCLUSION</t>
        </is>
      </c>
      <c r="D117" s="146" t="n"/>
      <c r="E117" s="146" t="n"/>
      <c r="F117" s="146" t="n"/>
      <c r="G117" s="146" t="n"/>
      <c r="H117" s="146" t="n"/>
      <c r="I117" s="146" t="n"/>
      <c r="J117" s="146" t="n"/>
      <c r="K117" s="146" t="n"/>
      <c r="L117" s="218" t="n"/>
      <c r="M117" s="218" t="n"/>
      <c r="N117" s="218" t="n"/>
      <c r="AS117" s="146" t="n">
        <v>25</v>
      </c>
      <c r="AT117" s="146" t="inlineStr">
        <is>
          <t>(25) EN ESPERA DE RESPUESTA DE CONSULTA EFECTUADA AL NIVEL CENTRAL</t>
        </is>
      </c>
      <c r="AU117" s="146" t="n"/>
      <c r="AV117" s="146" t="n"/>
      <c r="AW117" s="146" t="n"/>
      <c r="AX117" s="146" t="n"/>
      <c r="AY117" s="146" t="n"/>
      <c r="AZ117" s="146" t="n"/>
      <c r="BA117" s="146" t="n"/>
      <c r="BB117" s="146" t="n"/>
      <c r="BC117" s="146" t="n"/>
      <c r="BD117" s="146" t="n"/>
      <c r="BE117" s="146" t="n"/>
      <c r="BF117" s="146" t="n"/>
      <c r="BG117" s="146" t="n"/>
      <c r="BH117" s="146" t="n"/>
      <c r="BI117" s="146" t="n"/>
      <c r="BJ117" s="146" t="n">
        <v>23</v>
      </c>
      <c r="BK117" s="146" t="inlineStr">
        <is>
          <t>SIEMBRA, CULTIVO Y COSECHA DE PAPA</t>
        </is>
      </c>
      <c r="BL117" s="146" t="n"/>
      <c r="BM117" s="146" t="n"/>
      <c r="BN117" s="146" t="n"/>
      <c r="BO117" s="146" t="n"/>
      <c r="BP117" s="146" t="n"/>
      <c r="BQ117" s="146" t="n"/>
      <c r="BR117" s="146" t="n"/>
      <c r="BS117" s="146" t="n"/>
      <c r="BT117" s="218" t="n"/>
      <c r="BU117" s="218" t="n"/>
      <c r="BV117" s="218" t="n"/>
      <c r="BW117" s="218" t="n"/>
      <c r="BX117" s="218" t="n"/>
      <c r="BY117" s="218" t="n"/>
      <c r="BZ117" s="218" t="n"/>
      <c r="CA117" s="218" t="n"/>
      <c r="CB117" s="218" t="n"/>
      <c r="CC117" s="218" t="n"/>
      <c r="CD117" s="218" t="n"/>
      <c r="CE117" s="218" t="n"/>
      <c r="CF117" s="218" t="n"/>
      <c r="CG117" s="218" t="n"/>
      <c r="CH117" s="218" t="n"/>
      <c r="CI117" s="218" t="n"/>
      <c r="CJ117" s="218" t="n"/>
      <c r="CK117" s="218" t="n"/>
      <c r="CL117" s="218" t="n"/>
      <c r="CM117" s="218" t="n"/>
      <c r="CN117" s="218" t="n"/>
      <c r="CO117" s="218" t="n"/>
      <c r="CP117" s="218" t="n"/>
      <c r="CQ117" s="218" t="n"/>
      <c r="CR117" s="218" t="n"/>
      <c r="CS117" s="218" t="n"/>
      <c r="CT117" s="218" t="n"/>
      <c r="CU117" s="146" t="n">
        <v>2789</v>
      </c>
      <c r="CV117" s="146" t="inlineStr">
        <is>
          <t>MORALES VELOZ MARGARITA</t>
        </is>
      </c>
      <c r="CW117" s="218" t="n"/>
      <c r="CX117" s="218" t="n"/>
      <c r="CY117" s="146" t="inlineStr">
        <is>
          <t>20.  Actualización indebida de pérdidas fiscales</t>
        </is>
      </c>
      <c r="CZ117" s="146" t="n"/>
      <c r="DA117" s="218" t="n"/>
      <c r="DB117" s="146" t="inlineStr">
        <is>
          <t>3.5 De importaciones</t>
        </is>
      </c>
      <c r="DC117" s="146" t="n"/>
      <c r="DD117" s="146" t="n"/>
      <c r="DE117" s="146" t="n"/>
      <c r="DF117" s="146" t="n"/>
      <c r="DG117" s="146" t="n"/>
      <c r="DH117" s="146" t="n"/>
      <c r="DI117" s="146" t="n"/>
      <c r="DJ117" s="146" t="n"/>
      <c r="DK117" s="146" t="n"/>
      <c r="DL117" s="146" t="n"/>
      <c r="DM117" s="146" t="n"/>
      <c r="DN117" s="146" t="n"/>
      <c r="DO117" s="146" t="n"/>
      <c r="DP117" s="146" t="n"/>
      <c r="DQ117" s="146" t="n"/>
      <c r="DR117" s="146" t="n"/>
      <c r="DS117" s="146" t="n"/>
      <c r="DT117" s="146" t="n"/>
      <c r="DU117" s="146" t="n"/>
      <c r="DV117" s="146" t="n"/>
      <c r="DW117" s="146" t="n"/>
      <c r="DX117" s="146" t="n"/>
      <c r="DY117" s="146" t="n"/>
      <c r="DZ117" s="146" t="n"/>
      <c r="EA117" s="146" t="n"/>
      <c r="EB117" s="146" t="n"/>
      <c r="EC117" s="146" t="n"/>
      <c r="ED117" s="146" t="n"/>
      <c r="EE117" s="146" t="n"/>
    </row>
    <row r="118">
      <c r="A118" s="218" t="n"/>
      <c r="B118" s="218" t="n"/>
      <c r="C118" s="146" t="inlineStr">
        <is>
          <t>OFICIO DE LIQUIDACION</t>
        </is>
      </c>
      <c r="D118" s="146" t="n"/>
      <c r="E118" s="146" t="n"/>
      <c r="F118" s="146" t="n"/>
      <c r="G118" s="146" t="n"/>
      <c r="H118" s="146" t="n"/>
      <c r="I118" s="146" t="n"/>
      <c r="J118" s="146" t="n"/>
      <c r="K118" s="146" t="n"/>
      <c r="L118" s="218" t="n"/>
      <c r="M118" s="218" t="n"/>
      <c r="N118" s="218" t="n"/>
      <c r="O118" s="218" t="n"/>
      <c r="P118" s="218" t="n"/>
      <c r="Q118" s="145" t="inlineStr">
        <is>
          <t>Causa de Sin Observaciones</t>
        </is>
      </c>
      <c r="R118" s="146" t="n"/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6" t="n"/>
      <c r="AC118" s="146" t="n"/>
      <c r="AD118" s="146" t="n"/>
      <c r="AE118" s="146" t="n"/>
      <c r="AF118" s="146" t="n"/>
      <c r="AG118" s="146" t="n"/>
      <c r="AH118" s="146" t="n"/>
      <c r="AI118" s="146" t="n"/>
      <c r="AJ118" s="146" t="n"/>
      <c r="AK118" s="146" t="n"/>
      <c r="AL118" s="146" t="n"/>
      <c r="AM118" s="146" t="n"/>
      <c r="AN118" s="146" t="n"/>
      <c r="AO118" s="146" t="n"/>
      <c r="AP118" s="146" t="n"/>
      <c r="AQ118" s="218" t="n"/>
      <c r="AR118" s="218" t="n"/>
      <c r="AS118" s="146" t="n">
        <v>26</v>
      </c>
      <c r="AT118" s="146" t="inlineStr">
        <is>
          <t>(26) SOLICITUD DE INFORMACIÓN A OTRAS INSTANCIAS</t>
        </is>
      </c>
      <c r="AU118" s="146" t="n"/>
      <c r="AV118" s="146" t="n"/>
      <c r="AW118" s="146" t="n"/>
      <c r="AX118" s="146" t="n"/>
      <c r="AY118" s="146" t="n"/>
      <c r="AZ118" s="146" t="n"/>
      <c r="BA118" s="146" t="n"/>
      <c r="BB118" s="146" t="n"/>
      <c r="BC118" s="146" t="n"/>
      <c r="BD118" s="146" t="n"/>
      <c r="BE118" s="146" t="n"/>
      <c r="BF118" s="146" t="n"/>
      <c r="BG118" s="146" t="n"/>
      <c r="BH118" s="146" t="n"/>
      <c r="BI118" s="146" t="n"/>
      <c r="BJ118" s="146" t="n">
        <v>24</v>
      </c>
      <c r="BK118" s="146" t="inlineStr">
        <is>
          <t>SIEMBRA, CULTIVO Y COSECHA DE CALABACITA</t>
        </is>
      </c>
      <c r="BL118" s="146" t="n"/>
      <c r="BM118" s="146" t="n"/>
      <c r="BN118" s="146" t="n"/>
      <c r="BO118" s="146" t="n"/>
      <c r="BP118" s="146" t="n"/>
      <c r="BQ118" s="146" t="n"/>
      <c r="BR118" s="146" t="n"/>
      <c r="BS118" s="146" t="n"/>
      <c r="BT118" s="218" t="n"/>
      <c r="BU118" s="218" t="n"/>
      <c r="BV118" s="218" t="n"/>
      <c r="BW118" s="218" t="n"/>
      <c r="BX118" s="218" t="n"/>
      <c r="BY118" s="218" t="n"/>
      <c r="BZ118" s="218" t="n"/>
      <c r="CA118" s="218" t="n"/>
      <c r="CB118" s="218" t="n"/>
      <c r="CC118" s="218" t="n"/>
      <c r="CD118" s="218" t="n"/>
      <c r="CE118" s="218" t="n"/>
      <c r="CF118" s="218" t="n"/>
      <c r="CG118" s="218" t="n"/>
      <c r="CH118" s="218" t="n"/>
      <c r="CI118" s="218" t="n"/>
      <c r="CJ118" s="218" t="n"/>
      <c r="CK118" s="218" t="n"/>
      <c r="CL118" s="218" t="n"/>
      <c r="CM118" s="218" t="n"/>
      <c r="CN118" s="218" t="n"/>
      <c r="CO118" s="218" t="n"/>
      <c r="CP118" s="218" t="n"/>
      <c r="CQ118" s="218" t="n"/>
      <c r="CR118" s="218" t="n"/>
      <c r="CS118" s="218" t="n"/>
      <c r="CT118" s="218" t="n"/>
      <c r="CU118" s="146" t="n">
        <v>2790</v>
      </c>
      <c r="CV118" s="146" t="inlineStr">
        <is>
          <t>RUELAS MEJIA RAUL</t>
        </is>
      </c>
      <c r="CW118" s="218" t="n"/>
      <c r="CX118" s="218" t="n"/>
      <c r="CY118" s="146" t="inlineStr">
        <is>
          <t>21.  Determinación errónea de pagos definitivos (IVA, IESPS)</t>
        </is>
      </c>
      <c r="CZ118" s="146" t="n"/>
      <c r="DA118" s="218" t="n"/>
      <c r="DB118" s="146" t="inlineStr">
        <is>
          <t>4.1 Sin requisitos fiscales</t>
        </is>
      </c>
      <c r="DC118" s="146" t="n"/>
      <c r="DD118" s="146" t="n"/>
      <c r="DE118" s="146" t="n"/>
      <c r="DF118" s="146" t="n"/>
      <c r="DG118" s="146" t="n"/>
      <c r="DH118" s="146" t="n"/>
      <c r="DI118" s="146" t="n"/>
      <c r="DJ118" s="146" t="n"/>
      <c r="DK118" s="146" t="n"/>
      <c r="DL118" s="146" t="n"/>
      <c r="DM118" s="146" t="n"/>
      <c r="DN118" s="146" t="n"/>
      <c r="DO118" s="146" t="n"/>
      <c r="DP118" s="146" t="n"/>
      <c r="DQ118" s="146" t="n"/>
      <c r="DR118" s="146" t="n"/>
      <c r="DS118" s="146" t="n"/>
      <c r="DT118" s="146" t="n"/>
      <c r="DU118" s="146" t="n"/>
      <c r="DV118" s="146" t="n"/>
      <c r="DW118" s="146" t="n"/>
      <c r="DX118" s="146" t="n"/>
      <c r="DY118" s="146" t="n"/>
      <c r="DZ118" s="146" t="n"/>
      <c r="EA118" s="146" t="n"/>
      <c r="EB118" s="146" t="n"/>
      <c r="EC118" s="146" t="n"/>
      <c r="ED118" s="146" t="n"/>
      <c r="EE118" s="146" t="n"/>
    </row>
    <row r="119">
      <c r="A119" s="218" t="n"/>
      <c r="B119" s="218" t="n"/>
      <c r="C119" s="146" t="inlineStr">
        <is>
          <t>ACTA DE COMITÉ / PROPUESTA APROBADA</t>
        </is>
      </c>
      <c r="D119" s="146" t="n"/>
      <c r="E119" s="146" t="n"/>
      <c r="F119" s="146" t="n"/>
      <c r="G119" s="146" t="n"/>
      <c r="H119" s="146" t="n"/>
      <c r="I119" s="146" t="n"/>
      <c r="J119" s="146" t="n"/>
      <c r="K119" s="146" t="n"/>
      <c r="L119" s="218" t="n"/>
      <c r="M119" s="218" t="n"/>
      <c r="N119" s="218" t="n"/>
      <c r="O119" s="218" t="n"/>
      <c r="P119" s="218" t="n"/>
      <c r="Q119" s="146" t="inlineStr">
        <is>
          <t>ERRORES EN EL LLENADO DE LA DECLARACION</t>
        </is>
      </c>
      <c r="R119" s="146" t="n"/>
      <c r="S119" s="146" t="n"/>
      <c r="T119" s="146" t="n"/>
      <c r="U119" s="146" t="n"/>
      <c r="V119" s="146" t="n"/>
      <c r="W119" s="146" t="n"/>
      <c r="X119" s="146" t="n"/>
      <c r="Y119" s="146" t="n"/>
      <c r="Z119" s="146" t="n"/>
      <c r="AA119" s="146" t="n"/>
      <c r="AB119" s="146" t="n"/>
      <c r="AC119" s="146" t="n"/>
      <c r="AD119" s="146" t="n"/>
      <c r="AE119" s="146" t="n"/>
      <c r="AF119" s="146" t="n"/>
      <c r="AG119" s="146" t="n"/>
      <c r="AH119" s="146" t="n"/>
      <c r="AI119" s="146" t="n"/>
      <c r="AJ119" s="146" t="n"/>
      <c r="AK119" s="146" t="n"/>
      <c r="AL119" s="146" t="n"/>
      <c r="AM119" s="146" t="n"/>
      <c r="AN119" s="146" t="n"/>
      <c r="AO119" s="146" t="n"/>
      <c r="AP119" s="146" t="n"/>
      <c r="AQ119" s="218" t="n"/>
      <c r="AR119" s="218" t="n"/>
      <c r="AS119" s="146" t="n">
        <v>27</v>
      </c>
      <c r="AT119" s="146" t="inlineStr">
        <is>
          <t>(27) SUSPENSIÓN DE PLAZO POR JUCIO DE AMPARO INTERPUESTO</t>
        </is>
      </c>
      <c r="AU119" s="146" t="n"/>
      <c r="AV119" s="146" t="n"/>
      <c r="AW119" s="146" t="n"/>
      <c r="AX119" s="146" t="n"/>
      <c r="AY119" s="146" t="n"/>
      <c r="AZ119" s="146" t="n"/>
      <c r="BA119" s="146" t="n"/>
      <c r="BB119" s="146" t="n"/>
      <c r="BC119" s="146" t="n"/>
      <c r="BD119" s="146" t="n"/>
      <c r="BE119" s="146" t="n"/>
      <c r="BF119" s="146" t="n"/>
      <c r="BG119" s="146" t="n"/>
      <c r="BH119" s="146" t="n"/>
      <c r="BI119" s="146" t="n"/>
      <c r="BJ119" s="146" t="n">
        <v>25</v>
      </c>
      <c r="BK119" s="146" t="inlineStr">
        <is>
          <t>SIEMBRA, CULTIVO Y COSECHA DE OTRAS HORTALIZAS Y SEMILLAS DE HORTALIZAS</t>
        </is>
      </c>
      <c r="BL119" s="146" t="n"/>
      <c r="BM119" s="146" t="n"/>
      <c r="BN119" s="146" t="n"/>
      <c r="BO119" s="146" t="n"/>
      <c r="BP119" s="146" t="n"/>
      <c r="BQ119" s="146" t="n"/>
      <c r="BR119" s="146" t="n"/>
      <c r="BS119" s="146" t="n"/>
      <c r="BT119" s="218" t="n"/>
      <c r="BU119" s="218" t="n"/>
      <c r="BV119" s="218" t="n"/>
      <c r="BW119" s="218" t="n"/>
      <c r="BX119" s="218" t="n"/>
      <c r="BY119" s="218" t="n"/>
      <c r="BZ119" s="218" t="n"/>
      <c r="CA119" s="218" t="n"/>
      <c r="CB119" s="218" t="n"/>
      <c r="CC119" s="218" t="n"/>
      <c r="CD119" s="218" t="n"/>
      <c r="CE119" s="218" t="n"/>
      <c r="CF119" s="218" t="n"/>
      <c r="CG119" s="218" t="n"/>
      <c r="CH119" s="218" t="n"/>
      <c r="CI119" s="218" t="n"/>
      <c r="CJ119" s="218" t="n"/>
      <c r="CK119" s="218" t="n"/>
      <c r="CL119" s="218" t="n"/>
      <c r="CM119" s="218" t="n"/>
      <c r="CN119" s="218" t="n"/>
      <c r="CO119" s="218" t="n"/>
      <c r="CP119" s="218" t="n"/>
      <c r="CQ119" s="218" t="n"/>
      <c r="CR119" s="218" t="n"/>
      <c r="CS119" s="218" t="n"/>
      <c r="CT119" s="218" t="n"/>
      <c r="CU119" s="146" t="n">
        <v>2791</v>
      </c>
      <c r="CV119" s="146" t="inlineStr">
        <is>
          <t>SANCHEZ FLORES JOSE ODILON</t>
        </is>
      </c>
      <c r="CW119" s="218" t="n"/>
      <c r="CX119" s="218" t="n"/>
      <c r="CY119" s="146" t="inlineStr">
        <is>
          <t>22.  Omisión de pagos definitivos (IVA, IESPS)</t>
        </is>
      </c>
      <c r="CZ119" s="146" t="n"/>
      <c r="DA119" s="218" t="n"/>
      <c r="DB119" s="146" t="inlineStr">
        <is>
          <t>4.2 Sin documentación comprobatoria</t>
        </is>
      </c>
      <c r="DC119" s="146" t="n"/>
      <c r="DD119" s="146" t="n"/>
      <c r="DE119" s="146" t="n"/>
      <c r="DF119" s="146" t="n"/>
      <c r="DG119" s="146" t="n"/>
      <c r="DH119" s="146" t="n"/>
      <c r="DI119" s="146" t="n"/>
      <c r="DJ119" s="146" t="n"/>
      <c r="DK119" s="146" t="n"/>
      <c r="DL119" s="146" t="n"/>
      <c r="DM119" s="146" t="n"/>
      <c r="DN119" s="146" t="n"/>
      <c r="DO119" s="146" t="n"/>
      <c r="DP119" s="146" t="n"/>
      <c r="DQ119" s="146" t="n"/>
      <c r="DR119" s="146" t="n"/>
      <c r="DS119" s="146" t="n"/>
      <c r="DT119" s="146" t="n"/>
      <c r="DU119" s="146" t="n"/>
      <c r="DV119" s="146" t="n"/>
      <c r="DW119" s="146" t="n"/>
      <c r="DX119" s="146" t="n"/>
      <c r="DY119" s="146" t="n"/>
      <c r="DZ119" s="146" t="n"/>
      <c r="EA119" s="146" t="n"/>
      <c r="EB119" s="146" t="n"/>
      <c r="EC119" s="146" t="n"/>
      <c r="ED119" s="146" t="n"/>
      <c r="EE119" s="146" t="n"/>
    </row>
    <row r="120">
      <c r="A120" s="218" t="n"/>
      <c r="B120" s="218" t="n"/>
      <c r="C120" s="146" t="inlineStr">
        <is>
          <t>CARTA INVITACION</t>
        </is>
      </c>
      <c r="D120" s="146" t="n"/>
      <c r="E120" s="146" t="n"/>
      <c r="F120" s="146" t="n"/>
      <c r="G120" s="146" t="n"/>
      <c r="H120" s="146" t="n"/>
      <c r="I120" s="146" t="n"/>
      <c r="J120" s="146" t="n"/>
      <c r="K120" s="146" t="n"/>
      <c r="L120" s="218" t="n"/>
      <c r="M120" s="218" t="n"/>
      <c r="N120" s="218" t="n"/>
      <c r="O120" s="218" t="n"/>
      <c r="P120" s="218" t="n"/>
      <c r="Q120" s="146" t="inlineStr">
        <is>
          <t>FALTA DE ACTUALIZACION EN LA CUENTA UNICA NACIONAL</t>
        </is>
      </c>
      <c r="R120" s="146" t="n"/>
      <c r="S120" s="146" t="n"/>
      <c r="T120" s="146" t="n"/>
      <c r="U120" s="146" t="n"/>
      <c r="V120" s="146" t="n"/>
      <c r="W120" s="146" t="n"/>
      <c r="X120" s="146" t="n"/>
      <c r="Y120" s="146" t="n"/>
      <c r="Z120" s="146" t="n"/>
      <c r="AA120" s="146" t="n"/>
      <c r="AB120" s="146" t="n"/>
      <c r="AC120" s="146" t="n"/>
      <c r="AD120" s="146" t="n"/>
      <c r="AE120" s="146" t="n"/>
      <c r="AF120" s="146" t="n"/>
      <c r="AG120" s="146" t="n"/>
      <c r="AH120" s="146" t="n"/>
      <c r="AI120" s="146" t="n"/>
      <c r="AJ120" s="146" t="n"/>
      <c r="AK120" s="146" t="n"/>
      <c r="AL120" s="146" t="n"/>
      <c r="AM120" s="146" t="n"/>
      <c r="AN120" s="146" t="n"/>
      <c r="AO120" s="146" t="n"/>
      <c r="AP120" s="146" t="n"/>
      <c r="AQ120" s="218" t="n"/>
      <c r="AR120" s="218" t="n"/>
      <c r="AS120" s="146" t="n">
        <v>28</v>
      </c>
      <c r="AT120" s="146" t="inlineStr">
        <is>
          <t>(28) SUSPENSIÓN DE PLAZO POR CONTRIBUYENTE EN HUELGA</t>
        </is>
      </c>
      <c r="AU120" s="146" t="n"/>
      <c r="AV120" s="146" t="n"/>
      <c r="AW120" s="146" t="n"/>
      <c r="AX120" s="146" t="n"/>
      <c r="AY120" s="146" t="n"/>
      <c r="AZ120" s="146" t="n"/>
      <c r="BA120" s="146" t="n"/>
      <c r="BB120" s="146" t="n"/>
      <c r="BC120" s="146" t="n"/>
      <c r="BD120" s="146" t="n"/>
      <c r="BE120" s="146" t="n"/>
      <c r="BF120" s="146" t="n"/>
      <c r="BG120" s="146" t="n"/>
      <c r="BH120" s="146" t="n"/>
      <c r="BI120" s="146" t="n"/>
      <c r="BJ120" s="146" t="n">
        <v>26</v>
      </c>
      <c r="BK120" s="146" t="inlineStr">
        <is>
          <t>SIEMBRA, CULTIVO Y COSECHA DE NARANJA</t>
        </is>
      </c>
      <c r="BL120" s="146" t="n"/>
      <c r="BM120" s="146" t="n"/>
      <c r="BN120" s="146" t="n"/>
      <c r="BO120" s="146" t="n"/>
      <c r="BP120" s="146" t="n"/>
      <c r="BQ120" s="146" t="n"/>
      <c r="BR120" s="146" t="n"/>
      <c r="BS120" s="146" t="n"/>
      <c r="BT120" s="218" t="n"/>
      <c r="BU120" s="218" t="n"/>
      <c r="BV120" s="218" t="n"/>
      <c r="BW120" s="218" t="n"/>
      <c r="BX120" s="218" t="n"/>
      <c r="BY120" s="218" t="n"/>
      <c r="BZ120" s="218" t="n"/>
      <c r="CA120" s="218" t="n"/>
      <c r="CB120" s="218" t="n"/>
      <c r="CC120" s="218" t="n"/>
      <c r="CD120" s="218" t="n"/>
      <c r="CE120" s="218" t="n"/>
      <c r="CF120" s="218" t="n"/>
      <c r="CG120" s="218" t="n"/>
      <c r="CH120" s="218" t="n"/>
      <c r="CI120" s="218" t="n"/>
      <c r="CJ120" s="218" t="n"/>
      <c r="CK120" s="218" t="n"/>
      <c r="CL120" s="218" t="n"/>
      <c r="CM120" s="218" t="n"/>
      <c r="CN120" s="218" t="n"/>
      <c r="CO120" s="218" t="n"/>
      <c r="CP120" s="218" t="n"/>
      <c r="CQ120" s="218" t="n"/>
      <c r="CR120" s="218" t="n"/>
      <c r="CS120" s="218" t="n"/>
      <c r="CT120" s="218" t="n"/>
      <c r="CU120" s="146" t="n">
        <v>2792</v>
      </c>
      <c r="CV120" s="146" t="inlineStr">
        <is>
          <t>VILLALVAZO CHAVEZ MARIA HILDA</t>
        </is>
      </c>
      <c r="CW120" s="218" t="n"/>
      <c r="CX120" s="218" t="n"/>
      <c r="CY120" s="146" t="inlineStr">
        <is>
          <t>23.  Reducción en exceso del ISR por facil advas (rég simplif)</t>
        </is>
      </c>
      <c r="CZ120" s="146" t="n"/>
      <c r="DA120" s="218" t="n"/>
      <c r="DB120" s="146" t="inlineStr">
        <is>
          <t>4.3 Amparada en documentos apócrifos</t>
        </is>
      </c>
      <c r="DC120" s="146" t="n"/>
      <c r="DD120" s="146" t="n"/>
      <c r="DE120" s="146" t="n"/>
      <c r="DF120" s="146" t="n"/>
      <c r="DG120" s="146" t="n"/>
      <c r="DH120" s="146" t="n"/>
      <c r="DI120" s="146" t="n"/>
      <c r="DJ120" s="146" t="n"/>
      <c r="DK120" s="146" t="n"/>
      <c r="DL120" s="146" t="n"/>
      <c r="DM120" s="146" t="n"/>
      <c r="DN120" s="146" t="n"/>
      <c r="DO120" s="146" t="n"/>
      <c r="DP120" s="146" t="n"/>
      <c r="DQ120" s="146" t="n"/>
      <c r="DR120" s="146" t="n"/>
      <c r="DS120" s="146" t="n"/>
      <c r="DT120" s="146" t="n"/>
      <c r="DU120" s="146" t="n"/>
      <c r="DV120" s="146" t="n"/>
      <c r="DW120" s="146" t="n"/>
      <c r="DX120" s="146" t="n"/>
      <c r="DY120" s="146" t="n"/>
      <c r="DZ120" s="146" t="n"/>
      <c r="EA120" s="146" t="n"/>
      <c r="EB120" s="146" t="n"/>
      <c r="EC120" s="146" t="n"/>
      <c r="ED120" s="146" t="n"/>
      <c r="EE120" s="146" t="n"/>
    </row>
    <row r="121">
      <c r="A121" s="218" t="n"/>
      <c r="B121" s="218" t="n"/>
      <c r="C121" s="146" t="inlineStr">
        <is>
          <t>OFICIO COMPULSA GABINETE</t>
        </is>
      </c>
      <c r="D121" s="146" t="n"/>
      <c r="E121" s="146" t="n"/>
      <c r="F121" s="146" t="n"/>
      <c r="G121" s="146" t="n"/>
      <c r="H121" s="146" t="n"/>
      <c r="I121" s="146" t="n"/>
      <c r="J121" s="146" t="n"/>
      <c r="K121" s="146" t="n"/>
      <c r="L121" s="218" t="n"/>
      <c r="M121" s="218" t="n"/>
      <c r="N121" s="218" t="n"/>
      <c r="O121" s="218" t="n"/>
      <c r="P121" s="218" t="n"/>
      <c r="Q121" s="146" t="inlineStr">
        <is>
          <t>TRANSFERENCIA DE FONDOS SIN HABER PRESENTADO EL FORMATO</t>
        </is>
      </c>
      <c r="R121" s="146" t="n"/>
      <c r="S121" s="146" t="n"/>
      <c r="T121" s="146" t="n"/>
      <c r="U121" s="146" t="n"/>
      <c r="V121" s="146" t="n"/>
      <c r="W121" s="146" t="n"/>
      <c r="X121" s="146" t="n"/>
      <c r="Y121" s="146" t="n"/>
      <c r="Z121" s="146" t="n"/>
      <c r="AA121" s="146" t="n"/>
      <c r="AB121" s="146" t="n"/>
      <c r="AC121" s="146" t="n"/>
      <c r="AD121" s="146" t="n"/>
      <c r="AE121" s="146" t="n"/>
      <c r="AF121" s="146" t="n"/>
      <c r="AG121" s="146" t="n"/>
      <c r="AH121" s="146" t="n"/>
      <c r="AI121" s="146" t="n"/>
      <c r="AJ121" s="146" t="n"/>
      <c r="AK121" s="146" t="n"/>
      <c r="AL121" s="146" t="n"/>
      <c r="AM121" s="146" t="n"/>
      <c r="AN121" s="146" t="n"/>
      <c r="AO121" s="146" t="n"/>
      <c r="AP121" s="146" t="n"/>
      <c r="AQ121" s="218" t="n"/>
      <c r="AR121" s="218" t="n"/>
      <c r="AS121" s="146" t="n">
        <v>29</v>
      </c>
      <c r="AT121" s="146" t="inlineStr">
        <is>
          <t>(29) SUSPENSIÓN DE PLAZO POR FALLE. CONTRIB. EN ESPERA DE NOMB. DE ALBACEA</t>
        </is>
      </c>
      <c r="AU121" s="146" t="n"/>
      <c r="AV121" s="146" t="n"/>
      <c r="AW121" s="146" t="n"/>
      <c r="AX121" s="146" t="n"/>
      <c r="AY121" s="146" t="n"/>
      <c r="AZ121" s="146" t="n"/>
      <c r="BA121" s="146" t="n"/>
      <c r="BB121" s="146" t="n"/>
      <c r="BC121" s="146" t="n"/>
      <c r="BD121" s="146" t="n"/>
      <c r="BE121" s="146" t="n"/>
      <c r="BF121" s="146" t="n"/>
      <c r="BG121" s="146" t="n"/>
      <c r="BH121" s="146" t="n"/>
      <c r="BI121" s="146" t="n"/>
      <c r="BJ121" s="146" t="n">
        <v>27</v>
      </c>
      <c r="BK121" s="146" t="inlineStr">
        <is>
          <t>SIEMBRA, CULTIVO Y COSECHA DE LIMON</t>
        </is>
      </c>
      <c r="BL121" s="146" t="n"/>
      <c r="BM121" s="146" t="n"/>
      <c r="BN121" s="146" t="n"/>
      <c r="BO121" s="146" t="n"/>
      <c r="BP121" s="146" t="n"/>
      <c r="BQ121" s="146" t="n"/>
      <c r="BR121" s="146" t="n"/>
      <c r="BS121" s="146" t="n"/>
      <c r="BT121" s="218" t="n"/>
      <c r="BU121" s="218" t="n"/>
      <c r="BV121" s="218" t="n"/>
      <c r="BW121" s="218" t="n"/>
      <c r="BX121" s="218" t="n"/>
      <c r="BY121" s="218" t="n"/>
      <c r="BZ121" s="218" t="n"/>
      <c r="CA121" s="218" t="n"/>
      <c r="CB121" s="218" t="n"/>
      <c r="CC121" s="218" t="n"/>
      <c r="CD121" s="218" t="n"/>
      <c r="CE121" s="218" t="n"/>
      <c r="CF121" s="218" t="n"/>
      <c r="CG121" s="218" t="n"/>
      <c r="CH121" s="218" t="n"/>
      <c r="CI121" s="218" t="n"/>
      <c r="CJ121" s="218" t="n"/>
      <c r="CK121" s="218" t="n"/>
      <c r="CL121" s="218" t="n"/>
      <c r="CM121" s="218" t="n"/>
      <c r="CN121" s="218" t="n"/>
      <c r="CO121" s="218" t="n"/>
      <c r="CP121" s="218" t="n"/>
      <c r="CQ121" s="218" t="n"/>
      <c r="CR121" s="218" t="n"/>
      <c r="CS121" s="218" t="n"/>
      <c r="CT121" s="218" t="n"/>
      <c r="CU121" s="146" t="n">
        <v>2793</v>
      </c>
      <c r="CV121" s="146" t="inlineStr">
        <is>
          <t>GARCIA BARAJAS CARLOS ARNOLDO</t>
        </is>
      </c>
      <c r="CW121" s="218" t="n"/>
      <c r="CX121" s="218" t="n"/>
      <c r="CY121" s="146" t="inlineStr">
        <is>
          <t>24.  Determinación incorrecta del Impuesto al Activo</t>
        </is>
      </c>
      <c r="CZ121" s="146" t="n"/>
      <c r="DA121" s="218" t="n"/>
      <c r="DB121" s="146" t="inlineStr">
        <is>
          <t>4.4 No pagado en anuales</t>
        </is>
      </c>
      <c r="DC121" s="146" t="n"/>
      <c r="DD121" s="146" t="n"/>
      <c r="DE121" s="146" t="n"/>
      <c r="DF121" s="146" t="n"/>
      <c r="DG121" s="146" t="n"/>
      <c r="DH121" s="146" t="n"/>
      <c r="DI121" s="146" t="n"/>
      <c r="DJ121" s="146" t="n"/>
      <c r="DK121" s="146" t="n"/>
      <c r="DL121" s="146" t="n"/>
      <c r="DM121" s="146" t="n"/>
      <c r="DN121" s="146" t="n"/>
      <c r="DO121" s="146" t="n"/>
      <c r="DP121" s="146" t="n"/>
      <c r="DQ121" s="146" t="n"/>
      <c r="DR121" s="146" t="n"/>
      <c r="DS121" s="146" t="n"/>
      <c r="DT121" s="146" t="n"/>
      <c r="DU121" s="146" t="n"/>
      <c r="DV121" s="146" t="n"/>
      <c r="DW121" s="146" t="n"/>
      <c r="DX121" s="146" t="n"/>
      <c r="DY121" s="146" t="n"/>
      <c r="DZ121" s="146" t="n"/>
      <c r="EA121" s="146" t="n"/>
      <c r="EB121" s="146" t="n"/>
      <c r="EC121" s="146" t="n"/>
      <c r="ED121" s="146" t="n"/>
      <c r="EE121" s="146" t="n"/>
    </row>
    <row r="122">
      <c r="A122" s="218" t="n"/>
      <c r="B122" s="218" t="n"/>
      <c r="C122" s="146" t="n"/>
      <c r="D122" s="146" t="n"/>
      <c r="E122" s="146" t="n"/>
      <c r="F122" s="146" t="n"/>
      <c r="G122" s="146" t="n"/>
      <c r="H122" s="146" t="n"/>
      <c r="I122" s="146" t="n"/>
      <c r="J122" s="146" t="n"/>
      <c r="K122" s="146" t="n"/>
      <c r="L122" s="218" t="n"/>
      <c r="M122" s="218" t="n"/>
      <c r="N122" s="218" t="n"/>
      <c r="O122" s="218" t="n"/>
      <c r="P122" s="218" t="n"/>
      <c r="Q122" s="146" t="inlineStr">
        <is>
          <t>DECLARACIONES ELECTRONICAS NO CONSIDERADAS</t>
        </is>
      </c>
      <c r="R122" s="146" t="n"/>
      <c r="S122" s="146" t="n"/>
      <c r="T122" s="146" t="n"/>
      <c r="U122" s="146" t="n"/>
      <c r="V122" s="146" t="n"/>
      <c r="W122" s="146" t="n"/>
      <c r="X122" s="146" t="n"/>
      <c r="Y122" s="146" t="n"/>
      <c r="Z122" s="146" t="n"/>
      <c r="AA122" s="146" t="n"/>
      <c r="AB122" s="146" t="n"/>
      <c r="AC122" s="146" t="n"/>
      <c r="AD122" s="146" t="n"/>
      <c r="AE122" s="146" t="n"/>
      <c r="AF122" s="146" t="n"/>
      <c r="AG122" s="146" t="n"/>
      <c r="AH122" s="146" t="n"/>
      <c r="AI122" s="146" t="n"/>
      <c r="AJ122" s="146" t="n"/>
      <c r="AK122" s="146" t="n"/>
      <c r="AL122" s="146" t="n"/>
      <c r="AM122" s="146" t="n"/>
      <c r="AN122" s="146" t="n"/>
      <c r="AO122" s="146" t="n"/>
      <c r="AP122" s="146" t="n"/>
      <c r="AQ122" s="218" t="n"/>
      <c r="AR122" s="218" t="n"/>
      <c r="AS122" s="146" t="n">
        <v>30</v>
      </c>
      <c r="AT122" s="146" t="inlineStr">
        <is>
          <t>(30) NOTIFICACIÓN DEL OFICIO DE SUSTITUCIÓN DE AUTORIDAD</t>
        </is>
      </c>
      <c r="AU122" s="146" t="n"/>
      <c r="AV122" s="146" t="n"/>
      <c r="AW122" s="146" t="n"/>
      <c r="AX122" s="146" t="n"/>
      <c r="AY122" s="146" t="n"/>
      <c r="AZ122" s="146" t="n"/>
      <c r="BA122" s="146" t="n"/>
      <c r="BB122" s="146" t="n"/>
      <c r="BC122" s="146" t="n"/>
      <c r="BD122" s="146" t="n"/>
      <c r="BE122" s="146" t="n"/>
      <c r="BF122" s="146" t="n"/>
      <c r="BG122" s="146" t="n"/>
      <c r="BH122" s="146" t="n"/>
      <c r="BI122" s="146" t="n"/>
      <c r="BJ122" s="146" t="n">
        <v>28</v>
      </c>
      <c r="BK122" s="146" t="inlineStr">
        <is>
          <t>SIEMBRA, CULTIVO Y COSECHA DE CITRICOS</t>
        </is>
      </c>
      <c r="BL122" s="146" t="n"/>
      <c r="BM122" s="146" t="n"/>
      <c r="BN122" s="146" t="n"/>
      <c r="BO122" s="146" t="n"/>
      <c r="BP122" s="146" t="n"/>
      <c r="BQ122" s="146" t="n"/>
      <c r="BR122" s="146" t="n"/>
      <c r="BS122" s="146" t="n"/>
      <c r="BT122" s="218" t="n"/>
      <c r="BU122" s="218" t="n"/>
      <c r="BV122" s="218" t="n"/>
      <c r="BW122" s="218" t="n"/>
      <c r="BX122" s="218" t="n"/>
      <c r="BY122" s="218" t="n"/>
      <c r="BZ122" s="218" t="n"/>
      <c r="CA122" s="218" t="n"/>
      <c r="CB122" s="218" t="n"/>
      <c r="CC122" s="218" t="n"/>
      <c r="CD122" s="218" t="n"/>
      <c r="CE122" s="218" t="n"/>
      <c r="CF122" s="218" t="n"/>
      <c r="CG122" s="218" t="n"/>
      <c r="CH122" s="218" t="n"/>
      <c r="CI122" s="218" t="n"/>
      <c r="CJ122" s="218" t="n"/>
      <c r="CK122" s="218" t="n"/>
      <c r="CL122" s="218" t="n"/>
      <c r="CM122" s="218" t="n"/>
      <c r="CN122" s="218" t="n"/>
      <c r="CO122" s="218" t="n"/>
      <c r="CP122" s="218" t="n"/>
      <c r="CQ122" s="218" t="n"/>
      <c r="CR122" s="218" t="n"/>
      <c r="CS122" s="218" t="n"/>
      <c r="CT122" s="218" t="n"/>
      <c r="CU122" s="146" t="n">
        <v>2795</v>
      </c>
      <c r="CV122" s="146" t="inlineStr">
        <is>
          <t>ESPINOZA GONZALEZ MARIO</t>
        </is>
      </c>
      <c r="CW122" s="218" t="n"/>
      <c r="CX122" s="218" t="n"/>
      <c r="CY122" s="146" t="inlineStr">
        <is>
          <t>25.  Omisión de entradas en Régimen Simplificado</t>
        </is>
      </c>
      <c r="CZ122" s="146" t="n"/>
      <c r="DA122" s="218" t="n"/>
      <c r="DB122" s="218" t="n"/>
      <c r="DC122" s="218" t="n"/>
      <c r="DD122" s="218" t="n"/>
      <c r="DE122" s="218" t="n"/>
      <c r="DF122" s="218" t="n"/>
      <c r="DG122" s="218" t="n"/>
      <c r="DH122" s="218" t="n"/>
      <c r="DI122" s="218" t="n"/>
      <c r="DJ122" s="218" t="n"/>
      <c r="DK122" s="218" t="n"/>
      <c r="DL122" s="218" t="n"/>
      <c r="DM122" s="218" t="n"/>
      <c r="DN122" s="218" t="n"/>
      <c r="DO122" s="218" t="n"/>
      <c r="DP122" s="218" t="n"/>
      <c r="DQ122" s="218" t="n"/>
      <c r="DR122" s="218" t="n"/>
      <c r="DS122" s="218" t="n"/>
      <c r="DT122" s="218" t="n"/>
      <c r="DU122" s="218" t="n"/>
      <c r="DV122" s="218" t="n"/>
      <c r="DW122" s="218" t="n"/>
      <c r="DX122" s="218" t="n"/>
      <c r="DY122" s="218" t="n"/>
      <c r="DZ122" s="218" t="n"/>
      <c r="EA122" s="218" t="n"/>
      <c r="EB122" s="218" t="n"/>
      <c r="EC122" s="218" t="n"/>
      <c r="ED122" s="218" t="n"/>
      <c r="EE122" s="218" t="n"/>
    </row>
    <row r="123">
      <c r="A123" s="218" t="n"/>
      <c r="B123" s="218" t="n"/>
      <c r="C123" s="145" t="inlineStr">
        <is>
          <t>Paga en</t>
        </is>
      </c>
      <c r="D123" s="146" t="n"/>
      <c r="E123" s="146" t="n"/>
      <c r="F123" s="146" t="n"/>
      <c r="G123" s="146" t="n"/>
      <c r="H123" s="146" t="n"/>
      <c r="I123" s="146" t="n"/>
      <c r="J123" s="146" t="n"/>
      <c r="K123" s="146" t="n"/>
      <c r="L123" s="218" t="n"/>
      <c r="M123" s="218" t="n"/>
      <c r="N123" s="218" t="n"/>
      <c r="O123" s="218" t="n"/>
      <c r="P123" s="218" t="n"/>
      <c r="Q123" s="146" t="inlineStr">
        <is>
          <t>OTRAS</t>
        </is>
      </c>
      <c r="R123" s="146" t="n"/>
      <c r="S123" s="146" t="n"/>
      <c r="T123" s="146" t="n"/>
      <c r="U123" s="146" t="n"/>
      <c r="V123" s="146" t="n"/>
      <c r="W123" s="146" t="n"/>
      <c r="X123" s="146" t="n"/>
      <c r="Y123" s="146" t="n"/>
      <c r="Z123" s="146" t="n"/>
      <c r="AA123" s="146" t="n"/>
      <c r="AB123" s="146" t="n"/>
      <c r="AC123" s="146" t="n"/>
      <c r="AD123" s="146" t="n"/>
      <c r="AE123" s="146" t="n"/>
      <c r="AF123" s="146" t="n"/>
      <c r="AG123" s="146" t="n"/>
      <c r="AH123" s="146" t="n"/>
      <c r="AI123" s="146" t="n"/>
      <c r="AJ123" s="146" t="n"/>
      <c r="AK123" s="146" t="n"/>
      <c r="AL123" s="146" t="n"/>
      <c r="AM123" s="146" t="n"/>
      <c r="AN123" s="146" t="n"/>
      <c r="AO123" s="146" t="n"/>
      <c r="AP123" s="146" t="n"/>
      <c r="AQ123" s="218" t="n"/>
      <c r="AR123" s="218" t="n"/>
      <c r="AS123" s="146" t="n">
        <v>31</v>
      </c>
      <c r="AT123" s="146" t="inlineStr">
        <is>
          <t>(31) SUSPENSIÓN DE PLAZO EL CONTRIB SE OPUSO U OBSTAC EJERC DE FAC DE COMPROB</t>
        </is>
      </c>
      <c r="AU123" s="146" t="n"/>
      <c r="AV123" s="146" t="n"/>
      <c r="AW123" s="146" t="n"/>
      <c r="AX123" s="146" t="n"/>
      <c r="AY123" s="146" t="n"/>
      <c r="AZ123" s="146" t="n"/>
      <c r="BA123" s="146" t="n"/>
      <c r="BB123" s="146" t="n"/>
      <c r="BC123" s="146" t="n"/>
      <c r="BD123" s="146" t="n"/>
      <c r="BE123" s="146" t="n"/>
      <c r="BF123" s="146" t="n"/>
      <c r="BG123" s="146" t="n"/>
      <c r="BH123" s="146" t="n"/>
      <c r="BI123" s="146" t="n"/>
      <c r="BJ123" s="146" t="n">
        <v>29</v>
      </c>
      <c r="BK123" s="146" t="inlineStr">
        <is>
          <t>SIEMBRA, CULTIVO Y COSECHA DE CAFE</t>
        </is>
      </c>
      <c r="BL123" s="146" t="n"/>
      <c r="BM123" s="146" t="n"/>
      <c r="BN123" s="146" t="n"/>
      <c r="BO123" s="146" t="n"/>
      <c r="BP123" s="146" t="n"/>
      <c r="BQ123" s="146" t="n"/>
      <c r="BR123" s="146" t="n"/>
      <c r="BS123" s="146" t="n"/>
      <c r="BT123" s="218" t="n"/>
      <c r="BU123" s="218" t="n"/>
      <c r="BV123" s="218" t="n"/>
      <c r="BW123" s="218" t="n"/>
      <c r="BX123" s="218" t="n"/>
      <c r="BY123" s="218" t="n"/>
      <c r="BZ123" s="218" t="n"/>
      <c r="CA123" s="218" t="n"/>
      <c r="CB123" s="218" t="n"/>
      <c r="CC123" s="218" t="n"/>
      <c r="CD123" s="218" t="n"/>
      <c r="CE123" s="218" t="n"/>
      <c r="CF123" s="218" t="n"/>
      <c r="CG123" s="218" t="n"/>
      <c r="CH123" s="218" t="n"/>
      <c r="CI123" s="218" t="n"/>
      <c r="CJ123" s="218" t="n"/>
      <c r="CK123" s="218" t="n"/>
      <c r="CL123" s="218" t="n"/>
      <c r="CM123" s="218" t="n"/>
      <c r="CN123" s="218" t="n"/>
      <c r="CO123" s="218" t="n"/>
      <c r="CP123" s="218" t="n"/>
      <c r="CQ123" s="218" t="n"/>
      <c r="CR123" s="218" t="n"/>
      <c r="CS123" s="218" t="n"/>
      <c r="CT123" s="218" t="n"/>
      <c r="CU123" s="146" t="n">
        <v>2796</v>
      </c>
      <c r="CV123" s="146" t="inlineStr">
        <is>
          <t>GUERRERO GONZALEZ SAMUEL</t>
        </is>
      </c>
      <c r="CW123" s="218" t="n"/>
      <c r="CX123" s="218" t="n"/>
      <c r="CY123" s="146" t="inlineStr">
        <is>
          <t>26.  Omisión de salidas en Régimen Simplificado.</t>
        </is>
      </c>
      <c r="CZ123" s="146" t="n"/>
      <c r="DA123" s="218" t="n"/>
      <c r="DB123" s="218" t="n"/>
      <c r="DC123" s="218" t="n"/>
      <c r="DD123" s="218" t="n"/>
      <c r="DE123" s="218" t="n"/>
      <c r="DF123" s="218" t="n"/>
      <c r="DG123" s="218" t="n"/>
      <c r="DH123" s="218" t="n"/>
      <c r="DI123" s="218" t="n"/>
      <c r="DJ123" s="218" t="n"/>
      <c r="DK123" s="218" t="n"/>
      <c r="DL123" s="218" t="n"/>
      <c r="DM123" s="218" t="n"/>
      <c r="DN123" s="218" t="n"/>
      <c r="DO123" s="218" t="n"/>
      <c r="DP123" s="218" t="n"/>
      <c r="DQ123" s="218" t="n"/>
      <c r="DR123" s="218" t="n"/>
      <c r="DS123" s="218" t="n"/>
      <c r="DT123" s="218" t="n"/>
      <c r="DU123" s="218" t="n"/>
      <c r="DV123" s="218" t="n"/>
      <c r="DW123" s="218" t="n"/>
      <c r="DX123" s="218" t="n"/>
      <c r="DY123" s="218" t="n"/>
      <c r="DZ123" s="218" t="n"/>
      <c r="EA123" s="218" t="n"/>
      <c r="EB123" s="218" t="n"/>
      <c r="EC123" s="218" t="n"/>
      <c r="ED123" s="218" t="n"/>
      <c r="EE123" s="218" t="n"/>
    </row>
    <row r="124">
      <c r="A124" s="218" t="n"/>
      <c r="B124" s="218" t="n"/>
      <c r="C124" s="146" t="inlineStr">
        <is>
          <t>BANCO</t>
        </is>
      </c>
      <c r="D124" s="146" t="n"/>
      <c r="E124" s="146" t="n"/>
      <c r="F124" s="146" t="n"/>
      <c r="G124" s="146" t="n"/>
      <c r="H124" s="146" t="n"/>
      <c r="I124" s="146" t="n"/>
      <c r="J124" s="146" t="n"/>
      <c r="K124" s="146" t="n"/>
      <c r="L124" s="218" t="n"/>
      <c r="M124" s="218" t="n"/>
      <c r="N124" s="218" t="n"/>
      <c r="O124" s="218" t="n"/>
      <c r="P124" s="218" t="n"/>
      <c r="Q124" s="146" t="inlineStr">
        <is>
          <t>TERMINADA ANTICIPADAMENTE</t>
        </is>
      </c>
      <c r="R124" s="146" t="n"/>
      <c r="S124" s="146" t="n"/>
      <c r="T124" s="146" t="n"/>
      <c r="U124" s="146" t="n"/>
      <c r="V124" s="146" t="n"/>
      <c r="W124" s="146" t="n"/>
      <c r="X124" s="146" t="n"/>
      <c r="Y124" s="146" t="n"/>
      <c r="Z124" s="146" t="n"/>
      <c r="AA124" s="146" t="n"/>
      <c r="AB124" s="146" t="n"/>
      <c r="AC124" s="146" t="n"/>
      <c r="AD124" s="146" t="n"/>
      <c r="AE124" s="146" t="n"/>
      <c r="AF124" s="146" t="n"/>
      <c r="AG124" s="146" t="n"/>
      <c r="AH124" s="146" t="n"/>
      <c r="AI124" s="146" t="n"/>
      <c r="AJ124" s="146" t="n"/>
      <c r="AK124" s="146" t="n"/>
      <c r="AL124" s="146" t="n"/>
      <c r="AM124" s="146" t="n"/>
      <c r="AN124" s="146" t="n"/>
      <c r="AO124" s="146" t="n"/>
      <c r="AP124" s="146" t="n"/>
      <c r="AQ124" s="218" t="n"/>
      <c r="AR124" s="218" t="n"/>
      <c r="AS124" s="146" t="n">
        <v>32</v>
      </c>
      <c r="AT124" s="146" t="inlineStr">
        <is>
          <t>(32) VERIF DE ORIGEN A EXPORT O PROD DE OTROS PAISES POR AUT ADUANERAS</t>
        </is>
      </c>
      <c r="AU124" s="146" t="n"/>
      <c r="AV124" s="146" t="n"/>
      <c r="AW124" s="146" t="n"/>
      <c r="AX124" s="146" t="n"/>
      <c r="AY124" s="146" t="n"/>
      <c r="AZ124" s="146" t="n"/>
      <c r="BA124" s="146" t="n"/>
      <c r="BB124" s="146" t="n"/>
      <c r="BC124" s="146" t="n"/>
      <c r="BD124" s="146" t="n"/>
      <c r="BE124" s="146" t="n"/>
      <c r="BF124" s="146" t="n"/>
      <c r="BG124" s="146" t="n"/>
      <c r="BH124" s="146" t="n"/>
      <c r="BI124" s="146" t="n"/>
      <c r="BJ124" s="146" t="n">
        <v>30</v>
      </c>
      <c r="BK124" s="146" t="inlineStr">
        <is>
          <t>SIEMBRA, CULTIVO Y COSECHA DE PLATANO</t>
        </is>
      </c>
      <c r="BL124" s="146" t="n"/>
      <c r="BM124" s="146" t="n"/>
      <c r="BN124" s="146" t="n"/>
      <c r="BO124" s="146" t="n"/>
      <c r="BP124" s="146" t="n"/>
      <c r="BQ124" s="146" t="n"/>
      <c r="BR124" s="146" t="n"/>
      <c r="BS124" s="146" t="n"/>
      <c r="BT124" s="218" t="n"/>
      <c r="BU124" s="218" t="n"/>
      <c r="BV124" s="218" t="n"/>
      <c r="BW124" s="218" t="n"/>
      <c r="BX124" s="218" t="n"/>
      <c r="BY124" s="218" t="n"/>
      <c r="BZ124" s="218" t="n"/>
      <c r="CA124" s="218" t="n"/>
      <c r="CB124" s="218" t="n"/>
      <c r="CC124" s="218" t="n"/>
      <c r="CD124" s="218" t="n"/>
      <c r="CE124" s="218" t="n"/>
      <c r="CF124" s="218" t="n"/>
      <c r="CG124" s="218" t="n"/>
      <c r="CH124" s="218" t="n"/>
      <c r="CI124" s="218" t="n"/>
      <c r="CJ124" s="218" t="n"/>
      <c r="CK124" s="218" t="n"/>
      <c r="CL124" s="218" t="n"/>
      <c r="CM124" s="218" t="n"/>
      <c r="CN124" s="218" t="n"/>
      <c r="CO124" s="218" t="n"/>
      <c r="CP124" s="218" t="n"/>
      <c r="CQ124" s="218" t="n"/>
      <c r="CR124" s="218" t="n"/>
      <c r="CS124" s="218" t="n"/>
      <c r="CT124" s="218" t="n"/>
      <c r="CU124" s="146" t="n">
        <v>2797</v>
      </c>
      <c r="CV124" s="146" t="inlineStr">
        <is>
          <t>LUNA ORTIZ FELIPE</t>
        </is>
      </c>
      <c r="CW124" s="218" t="n"/>
      <c r="CX124" s="218" t="n"/>
      <c r="CY124" s="218" t="n"/>
      <c r="CZ124" s="218" t="n"/>
      <c r="DA124" s="218" t="n"/>
      <c r="DB124" s="218" t="n"/>
      <c r="DC124" s="218" t="n"/>
      <c r="DD124" s="218" t="n"/>
      <c r="DE124" s="218" t="n"/>
      <c r="DF124" s="218" t="n"/>
      <c r="DG124" s="218" t="n"/>
      <c r="DH124" s="218" t="n"/>
      <c r="DI124" s="218" t="n"/>
      <c r="DJ124" s="218" t="n"/>
      <c r="DK124" s="218" t="n"/>
      <c r="DL124" s="218" t="n"/>
      <c r="DM124" s="218" t="n"/>
      <c r="DN124" s="218" t="n"/>
      <c r="DO124" s="218" t="n"/>
      <c r="DP124" s="218" t="n"/>
      <c r="DQ124" s="218" t="n"/>
      <c r="DR124" s="218" t="n"/>
      <c r="DS124" s="218" t="n"/>
      <c r="DT124" s="218" t="n"/>
      <c r="DU124" s="218" t="n"/>
      <c r="DV124" s="218" t="n"/>
      <c r="DW124" s="218" t="n"/>
      <c r="DX124" s="218" t="n"/>
      <c r="DY124" s="218" t="n"/>
      <c r="DZ124" s="218" t="n"/>
      <c r="EA124" s="218" t="n"/>
      <c r="EB124" s="218" t="n"/>
      <c r="EC124" s="218" t="n"/>
      <c r="ED124" s="218" t="n"/>
      <c r="EE124" s="218" t="n"/>
    </row>
    <row r="125">
      <c r="A125" s="218" t="n"/>
      <c r="B125" s="218" t="n"/>
      <c r="C125" s="146" t="inlineStr">
        <is>
          <t>RECAUDADORA</t>
        </is>
      </c>
      <c r="D125" s="146" t="n"/>
      <c r="E125" s="146" t="n"/>
      <c r="F125" s="146" t="n"/>
      <c r="G125" s="146" t="n"/>
      <c r="H125" s="146" t="n"/>
      <c r="I125" s="146" t="n"/>
      <c r="J125" s="146" t="n"/>
      <c r="K125" s="146" t="n"/>
      <c r="L125" s="218" t="n"/>
      <c r="M125" s="218" t="n"/>
      <c r="N125" s="218" t="n"/>
      <c r="O125" s="218" t="n"/>
      <c r="P125" s="218" t="n"/>
      <c r="Q125" s="146" t="inlineStr">
        <is>
          <t>DECLARACIONES PRESENTADAS ANTES DEL INICIO DE FACULTADES</t>
        </is>
      </c>
      <c r="R125" s="146" t="n"/>
      <c r="S125" s="146" t="n"/>
      <c r="T125" s="146" t="n"/>
      <c r="U125" s="146" t="n"/>
      <c r="V125" s="146" t="n"/>
      <c r="W125" s="146" t="n"/>
      <c r="X125" s="146" t="n"/>
      <c r="Y125" s="146" t="n"/>
      <c r="Z125" s="146" t="n"/>
      <c r="AA125" s="146" t="n"/>
      <c r="AB125" s="146" t="n"/>
      <c r="AC125" s="146" t="n"/>
      <c r="AD125" s="146" t="n"/>
      <c r="AE125" s="146" t="n"/>
      <c r="AF125" s="146" t="n"/>
      <c r="AG125" s="146" t="n"/>
      <c r="AH125" s="146" t="n"/>
      <c r="AI125" s="146" t="n"/>
      <c r="AJ125" s="146" t="n"/>
      <c r="AK125" s="146" t="n"/>
      <c r="AL125" s="146" t="n"/>
      <c r="AM125" s="146" t="n"/>
      <c r="AN125" s="146" t="n"/>
      <c r="AO125" s="146" t="n"/>
      <c r="AP125" s="146" t="n"/>
      <c r="AQ125" s="218" t="n"/>
      <c r="AR125" s="218" t="n"/>
      <c r="AS125" s="146" t="n">
        <v>33</v>
      </c>
      <c r="AT125" s="146" t="inlineStr">
        <is>
          <t>(33) CONTRIBUYENTE INTEGRANTE DEL SISTEMA FINANCIERO</t>
        </is>
      </c>
      <c r="AU125" s="146" t="n"/>
      <c r="AV125" s="146" t="n"/>
      <c r="AW125" s="146" t="n"/>
      <c r="AX125" s="146" t="n"/>
      <c r="AY125" s="146" t="n"/>
      <c r="AZ125" s="146" t="n"/>
      <c r="BA125" s="146" t="n"/>
      <c r="BB125" s="146" t="n"/>
      <c r="BC125" s="146" t="n"/>
      <c r="BD125" s="146" t="n"/>
      <c r="BE125" s="146" t="n"/>
      <c r="BF125" s="146" t="n"/>
      <c r="BG125" s="146" t="n"/>
      <c r="BH125" s="146" t="n"/>
      <c r="BI125" s="146" t="n"/>
      <c r="BJ125" s="146" t="n">
        <v>31</v>
      </c>
      <c r="BK125" s="146" t="inlineStr">
        <is>
          <t>SIEMBRA, CULTIVO Y COSECHA DE MANGO</t>
        </is>
      </c>
      <c r="BL125" s="146" t="n"/>
      <c r="BM125" s="146" t="n"/>
      <c r="BN125" s="146" t="n"/>
      <c r="BO125" s="146" t="n"/>
      <c r="BP125" s="146" t="n"/>
      <c r="BQ125" s="146" t="n"/>
      <c r="BR125" s="146" t="n"/>
      <c r="BS125" s="146" t="n"/>
      <c r="BT125" s="218" t="n"/>
      <c r="BU125" s="218" t="n"/>
      <c r="BV125" s="218" t="n"/>
      <c r="BW125" s="218" t="n"/>
      <c r="BX125" s="218" t="n"/>
      <c r="BY125" s="218" t="n"/>
      <c r="BZ125" s="218" t="n"/>
      <c r="CA125" s="218" t="n"/>
      <c r="CB125" s="218" t="n"/>
      <c r="CC125" s="218" t="n"/>
      <c r="CD125" s="218" t="n"/>
      <c r="CE125" s="218" t="n"/>
      <c r="CF125" s="218" t="n"/>
      <c r="CG125" s="218" t="n"/>
      <c r="CH125" s="218" t="n"/>
      <c r="CI125" s="218" t="n"/>
      <c r="CJ125" s="218" t="n"/>
      <c r="CK125" s="218" t="n"/>
      <c r="CL125" s="218" t="n"/>
      <c r="CM125" s="218" t="n"/>
      <c r="CN125" s="218" t="n"/>
      <c r="CO125" s="218" t="n"/>
      <c r="CP125" s="218" t="n"/>
      <c r="CQ125" s="218" t="n"/>
      <c r="CR125" s="218" t="n"/>
      <c r="CS125" s="218" t="n"/>
      <c r="CT125" s="218" t="n"/>
      <c r="CU125" s="146" t="n">
        <v>2798</v>
      </c>
      <c r="CV125" s="146" t="inlineStr">
        <is>
          <t>MARTINEZ FRAUSTO ALEJANDRO</t>
        </is>
      </c>
      <c r="CW125" s="218" t="n"/>
      <c r="CX125" s="218" t="n"/>
      <c r="CY125" s="218" t="n"/>
      <c r="CZ125" s="218" t="n"/>
      <c r="DA125" s="218" t="n"/>
      <c r="DB125" s="218" t="n"/>
      <c r="DC125" s="218" t="n"/>
      <c r="DD125" s="218" t="n"/>
      <c r="DE125" s="218" t="n"/>
      <c r="DF125" s="218" t="n"/>
      <c r="DG125" s="218" t="n"/>
      <c r="DH125" s="218" t="n"/>
      <c r="DI125" s="218" t="n"/>
      <c r="DJ125" s="218" t="n"/>
      <c r="DK125" s="218" t="n"/>
      <c r="DL125" s="218" t="n"/>
      <c r="DM125" s="218" t="n"/>
      <c r="DN125" s="218" t="n"/>
      <c r="DO125" s="218" t="n"/>
      <c r="DP125" s="218" t="n"/>
      <c r="DQ125" s="218" t="n"/>
      <c r="DR125" s="218" t="n"/>
      <c r="DS125" s="218" t="n"/>
      <c r="DT125" s="218" t="n"/>
      <c r="DU125" s="218" t="n"/>
      <c r="DV125" s="218" t="n"/>
      <c r="DW125" s="218" t="n"/>
      <c r="DX125" s="218" t="n"/>
      <c r="DY125" s="218" t="n"/>
      <c r="DZ125" s="218" t="n"/>
      <c r="EA125" s="218" t="n"/>
      <c r="EB125" s="218" t="n"/>
      <c r="EC125" s="218" t="n"/>
      <c r="ED125" s="218" t="n"/>
      <c r="EE125" s="218" t="n"/>
    </row>
    <row r="126">
      <c r="A126" s="218" t="n"/>
      <c r="B126" s="218" t="n"/>
      <c r="C126" s="218" t="n"/>
      <c r="D126" s="218" t="n"/>
      <c r="E126" s="218" t="n"/>
      <c r="F126" s="218" t="n"/>
      <c r="G126" s="218" t="n"/>
      <c r="H126" s="218" t="n"/>
      <c r="I126" s="218" t="n"/>
      <c r="J126" s="218" t="n"/>
      <c r="K126" s="218" t="n"/>
      <c r="L126" s="218" t="n"/>
      <c r="M126" s="218" t="n"/>
      <c r="N126" s="218" t="n"/>
      <c r="O126" s="218" t="n"/>
      <c r="P126" s="218" t="n"/>
      <c r="Q126" s="146" t="inlineStr">
        <is>
          <t>CORRECTA SITUACION FISCAL DEL CONTRIBUYENTE</t>
        </is>
      </c>
      <c r="R126" s="146" t="n"/>
      <c r="S126" s="146" t="n"/>
      <c r="T126" s="146" t="n"/>
      <c r="U126" s="146" t="n"/>
      <c r="V126" s="146" t="n"/>
      <c r="W126" s="146" t="n"/>
      <c r="X126" s="146" t="n"/>
      <c r="Y126" s="146" t="n"/>
      <c r="Z126" s="146" t="n"/>
      <c r="AA126" s="146" t="n"/>
      <c r="AB126" s="146" t="n"/>
      <c r="AC126" s="146" t="n"/>
      <c r="AD126" s="146" t="n"/>
      <c r="AE126" s="146" t="n"/>
      <c r="AF126" s="146" t="n"/>
      <c r="AG126" s="146" t="n"/>
      <c r="AH126" s="146" t="n"/>
      <c r="AI126" s="146" t="n"/>
      <c r="AJ126" s="146" t="n"/>
      <c r="AK126" s="146" t="n"/>
      <c r="AL126" s="146" t="n"/>
      <c r="AM126" s="146" t="n"/>
      <c r="AN126" s="146" t="n"/>
      <c r="AO126" s="146" t="n"/>
      <c r="AP126" s="146" t="n"/>
      <c r="AQ126" s="218" t="n"/>
      <c r="AR126" s="218" t="n"/>
      <c r="AS126" s="146" t="n">
        <v>34</v>
      </c>
      <c r="AT126" s="146" t="inlineStr">
        <is>
          <t>(34) EMPRESA QUE CONSOLIDA PARA EFECTOS FISCALES</t>
        </is>
      </c>
      <c r="AU126" s="146" t="n"/>
      <c r="AV126" s="146" t="n"/>
      <c r="AW126" s="146" t="n"/>
      <c r="AX126" s="146" t="n"/>
      <c r="AY126" s="146" t="n"/>
      <c r="AZ126" s="146" t="n"/>
      <c r="BA126" s="146" t="n"/>
      <c r="BB126" s="146" t="n"/>
      <c r="BC126" s="146" t="n"/>
      <c r="BD126" s="146" t="n"/>
      <c r="BE126" s="146" t="n"/>
      <c r="BF126" s="146" t="n"/>
      <c r="BG126" s="146" t="n"/>
      <c r="BH126" s="146" t="n"/>
      <c r="BI126" s="146" t="n"/>
      <c r="BJ126" s="146" t="n">
        <v>32</v>
      </c>
      <c r="BK126" s="146" t="inlineStr">
        <is>
          <t>SIEMBRA, CULTIVO Y COSECHA DE AGUACATE</t>
        </is>
      </c>
      <c r="BL126" s="146" t="n"/>
      <c r="BM126" s="146" t="n"/>
      <c r="BN126" s="146" t="n"/>
      <c r="BO126" s="146" t="n"/>
      <c r="BP126" s="146" t="n"/>
      <c r="BQ126" s="146" t="n"/>
      <c r="BR126" s="146" t="n"/>
      <c r="BS126" s="146" t="n"/>
      <c r="BT126" s="218" t="n"/>
      <c r="BU126" s="218" t="n"/>
      <c r="BV126" s="218" t="n"/>
      <c r="BW126" s="218" t="n"/>
      <c r="BX126" s="218" t="n"/>
      <c r="BY126" s="218" t="n"/>
      <c r="BZ126" s="218" t="n"/>
      <c r="CA126" s="218" t="n"/>
      <c r="CB126" s="218" t="n"/>
      <c r="CC126" s="218" t="n"/>
      <c r="CD126" s="218" t="n"/>
      <c r="CE126" s="218" t="n"/>
      <c r="CF126" s="218" t="n"/>
      <c r="CG126" s="218" t="n"/>
      <c r="CH126" s="218" t="n"/>
      <c r="CI126" s="218" t="n"/>
      <c r="CJ126" s="218" t="n"/>
      <c r="CK126" s="218" t="n"/>
      <c r="CL126" s="218" t="n"/>
      <c r="CM126" s="218" t="n"/>
      <c r="CN126" s="218" t="n"/>
      <c r="CO126" s="218" t="n"/>
      <c r="CP126" s="218" t="n"/>
      <c r="CQ126" s="218" t="n"/>
      <c r="CR126" s="218" t="n"/>
      <c r="CS126" s="218" t="n"/>
      <c r="CT126" s="218" t="n"/>
      <c r="CU126" s="146" t="n">
        <v>2799</v>
      </c>
      <c r="CV126" s="146" t="inlineStr">
        <is>
          <t>ORTIZ DE LIRA VERONICA</t>
        </is>
      </c>
      <c r="CW126" s="218" t="n"/>
      <c r="CX126" s="218" t="n"/>
      <c r="CY126" s="218" t="n"/>
      <c r="CZ126" s="218" t="n"/>
      <c r="DA126" s="218" t="n"/>
      <c r="DB126" s="218" t="n"/>
      <c r="DC126" s="218" t="n"/>
      <c r="DD126" s="218" t="n"/>
      <c r="DE126" s="218" t="n"/>
      <c r="DF126" s="218" t="n"/>
      <c r="DG126" s="218" t="n"/>
      <c r="DH126" s="218" t="n"/>
      <c r="DI126" s="218" t="n"/>
      <c r="DJ126" s="218" t="n"/>
      <c r="DK126" s="218" t="n"/>
      <c r="DL126" s="218" t="n"/>
      <c r="DM126" s="218" t="n"/>
      <c r="DN126" s="218" t="n"/>
      <c r="DO126" s="218" t="n"/>
      <c r="DP126" s="218" t="n"/>
      <c r="DQ126" s="218" t="n"/>
      <c r="DR126" s="218" t="n"/>
      <c r="DS126" s="218" t="n"/>
      <c r="DT126" s="218" t="n"/>
      <c r="DU126" s="218" t="n"/>
      <c r="DV126" s="218" t="n"/>
      <c r="DW126" s="218" t="n"/>
      <c r="DX126" s="218" t="n"/>
      <c r="DY126" s="218" t="n"/>
      <c r="DZ126" s="218" t="n"/>
      <c r="EA126" s="218" t="n"/>
      <c r="EB126" s="218" t="n"/>
      <c r="EC126" s="218" t="n"/>
      <c r="ED126" s="218" t="n"/>
      <c r="EE126" s="218" t="n"/>
    </row>
    <row r="127">
      <c r="A127" s="218" t="n"/>
      <c r="B127" s="218" t="n"/>
      <c r="C127" s="145" t="inlineStr">
        <is>
          <t>DIRECCIONES</t>
        </is>
      </c>
      <c r="D127" s="145" t="n"/>
      <c r="E127" s="218" t="n"/>
      <c r="F127" s="218" t="n"/>
      <c r="G127" s="218" t="n"/>
      <c r="H127" s="218" t="n"/>
      <c r="I127" s="218" t="n"/>
      <c r="J127" s="218" t="n"/>
      <c r="K127" s="218" t="n"/>
      <c r="L127" s="218" t="n"/>
      <c r="M127" s="218" t="n"/>
      <c r="N127" s="218" t="n"/>
      <c r="O127" s="218" t="n"/>
      <c r="P127" s="218" t="n"/>
      <c r="Q127" s="146" t="inlineStr">
        <is>
          <t>REALIZO PAGOS PROVISIONALES CORRECTAMENTE</t>
        </is>
      </c>
      <c r="R127" s="146" t="n"/>
      <c r="S127" s="146" t="n"/>
      <c r="T127" s="146" t="n"/>
      <c r="U127" s="146" t="n"/>
      <c r="V127" s="146" t="n"/>
      <c r="W127" s="146" t="n"/>
      <c r="X127" s="146" t="n"/>
      <c r="Y127" s="146" t="n"/>
      <c r="Z127" s="146" t="n"/>
      <c r="AA127" s="146" t="n"/>
      <c r="AB127" s="146" t="n"/>
      <c r="AC127" s="146" t="n"/>
      <c r="AD127" s="146" t="n"/>
      <c r="AE127" s="146" t="n"/>
      <c r="AF127" s="146" t="n"/>
      <c r="AG127" s="146" t="n"/>
      <c r="AH127" s="146" t="n"/>
      <c r="AI127" s="146" t="n"/>
      <c r="AJ127" s="146" t="n"/>
      <c r="AK127" s="146" t="n"/>
      <c r="AL127" s="146" t="n"/>
      <c r="AM127" s="146" t="n"/>
      <c r="AN127" s="146" t="n"/>
      <c r="AO127" s="146" t="n"/>
      <c r="AP127" s="146" t="n"/>
      <c r="AQ127" s="218" t="n"/>
      <c r="AR127" s="218" t="n"/>
      <c r="AS127" s="146" t="n">
        <v>35</v>
      </c>
      <c r="AT127" s="146" t="inlineStr">
        <is>
          <t>(35) COMPULSA INTERNACIONAL</t>
        </is>
      </c>
      <c r="AU127" s="146" t="n"/>
      <c r="AV127" s="146" t="n"/>
      <c r="AW127" s="146" t="n"/>
      <c r="AX127" s="146" t="n"/>
      <c r="AY127" s="146" t="n"/>
      <c r="AZ127" s="146" t="n"/>
      <c r="BA127" s="146" t="n"/>
      <c r="BB127" s="146" t="n"/>
      <c r="BC127" s="146" t="n"/>
      <c r="BD127" s="146" t="n"/>
      <c r="BE127" s="146" t="n"/>
      <c r="BF127" s="146" t="n"/>
      <c r="BG127" s="146" t="n"/>
      <c r="BH127" s="146" t="n"/>
      <c r="BI127" s="146" t="n"/>
      <c r="BJ127" s="146" t="n">
        <v>33</v>
      </c>
      <c r="BK127" s="146" t="inlineStr">
        <is>
          <t>SIEMBRA, CULTIVO Y COSECHA DE UVA</t>
        </is>
      </c>
      <c r="BL127" s="146" t="n"/>
      <c r="BM127" s="146" t="n"/>
      <c r="BN127" s="146" t="n"/>
      <c r="BO127" s="146" t="n"/>
      <c r="BP127" s="146" t="n"/>
      <c r="BQ127" s="146" t="n"/>
      <c r="BR127" s="146" t="n"/>
      <c r="BS127" s="146" t="n"/>
      <c r="BT127" s="218" t="n"/>
      <c r="BU127" s="218" t="n"/>
      <c r="BV127" s="218" t="n"/>
      <c r="BW127" s="218" t="n"/>
      <c r="BX127" s="218" t="n"/>
      <c r="BY127" s="218" t="n"/>
      <c r="BZ127" s="218" t="n"/>
      <c r="CA127" s="218" t="n"/>
      <c r="CB127" s="218" t="n"/>
      <c r="CC127" s="218" t="n"/>
      <c r="CD127" s="218" t="n"/>
      <c r="CE127" s="218" t="n"/>
      <c r="CF127" s="218" t="n"/>
      <c r="CG127" s="218" t="n"/>
      <c r="CH127" s="218" t="n"/>
      <c r="CI127" s="218" t="n"/>
      <c r="CJ127" s="218" t="n"/>
      <c r="CK127" s="218" t="n"/>
      <c r="CL127" s="218" t="n"/>
      <c r="CM127" s="218" t="n"/>
      <c r="CN127" s="218" t="n"/>
      <c r="CO127" s="218" t="n"/>
      <c r="CP127" s="218" t="n"/>
      <c r="CQ127" s="218" t="n"/>
      <c r="CR127" s="218" t="n"/>
      <c r="CS127" s="218" t="n"/>
      <c r="CT127" s="218" t="n"/>
      <c r="CU127" s="146" t="n">
        <v>2803</v>
      </c>
      <c r="CV127" s="146" t="inlineStr">
        <is>
          <t>GUZMAN ALVARADO JORGE</t>
        </is>
      </c>
      <c r="CW127" s="218" t="n"/>
      <c r="CX127" s="218" t="n"/>
      <c r="CY127" s="218" t="n"/>
      <c r="CZ127" s="218" t="n"/>
      <c r="DA127" s="218" t="n"/>
      <c r="DB127" s="218" t="n"/>
      <c r="DC127" s="218" t="n"/>
      <c r="DD127" s="218" t="n"/>
      <c r="DE127" s="218" t="n"/>
      <c r="DF127" s="218" t="n"/>
      <c r="DG127" s="218" t="n"/>
      <c r="DH127" s="218" t="n"/>
      <c r="DI127" s="218" t="n"/>
      <c r="DJ127" s="218" t="n"/>
      <c r="DK127" s="218" t="n"/>
      <c r="DL127" s="218" t="n"/>
      <c r="DM127" s="218" t="n"/>
      <c r="DN127" s="218" t="n"/>
      <c r="DO127" s="218" t="n"/>
      <c r="DP127" s="218" t="n"/>
      <c r="DQ127" s="218" t="n"/>
      <c r="DR127" s="218" t="n"/>
      <c r="DS127" s="218" t="n"/>
      <c r="DT127" s="218" t="n"/>
      <c r="DU127" s="218" t="n"/>
      <c r="DV127" s="218" t="n"/>
      <c r="DW127" s="218" t="n"/>
      <c r="DX127" s="218" t="n"/>
      <c r="DY127" s="218" t="n"/>
      <c r="DZ127" s="218" t="n"/>
      <c r="EA127" s="218" t="n"/>
      <c r="EB127" s="218" t="n"/>
      <c r="EC127" s="218" t="n"/>
      <c r="ED127" s="218" t="n"/>
      <c r="EE127" s="218" t="n"/>
    </row>
    <row r="128">
      <c r="A128" s="218" t="n"/>
      <c r="B128" s="218" t="n"/>
      <c r="C128" s="146" t="inlineStr">
        <is>
          <t>DIR. DE COMERCIO EXTERIOR (DCE)</t>
        </is>
      </c>
      <c r="D128" s="146" t="n"/>
      <c r="E128" s="218" t="n"/>
      <c r="F128" s="218" t="n"/>
      <c r="G128" s="218" t="n"/>
      <c r="H128" s="218" t="n"/>
      <c r="I128" s="218" t="n"/>
      <c r="J128" s="218" t="n"/>
      <c r="K128" s="218" t="n"/>
      <c r="L128" s="218" t="n"/>
      <c r="M128" s="218" t="n"/>
      <c r="N128" s="218" t="n"/>
      <c r="O128" s="218" t="n"/>
      <c r="P128" s="218" t="n"/>
      <c r="Q128" s="146" t="inlineStr">
        <is>
          <t>ACLARO EL ORIGEN DE LOS INGRESOS QUE SE LE SOLICITO</t>
        </is>
      </c>
      <c r="R128" s="146" t="n"/>
      <c r="S128" s="146" t="n"/>
      <c r="T128" s="146" t="n"/>
      <c r="U128" s="146" t="n"/>
      <c r="V128" s="146" t="n"/>
      <c r="W128" s="146" t="n"/>
      <c r="X128" s="146" t="n"/>
      <c r="Y128" s="146" t="n"/>
      <c r="Z128" s="146" t="n"/>
      <c r="AA128" s="146" t="n"/>
      <c r="AB128" s="146" t="n"/>
      <c r="AC128" s="146" t="n"/>
      <c r="AD128" s="146" t="n"/>
      <c r="AE128" s="146" t="n"/>
      <c r="AF128" s="146" t="n"/>
      <c r="AG128" s="146" t="n"/>
      <c r="AH128" s="146" t="n"/>
      <c r="AI128" s="146" t="n"/>
      <c r="AJ128" s="146" t="n"/>
      <c r="AK128" s="146" t="n"/>
      <c r="AL128" s="146" t="n"/>
      <c r="AM128" s="146" t="n"/>
      <c r="AN128" s="146" t="n"/>
      <c r="AO128" s="146" t="n"/>
      <c r="AP128" s="146" t="n"/>
      <c r="AQ128" s="218" t="n"/>
      <c r="AR128" s="218" t="n"/>
      <c r="AS128" s="146" t="n">
        <v>37</v>
      </c>
      <c r="AT128" s="146" t="inlineStr">
        <is>
          <t>(37) ELABORACIÓN Y REVISIÓN DEL OFICIO DE MULTA</t>
        </is>
      </c>
      <c r="AU128" s="146" t="n"/>
      <c r="AV128" s="146" t="n"/>
      <c r="AW128" s="146" t="n"/>
      <c r="AX128" s="146" t="n"/>
      <c r="AY128" s="146" t="n"/>
      <c r="AZ128" s="146" t="n"/>
      <c r="BA128" s="146" t="n"/>
      <c r="BB128" s="146" t="n"/>
      <c r="BC128" s="146" t="n"/>
      <c r="BD128" s="146" t="n"/>
      <c r="BE128" s="146" t="n"/>
      <c r="BF128" s="146" t="n"/>
      <c r="BG128" s="146" t="n"/>
      <c r="BH128" s="146" t="n"/>
      <c r="BI128" s="146" t="n"/>
      <c r="BJ128" s="146" t="n">
        <v>34</v>
      </c>
      <c r="BK128" s="146" t="inlineStr">
        <is>
          <t>SIEMBRA, CULTIVO Y COSECHA DE MANZANA</t>
        </is>
      </c>
      <c r="BL128" s="146" t="n"/>
      <c r="BM128" s="146" t="n"/>
      <c r="BN128" s="146" t="n"/>
      <c r="BO128" s="146" t="n"/>
      <c r="BP128" s="146" t="n"/>
      <c r="BQ128" s="146" t="n"/>
      <c r="BR128" s="146" t="n"/>
      <c r="BS128" s="146" t="n"/>
      <c r="BT128" s="218" t="n"/>
      <c r="BU128" s="218" t="n"/>
      <c r="BV128" s="218" t="n"/>
      <c r="BW128" s="218" t="n"/>
      <c r="BX128" s="218" t="n"/>
      <c r="BY128" s="218" t="n"/>
      <c r="BZ128" s="218" t="n"/>
      <c r="CA128" s="218" t="n"/>
      <c r="CB128" s="218" t="n"/>
      <c r="CC128" s="218" t="n"/>
      <c r="CD128" s="218" t="n"/>
      <c r="CE128" s="218" t="n"/>
      <c r="CF128" s="218" t="n"/>
      <c r="CG128" s="218" t="n"/>
      <c r="CH128" s="218" t="n"/>
      <c r="CI128" s="218" t="n"/>
      <c r="CJ128" s="218" t="n"/>
      <c r="CK128" s="218" t="n"/>
      <c r="CL128" s="218" t="n"/>
      <c r="CM128" s="218" t="n"/>
      <c r="CN128" s="218" t="n"/>
      <c r="CO128" s="218" t="n"/>
      <c r="CP128" s="218" t="n"/>
      <c r="CQ128" s="218" t="n"/>
      <c r="CR128" s="218" t="n"/>
      <c r="CS128" s="218" t="n"/>
      <c r="CT128" s="218" t="n"/>
      <c r="CU128" s="146" t="n">
        <v>2804</v>
      </c>
      <c r="CV128" s="146" t="inlineStr">
        <is>
          <t>MARTINEZ ALVA DOMITILA IMELDA</t>
        </is>
      </c>
      <c r="CW128" s="218" t="n"/>
      <c r="CX128" s="218" t="n"/>
      <c r="CY128" s="218" t="n"/>
      <c r="CZ128" s="218" t="n"/>
      <c r="DA128" s="218" t="n"/>
      <c r="DB128" s="218" t="n"/>
      <c r="DC128" s="218" t="n"/>
      <c r="DD128" s="218" t="n"/>
      <c r="DE128" s="218" t="n"/>
      <c r="DF128" s="218" t="n"/>
      <c r="DG128" s="218" t="n"/>
      <c r="DH128" s="218" t="n"/>
      <c r="DI128" s="218" t="n"/>
      <c r="DJ128" s="218" t="n"/>
      <c r="DK128" s="218" t="n"/>
      <c r="DL128" s="218" t="n"/>
      <c r="DM128" s="218" t="n"/>
      <c r="DN128" s="218" t="n"/>
      <c r="DO128" s="218" t="n"/>
      <c r="DP128" s="218" t="n"/>
      <c r="DQ128" s="218" t="n"/>
      <c r="DR128" s="218" t="n"/>
      <c r="DS128" s="218" t="n"/>
      <c r="DT128" s="218" t="n"/>
      <c r="DU128" s="218" t="n"/>
      <c r="DV128" s="218" t="n"/>
      <c r="DW128" s="218" t="n"/>
      <c r="DX128" s="218" t="n"/>
      <c r="DY128" s="218" t="n"/>
      <c r="DZ128" s="218" t="n"/>
      <c r="EA128" s="218" t="n"/>
      <c r="EB128" s="218" t="n"/>
      <c r="EC128" s="218" t="n"/>
      <c r="ED128" s="218" t="n"/>
      <c r="EE128" s="218" t="n"/>
    </row>
    <row r="129">
      <c r="A129" s="218" t="n"/>
      <c r="B129" s="218" t="n"/>
      <c r="C129" s="146" t="inlineStr">
        <is>
          <t>DIR. DE GABINETE Y DICTÁMENES (DGD)</t>
        </is>
      </c>
      <c r="D129" s="146" t="n"/>
      <c r="E129" s="218" t="n"/>
      <c r="F129" s="218" t="n"/>
      <c r="G129" s="218" t="n"/>
      <c r="H129" s="218" t="n"/>
      <c r="I129" s="218" t="n"/>
      <c r="J129" s="218" t="n"/>
      <c r="K129" s="218" t="n"/>
      <c r="L129" s="218" t="n"/>
      <c r="M129" s="218" t="n"/>
      <c r="N129" s="218" t="n"/>
      <c r="O129" s="218" t="n"/>
      <c r="P129" s="218" t="n"/>
      <c r="Q129" s="146" t="inlineStr">
        <is>
          <t>SE REALIZO COMPULSA, NO HUBO DIFERENCIAS</t>
        </is>
      </c>
      <c r="R129" s="146" t="n"/>
      <c r="S129" s="146" t="n"/>
      <c r="T129" s="146" t="n"/>
      <c r="U129" s="146" t="n"/>
      <c r="V129" s="146" t="n"/>
      <c r="W129" s="146" t="n"/>
      <c r="X129" s="146" t="n"/>
      <c r="Y129" s="146" t="n"/>
      <c r="Z129" s="146" t="n"/>
      <c r="AA129" s="146" t="n"/>
      <c r="AB129" s="146" t="n"/>
      <c r="AC129" s="146" t="n"/>
      <c r="AD129" s="146" t="n"/>
      <c r="AE129" s="146" t="n"/>
      <c r="AF129" s="146" t="n"/>
      <c r="AG129" s="146" t="n"/>
      <c r="AH129" s="146" t="n"/>
      <c r="AI129" s="146" t="n"/>
      <c r="AJ129" s="146" t="n"/>
      <c r="AK129" s="146" t="n"/>
      <c r="AL129" s="146" t="n"/>
      <c r="AM129" s="146" t="n"/>
      <c r="AN129" s="146" t="n"/>
      <c r="AO129" s="146" t="n"/>
      <c r="AP129" s="146" t="n"/>
      <c r="AQ129" s="218" t="n"/>
      <c r="AR129" s="218" t="n"/>
      <c r="AS129" s="146" t="n">
        <v>38</v>
      </c>
      <c r="AT129" s="146" t="inlineStr">
        <is>
          <t>(38) ELABORACIÓN Y REVISIÓN DEL OFICIO DE CONCLUSIONES</t>
        </is>
      </c>
      <c r="AU129" s="146" t="n"/>
      <c r="AV129" s="146" t="n"/>
      <c r="AW129" s="146" t="n"/>
      <c r="AX129" s="146" t="n"/>
      <c r="AY129" s="146" t="n"/>
      <c r="AZ129" s="146" t="n"/>
      <c r="BA129" s="146" t="n"/>
      <c r="BB129" s="146" t="n"/>
      <c r="BC129" s="146" t="n"/>
      <c r="BD129" s="146" t="n"/>
      <c r="BE129" s="146" t="n"/>
      <c r="BF129" s="146" t="n"/>
      <c r="BG129" s="146" t="n"/>
      <c r="BH129" s="146" t="n"/>
      <c r="BI129" s="146" t="n"/>
      <c r="BJ129" s="146" t="n">
        <v>35</v>
      </c>
      <c r="BK129" s="146" t="inlineStr">
        <is>
          <t>SIEMBRA, CULTIVO Y COSECHA DE CACAO</t>
        </is>
      </c>
      <c r="BL129" s="146" t="n"/>
      <c r="BM129" s="146" t="n"/>
      <c r="BN129" s="146" t="n"/>
      <c r="BO129" s="146" t="n"/>
      <c r="BP129" s="146" t="n"/>
      <c r="BQ129" s="146" t="n"/>
      <c r="BR129" s="146" t="n"/>
      <c r="BS129" s="146" t="n"/>
      <c r="BT129" s="218" t="n"/>
      <c r="BU129" s="218" t="n"/>
      <c r="BV129" s="218" t="n"/>
      <c r="BW129" s="218" t="n"/>
      <c r="BX129" s="218" t="n"/>
      <c r="BY129" s="218" t="n"/>
      <c r="BZ129" s="218" t="n"/>
      <c r="CA129" s="218" t="n"/>
      <c r="CB129" s="218" t="n"/>
      <c r="CC129" s="218" t="n"/>
      <c r="CD129" s="218" t="n"/>
      <c r="CE129" s="218" t="n"/>
      <c r="CF129" s="218" t="n"/>
      <c r="CG129" s="218" t="n"/>
      <c r="CH129" s="218" t="n"/>
      <c r="CI129" s="218" t="n"/>
      <c r="CJ129" s="218" t="n"/>
      <c r="CK129" s="218" t="n"/>
      <c r="CL129" s="218" t="n"/>
      <c r="CM129" s="218" t="n"/>
      <c r="CN129" s="218" t="n"/>
      <c r="CO129" s="218" t="n"/>
      <c r="CP129" s="218" t="n"/>
      <c r="CQ129" s="218" t="n"/>
      <c r="CR129" s="218" t="n"/>
      <c r="CS129" s="218" t="n"/>
      <c r="CT129" s="218" t="n"/>
      <c r="CU129" s="146" t="n">
        <v>2805</v>
      </c>
      <c r="CV129" s="146" t="inlineStr">
        <is>
          <t>MORENO VARGAS AMIN</t>
        </is>
      </c>
      <c r="CW129" s="218" t="n"/>
      <c r="CX129" s="218" t="n"/>
      <c r="CY129" s="218" t="n"/>
      <c r="CZ129" s="218" t="n"/>
      <c r="DA129" s="218" t="n"/>
      <c r="DB129" s="218" t="n"/>
      <c r="DC129" s="218" t="n"/>
      <c r="DD129" s="218" t="n"/>
      <c r="DE129" s="218" t="n"/>
      <c r="DF129" s="218" t="n"/>
      <c r="DG129" s="218" t="n"/>
      <c r="DH129" s="218" t="n"/>
      <c r="DI129" s="218" t="n"/>
      <c r="DJ129" s="218" t="n"/>
      <c r="DK129" s="218" t="n"/>
      <c r="DL129" s="218" t="n"/>
      <c r="DM129" s="218" t="n"/>
      <c r="DN129" s="218" t="n"/>
      <c r="DO129" s="218" t="n"/>
      <c r="DP129" s="218" t="n"/>
      <c r="DQ129" s="218" t="n"/>
      <c r="DR129" s="218" t="n"/>
      <c r="DS129" s="218" t="n"/>
      <c r="DT129" s="218" t="n"/>
      <c r="DU129" s="218" t="n"/>
      <c r="DV129" s="218" t="n"/>
      <c r="DW129" s="218" t="n"/>
      <c r="DX129" s="218" t="n"/>
      <c r="DY129" s="218" t="n"/>
      <c r="DZ129" s="218" t="n"/>
      <c r="EA129" s="218" t="n"/>
      <c r="EB129" s="218" t="n"/>
      <c r="EC129" s="218" t="n"/>
      <c r="ED129" s="218" t="n"/>
      <c r="EE129" s="218" t="n"/>
    </row>
    <row r="130">
      <c r="A130" s="218" t="n"/>
      <c r="B130" s="218" t="n"/>
      <c r="C130" s="146" t="inlineStr">
        <is>
          <t>DIR. DE PROCEDIMIENTOS LEGALES DE FISCALIZACIÓN (DPLF)</t>
        </is>
      </c>
      <c r="D130" s="146" t="n"/>
      <c r="E130" s="218" t="n"/>
      <c r="F130" s="218" t="n"/>
      <c r="G130" s="218" t="n"/>
      <c r="H130" s="218" t="n"/>
      <c r="I130" s="218" t="n"/>
      <c r="J130" s="218" t="n"/>
      <c r="K130" s="218" t="n"/>
      <c r="L130" s="218" t="n"/>
      <c r="M130" s="218" t="n"/>
      <c r="N130" s="218" t="n"/>
      <c r="O130" s="218" t="n"/>
      <c r="P130" s="218" t="n"/>
      <c r="Q130" s="146" t="inlineStr">
        <is>
          <t>SE COMPROBO EL CORRECTO CALCULO DEL COMPONENTE INFLACIONARIO</t>
        </is>
      </c>
      <c r="R130" s="146" t="n"/>
      <c r="S130" s="146" t="n"/>
      <c r="T130" s="146" t="n"/>
      <c r="U130" s="146" t="n"/>
      <c r="V130" s="146" t="n"/>
      <c r="W130" s="146" t="n"/>
      <c r="X130" s="146" t="n"/>
      <c r="Y130" s="146" t="n"/>
      <c r="Z130" s="146" t="n"/>
      <c r="AA130" s="146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46" t="n"/>
      <c r="AL130" s="146" t="n"/>
      <c r="AM130" s="146" t="n"/>
      <c r="AN130" s="146" t="n"/>
      <c r="AO130" s="146" t="n"/>
      <c r="AP130" s="146" t="n"/>
      <c r="AQ130" s="218" t="n"/>
      <c r="AR130" s="218" t="n"/>
      <c r="AS130" s="146" t="n">
        <v>39</v>
      </c>
      <c r="AT130" s="146" t="inlineStr">
        <is>
          <t>(39) INFORME DE INICIO DE AUDITORIA</t>
        </is>
      </c>
      <c r="AU130" s="146" t="n"/>
      <c r="AV130" s="146" t="n"/>
      <c r="AW130" s="146" t="n"/>
      <c r="AX130" s="146" t="n"/>
      <c r="AY130" s="146" t="n"/>
      <c r="AZ130" s="146" t="n"/>
      <c r="BA130" s="146" t="n"/>
      <c r="BB130" s="146" t="n"/>
      <c r="BC130" s="146" t="n"/>
      <c r="BD130" s="146" t="n"/>
      <c r="BE130" s="146" t="n"/>
      <c r="BF130" s="146" t="n"/>
      <c r="BG130" s="146" t="n"/>
      <c r="BH130" s="146" t="n"/>
      <c r="BI130" s="146" t="n"/>
      <c r="BJ130" s="146" t="n">
        <v>36</v>
      </c>
      <c r="BK130" s="146" t="inlineStr">
        <is>
          <t>SIEMBRA, CULTIVO Y COSECHA DE OTROS FRUTALES NO CITRICOS</t>
        </is>
      </c>
      <c r="BL130" s="146" t="n"/>
      <c r="BM130" s="146" t="n"/>
      <c r="BN130" s="146" t="n"/>
      <c r="BO130" s="146" t="n"/>
      <c r="BP130" s="146" t="n"/>
      <c r="BQ130" s="146" t="n"/>
      <c r="BR130" s="146" t="n"/>
      <c r="BS130" s="146" t="n"/>
      <c r="BT130" s="218" t="n"/>
      <c r="BU130" s="218" t="n"/>
      <c r="BV130" s="218" t="n"/>
      <c r="BW130" s="218" t="n"/>
      <c r="BX130" s="218" t="n"/>
      <c r="BY130" s="218" t="n"/>
      <c r="BZ130" s="218" t="n"/>
      <c r="CA130" s="218" t="n"/>
      <c r="CB130" s="218" t="n"/>
      <c r="CC130" s="218" t="n"/>
      <c r="CD130" s="218" t="n"/>
      <c r="CE130" s="218" t="n"/>
      <c r="CF130" s="218" t="n"/>
      <c r="CG130" s="218" t="n"/>
      <c r="CH130" s="218" t="n"/>
      <c r="CI130" s="218" t="n"/>
      <c r="CJ130" s="218" t="n"/>
      <c r="CK130" s="218" t="n"/>
      <c r="CL130" s="218" t="n"/>
      <c r="CM130" s="218" t="n"/>
      <c r="CN130" s="218" t="n"/>
      <c r="CO130" s="218" t="n"/>
      <c r="CP130" s="218" t="n"/>
      <c r="CQ130" s="218" t="n"/>
      <c r="CR130" s="218" t="n"/>
      <c r="CS130" s="218" t="n"/>
      <c r="CT130" s="218" t="n"/>
      <c r="CU130" s="146" t="n">
        <v>2806</v>
      </c>
      <c r="CV130" s="146" t="inlineStr">
        <is>
          <t>PALOMERA GRANO MAURICIO</t>
        </is>
      </c>
      <c r="CW130" s="218" t="n"/>
      <c r="CX130" s="218" t="n"/>
      <c r="CY130" s="218" t="n"/>
      <c r="CZ130" s="218" t="n"/>
      <c r="DA130" s="218" t="n"/>
      <c r="DB130" s="218" t="n"/>
      <c r="DC130" s="218" t="n"/>
      <c r="DD130" s="218" t="n"/>
      <c r="DE130" s="218" t="n"/>
      <c r="DF130" s="218" t="n"/>
      <c r="DG130" s="218" t="n"/>
      <c r="DH130" s="218" t="n"/>
      <c r="DI130" s="218" t="n"/>
      <c r="DJ130" s="218" t="n"/>
      <c r="DK130" s="218" t="n"/>
      <c r="DL130" s="218" t="n"/>
      <c r="DM130" s="218" t="n"/>
      <c r="DN130" s="218" t="n"/>
      <c r="DO130" s="218" t="n"/>
      <c r="DP130" s="218" t="n"/>
      <c r="DQ130" s="218" t="n"/>
      <c r="DR130" s="218" t="n"/>
      <c r="DS130" s="218" t="n"/>
      <c r="DT130" s="218" t="n"/>
      <c r="DU130" s="218" t="n"/>
      <c r="DV130" s="218" t="n"/>
      <c r="DW130" s="218" t="n"/>
      <c r="DX130" s="218" t="n"/>
      <c r="DY130" s="218" t="n"/>
      <c r="DZ130" s="218" t="n"/>
      <c r="EA130" s="218" t="n"/>
      <c r="EB130" s="218" t="n"/>
      <c r="EC130" s="218" t="n"/>
      <c r="ED130" s="218" t="n"/>
      <c r="EE130" s="218" t="n"/>
    </row>
    <row r="131">
      <c r="A131" s="218" t="n"/>
      <c r="B131" s="218" t="n"/>
      <c r="C131" s="146" t="inlineStr">
        <is>
          <t>DIR. DE PROGRAMACIÓN DE FISCALIZACIÓN (DFF)</t>
        </is>
      </c>
      <c r="D131" s="146" t="n"/>
      <c r="E131" s="218" t="n"/>
      <c r="F131" s="218" t="n"/>
      <c r="G131" s="218" t="n"/>
      <c r="H131" s="218" t="n"/>
      <c r="I131" s="218" t="n"/>
      <c r="J131" s="218" t="n"/>
      <c r="K131" s="218" t="n"/>
      <c r="L131" s="218" t="n"/>
      <c r="M131" s="218" t="n"/>
      <c r="N131" s="218" t="n"/>
      <c r="O131" s="218" t="n"/>
      <c r="P131" s="218" t="n"/>
      <c r="Q131" s="146" t="inlineStr">
        <is>
          <t>SE VERIFICO QUE LAS DIFERENCIAS POR DICTAMEN SI FUERON ENTERADAS</t>
        </is>
      </c>
      <c r="R131" s="146" t="n"/>
      <c r="S131" s="146" t="n"/>
      <c r="T131" s="146" t="n"/>
      <c r="U131" s="146" t="n"/>
      <c r="V131" s="146" t="n"/>
      <c r="W131" s="146" t="n"/>
      <c r="X131" s="146" t="n"/>
      <c r="Y131" s="146" t="n"/>
      <c r="Z131" s="146" t="n"/>
      <c r="AA131" s="146" t="n"/>
      <c r="AB131" s="146" t="n"/>
      <c r="AC131" s="146" t="n"/>
      <c r="AD131" s="146" t="n"/>
      <c r="AE131" s="146" t="n"/>
      <c r="AF131" s="146" t="n"/>
      <c r="AG131" s="146" t="n"/>
      <c r="AH131" s="146" t="n"/>
      <c r="AI131" s="146" t="n"/>
      <c r="AJ131" s="146" t="n"/>
      <c r="AK131" s="146" t="n"/>
      <c r="AL131" s="146" t="n"/>
      <c r="AM131" s="146" t="n"/>
      <c r="AN131" s="146" t="n"/>
      <c r="AO131" s="146" t="n"/>
      <c r="AP131" s="146" t="n"/>
      <c r="AQ131" s="218" t="n"/>
      <c r="AR131" s="218" t="n"/>
      <c r="AS131" s="146" t="n">
        <v>41</v>
      </c>
      <c r="AT131" s="146" t="inlineStr">
        <is>
          <t>(41) VALORACIÓN DEL ACTA DE INICIO POR EL AREA DE PROCEDIMIENTOS LEGALES</t>
        </is>
      </c>
      <c r="AU131" s="146" t="n"/>
      <c r="AV131" s="146" t="n"/>
      <c r="AW131" s="146" t="n"/>
      <c r="AX131" s="146" t="n"/>
      <c r="AY131" s="146" t="n"/>
      <c r="AZ131" s="146" t="n"/>
      <c r="BA131" s="146" t="n"/>
      <c r="BB131" s="146" t="n"/>
      <c r="BC131" s="146" t="n"/>
      <c r="BD131" s="146" t="n"/>
      <c r="BE131" s="146" t="n"/>
      <c r="BF131" s="146" t="n"/>
      <c r="BG131" s="146" t="n"/>
      <c r="BH131" s="146" t="n"/>
      <c r="BI131" s="146" t="n"/>
      <c r="BJ131" s="146" t="n">
        <v>37</v>
      </c>
      <c r="BK131" s="146" t="inlineStr">
        <is>
          <t>SIEMBRA, CULTIVO Y COSECHA DE PRODUCTOS ALIMENTICIOS EN INVERNADEROS</t>
        </is>
      </c>
      <c r="BL131" s="146" t="n"/>
      <c r="BM131" s="146" t="n"/>
      <c r="BN131" s="146" t="n"/>
      <c r="BO131" s="146" t="n"/>
      <c r="BP131" s="146" t="n"/>
      <c r="BQ131" s="146" t="n"/>
      <c r="BR131" s="146" t="n"/>
      <c r="BS131" s="146" t="n"/>
      <c r="BT131" s="218" t="n"/>
      <c r="BU131" s="218" t="n"/>
      <c r="BV131" s="218" t="n"/>
      <c r="BW131" s="218" t="n"/>
      <c r="BX131" s="218" t="n"/>
      <c r="BY131" s="218" t="n"/>
      <c r="BZ131" s="218" t="n"/>
      <c r="CA131" s="218" t="n"/>
      <c r="CB131" s="218" t="n"/>
      <c r="CC131" s="218" t="n"/>
      <c r="CD131" s="218" t="n"/>
      <c r="CE131" s="218" t="n"/>
      <c r="CF131" s="218" t="n"/>
      <c r="CG131" s="218" t="n"/>
      <c r="CH131" s="218" t="n"/>
      <c r="CI131" s="218" t="n"/>
      <c r="CJ131" s="218" t="n"/>
      <c r="CK131" s="218" t="n"/>
      <c r="CL131" s="218" t="n"/>
      <c r="CM131" s="218" t="n"/>
      <c r="CN131" s="218" t="n"/>
      <c r="CO131" s="218" t="n"/>
      <c r="CP131" s="218" t="n"/>
      <c r="CQ131" s="218" t="n"/>
      <c r="CR131" s="218" t="n"/>
      <c r="CS131" s="218" t="n"/>
      <c r="CT131" s="218" t="n"/>
      <c r="CU131" s="146" t="n">
        <v>3319</v>
      </c>
      <c r="CV131" s="146" t="inlineStr">
        <is>
          <t>VALDEZ JOAQUIN JUAN FRANCISCO</t>
        </is>
      </c>
      <c r="CW131" s="218" t="n"/>
      <c r="CX131" s="218" t="n"/>
      <c r="CY131" s="218" t="n"/>
      <c r="CZ131" s="218" t="n"/>
      <c r="DA131" s="218" t="n"/>
      <c r="DB131" s="218" t="n"/>
      <c r="DC131" s="218" t="n"/>
      <c r="DD131" s="218" t="n"/>
      <c r="DE131" s="218" t="n"/>
      <c r="DF131" s="218" t="n"/>
      <c r="DG131" s="218" t="n"/>
      <c r="DH131" s="218" t="n"/>
      <c r="DI131" s="218" t="n"/>
      <c r="DJ131" s="218" t="n"/>
      <c r="DK131" s="218" t="n"/>
      <c r="DL131" s="218" t="n"/>
      <c r="DM131" s="218" t="n"/>
      <c r="DN131" s="218" t="n"/>
      <c r="DO131" s="218" t="n"/>
      <c r="DP131" s="218" t="n"/>
      <c r="DQ131" s="218" t="n"/>
      <c r="DR131" s="218" t="n"/>
      <c r="DS131" s="218" t="n"/>
      <c r="DT131" s="218" t="n"/>
      <c r="DU131" s="218" t="n"/>
      <c r="DV131" s="218" t="n"/>
      <c r="DW131" s="218" t="n"/>
      <c r="DX131" s="218" t="n"/>
      <c r="DY131" s="218" t="n"/>
      <c r="DZ131" s="218" t="n"/>
      <c r="EA131" s="218" t="n"/>
      <c r="EB131" s="218" t="n"/>
      <c r="EC131" s="218" t="n"/>
      <c r="ED131" s="218" t="n"/>
      <c r="EE131" s="218" t="n"/>
    </row>
    <row r="132">
      <c r="A132" s="218" t="n"/>
      <c r="B132" s="218" t="n"/>
      <c r="C132" s="146" t="inlineStr">
        <is>
          <t>DIR. DE VISITAS DOMICILIARIAS I (DVD1)</t>
        </is>
      </c>
      <c r="D132" s="146" t="n"/>
      <c r="E132" s="218" t="n"/>
      <c r="F132" s="218" t="n"/>
      <c r="G132" s="218" t="n"/>
      <c r="H132" s="218" t="n"/>
      <c r="I132" s="218" t="n"/>
      <c r="J132" s="218" t="n"/>
      <c r="K132" s="218" t="n"/>
      <c r="L132" s="218" t="n"/>
      <c r="M132" s="218" t="n"/>
      <c r="N132" s="218" t="n"/>
      <c r="O132" s="218" t="n"/>
      <c r="P132" s="218" t="n"/>
      <c r="Q132" s="146" t="inlineStr">
        <is>
          <t>DEDUCCIONES COMPROBADAS</t>
        </is>
      </c>
      <c r="R132" s="146" t="n"/>
      <c r="S132" s="146" t="n"/>
      <c r="T132" s="146" t="n"/>
      <c r="U132" s="146" t="n"/>
      <c r="V132" s="146" t="n"/>
      <c r="W132" s="146" t="n"/>
      <c r="X132" s="146" t="n"/>
      <c r="Y132" s="146" t="n"/>
      <c r="Z132" s="146" t="n"/>
      <c r="AA132" s="146" t="n"/>
      <c r="AB132" s="146" t="n"/>
      <c r="AC132" s="146" t="n"/>
      <c r="AD132" s="146" t="n"/>
      <c r="AE132" s="146" t="n"/>
      <c r="AF132" s="146" t="n"/>
      <c r="AG132" s="146" t="n"/>
      <c r="AH132" s="146" t="n"/>
      <c r="AI132" s="146" t="n"/>
      <c r="AJ132" s="146" t="n"/>
      <c r="AK132" s="146" t="n"/>
      <c r="AL132" s="146" t="n"/>
      <c r="AM132" s="146" t="n"/>
      <c r="AN132" s="146" t="n"/>
      <c r="AO132" s="146" t="n"/>
      <c r="AP132" s="146" t="n"/>
      <c r="AQ132" s="218" t="n"/>
      <c r="AR132" s="218" t="n"/>
      <c r="AS132" s="146" t="n">
        <v>42</v>
      </c>
      <c r="AT132" s="146" t="inlineStr">
        <is>
          <t>(42) PLANEACION DE LA AUDITORIA</t>
        </is>
      </c>
      <c r="AU132" s="146" t="n"/>
      <c r="AV132" s="146" t="n"/>
      <c r="AW132" s="146" t="n"/>
      <c r="AX132" s="146" t="n"/>
      <c r="AY132" s="146" t="n"/>
      <c r="AZ132" s="146" t="n"/>
      <c r="BA132" s="146" t="n"/>
      <c r="BB132" s="146" t="n"/>
      <c r="BC132" s="146" t="n"/>
      <c r="BD132" s="146" t="n"/>
      <c r="BE132" s="146" t="n"/>
      <c r="BF132" s="146" t="n"/>
      <c r="BG132" s="146" t="n"/>
      <c r="BH132" s="146" t="n"/>
      <c r="BI132" s="146" t="n"/>
      <c r="BJ132" s="146" t="n">
        <v>38</v>
      </c>
      <c r="BK132" s="146" t="inlineStr">
        <is>
          <t>SIEMBRA, CULTIVO Y COSECHA DE FLORES A CIELO ABIERTO</t>
        </is>
      </c>
      <c r="BL132" s="146" t="n"/>
      <c r="BM132" s="146" t="n"/>
      <c r="BN132" s="146" t="n"/>
      <c r="BO132" s="146" t="n"/>
      <c r="BP132" s="146" t="n"/>
      <c r="BQ132" s="146" t="n"/>
      <c r="BR132" s="146" t="n"/>
      <c r="BS132" s="146" t="n"/>
      <c r="BT132" s="218" t="n"/>
      <c r="BU132" s="218" t="n"/>
      <c r="BV132" s="218" t="n"/>
      <c r="BW132" s="218" t="n"/>
      <c r="BX132" s="218" t="n"/>
      <c r="BY132" s="218" t="n"/>
      <c r="BZ132" s="218" t="n"/>
      <c r="CA132" s="218" t="n"/>
      <c r="CB132" s="218" t="n"/>
      <c r="CC132" s="218" t="n"/>
      <c r="CD132" s="218" t="n"/>
      <c r="CE132" s="218" t="n"/>
      <c r="CF132" s="218" t="n"/>
      <c r="CG132" s="218" t="n"/>
      <c r="CH132" s="218" t="n"/>
      <c r="CI132" s="218" t="n"/>
      <c r="CJ132" s="218" t="n"/>
      <c r="CK132" s="218" t="n"/>
      <c r="CL132" s="218" t="n"/>
      <c r="CM132" s="218" t="n"/>
      <c r="CN132" s="218" t="n"/>
      <c r="CO132" s="218" t="n"/>
      <c r="CP132" s="218" t="n"/>
      <c r="CQ132" s="218" t="n"/>
      <c r="CR132" s="218" t="n"/>
      <c r="CS132" s="218" t="n"/>
      <c r="CT132" s="218" t="n"/>
      <c r="CU132" s="146" t="n">
        <v>3345</v>
      </c>
      <c r="CV132" s="146" t="inlineStr">
        <is>
          <t>CERVANTES FLORES ADRIANA</t>
        </is>
      </c>
      <c r="CW132" s="218" t="n"/>
      <c r="CX132" s="218" t="n"/>
      <c r="CY132" s="218" t="n"/>
      <c r="CZ132" s="218" t="n"/>
      <c r="DA132" s="218" t="n"/>
      <c r="DB132" s="218" t="n"/>
      <c r="DC132" s="218" t="n"/>
      <c r="DD132" s="218" t="n"/>
      <c r="DE132" s="218" t="n"/>
      <c r="DF132" s="218" t="n"/>
      <c r="DG132" s="218" t="n"/>
      <c r="DH132" s="218" t="n"/>
      <c r="DI132" s="218" t="n"/>
      <c r="DJ132" s="218" t="n"/>
      <c r="DK132" s="218" t="n"/>
      <c r="DL132" s="218" t="n"/>
      <c r="DM132" s="218" t="n"/>
      <c r="DN132" s="218" t="n"/>
      <c r="DO132" s="218" t="n"/>
      <c r="DP132" s="218" t="n"/>
      <c r="DQ132" s="218" t="n"/>
      <c r="DR132" s="218" t="n"/>
      <c r="DS132" s="218" t="n"/>
      <c r="DT132" s="218" t="n"/>
      <c r="DU132" s="218" t="n"/>
      <c r="DV132" s="218" t="n"/>
      <c r="DW132" s="218" t="n"/>
      <c r="DX132" s="218" t="n"/>
      <c r="DY132" s="218" t="n"/>
      <c r="DZ132" s="218" t="n"/>
      <c r="EA132" s="218" t="n"/>
      <c r="EB132" s="218" t="n"/>
      <c r="EC132" s="218" t="n"/>
      <c r="ED132" s="218" t="n"/>
      <c r="EE132" s="218" t="n"/>
    </row>
    <row r="133">
      <c r="A133" s="218" t="n"/>
      <c r="B133" s="218" t="n"/>
      <c r="C133" s="146" t="inlineStr">
        <is>
          <t>DIR. DE VISITAS DOMICILIARIAS II   (DVD2)</t>
        </is>
      </c>
      <c r="D133" s="146" t="n"/>
      <c r="E133" s="218" t="n"/>
      <c r="F133" s="218" t="n"/>
      <c r="G133" s="218" t="n"/>
      <c r="H133" s="218" t="n"/>
      <c r="I133" s="218" t="n"/>
      <c r="J133" s="218" t="n"/>
      <c r="K133" s="218" t="n"/>
      <c r="L133" s="218" t="n"/>
      <c r="M133" s="218" t="n"/>
      <c r="N133" s="218" t="n"/>
      <c r="O133" s="218" t="n"/>
      <c r="P133" s="218" t="n"/>
      <c r="Q133" s="146" t="inlineStr">
        <is>
          <t>CONTRIBUYENTE RPESENTO AVISO DE FUSION</t>
        </is>
      </c>
      <c r="R133" s="146" t="n"/>
      <c r="S133" s="146" t="n"/>
      <c r="T133" s="146" t="n"/>
      <c r="U133" s="146" t="n"/>
      <c r="V133" s="146" t="n"/>
      <c r="W133" s="146" t="n"/>
      <c r="X133" s="146" t="n"/>
      <c r="Y133" s="146" t="n"/>
      <c r="Z133" s="146" t="n"/>
      <c r="AA133" s="146" t="n"/>
      <c r="AB133" s="146" t="n"/>
      <c r="AC133" s="146" t="n"/>
      <c r="AD133" s="146" t="n"/>
      <c r="AE133" s="146" t="n"/>
      <c r="AF133" s="146" t="n"/>
      <c r="AG133" s="146" t="n"/>
      <c r="AH133" s="146" t="n"/>
      <c r="AI133" s="146" t="n"/>
      <c r="AJ133" s="146" t="n"/>
      <c r="AK133" s="146" t="n"/>
      <c r="AL133" s="146" t="n"/>
      <c r="AM133" s="146" t="n"/>
      <c r="AN133" s="146" t="n"/>
      <c r="AO133" s="146" t="n"/>
      <c r="AP133" s="146" t="n"/>
      <c r="AQ133" s="218" t="n"/>
      <c r="AR133" s="218" t="n"/>
      <c r="AS133" s="146" t="n">
        <v>43</v>
      </c>
      <c r="AT133" s="146" t="inlineStr">
        <is>
          <t>(43) DESAHOGO DE PROCEDIMIENTOS DE AUDITORIA</t>
        </is>
      </c>
      <c r="AU133" s="146" t="n"/>
      <c r="AV133" s="146" t="n"/>
      <c r="AW133" s="146" t="n"/>
      <c r="AX133" s="146" t="n"/>
      <c r="AY133" s="146" t="n"/>
      <c r="AZ133" s="146" t="n"/>
      <c r="BA133" s="146" t="n"/>
      <c r="BB133" s="146" t="n"/>
      <c r="BC133" s="146" t="n"/>
      <c r="BD133" s="146" t="n"/>
      <c r="BE133" s="146" t="n"/>
      <c r="BF133" s="146" t="n"/>
      <c r="BG133" s="146" t="n"/>
      <c r="BH133" s="146" t="n"/>
      <c r="BI133" s="146" t="n"/>
      <c r="BJ133" s="146" t="n">
        <v>39</v>
      </c>
      <c r="BK133" s="146" t="inlineStr">
        <is>
          <t>SIEMBRA, CULTIVO Y COSECHA DE FLORES EN INVERNADERO</t>
        </is>
      </c>
      <c r="BL133" s="146" t="n"/>
      <c r="BM133" s="146" t="n"/>
      <c r="BN133" s="146" t="n"/>
      <c r="BO133" s="146" t="n"/>
      <c r="BP133" s="146" t="n"/>
      <c r="BQ133" s="146" t="n"/>
      <c r="BR133" s="146" t="n"/>
      <c r="BS133" s="146" t="n"/>
      <c r="BT133" s="218" t="n"/>
      <c r="BU133" s="218" t="n"/>
      <c r="BV133" s="218" t="n"/>
      <c r="BW133" s="218" t="n"/>
      <c r="BX133" s="218" t="n"/>
      <c r="BY133" s="218" t="n"/>
      <c r="BZ133" s="218" t="n"/>
      <c r="CA133" s="218" t="n"/>
      <c r="CB133" s="218" t="n"/>
      <c r="CC133" s="218" t="n"/>
      <c r="CD133" s="218" t="n"/>
      <c r="CE133" s="218" t="n"/>
      <c r="CF133" s="218" t="n"/>
      <c r="CG133" s="218" t="n"/>
      <c r="CH133" s="218" t="n"/>
      <c r="CI133" s="218" t="n"/>
      <c r="CJ133" s="218" t="n"/>
      <c r="CK133" s="218" t="n"/>
      <c r="CL133" s="218" t="n"/>
      <c r="CM133" s="218" t="n"/>
      <c r="CN133" s="218" t="n"/>
      <c r="CO133" s="218" t="n"/>
      <c r="CP133" s="218" t="n"/>
      <c r="CQ133" s="218" t="n"/>
      <c r="CR133" s="218" t="n"/>
      <c r="CS133" s="218" t="n"/>
      <c r="CT133" s="218" t="n"/>
      <c r="CU133" s="146" t="n">
        <v>3346</v>
      </c>
      <c r="CV133" s="146" t="inlineStr">
        <is>
          <t>NAVARRO HERNANDEZ ALFONSO SAUL</t>
        </is>
      </c>
      <c r="CW133" s="218" t="n"/>
      <c r="CX133" s="218" t="n"/>
      <c r="CY133" s="218" t="n"/>
      <c r="CZ133" s="218" t="n"/>
      <c r="DA133" s="218" t="n"/>
      <c r="DB133" s="218" t="n"/>
      <c r="DC133" s="218" t="n"/>
      <c r="DD133" s="218" t="n"/>
      <c r="DE133" s="218" t="n"/>
      <c r="DF133" s="218" t="n"/>
      <c r="DG133" s="218" t="n"/>
      <c r="DH133" s="218" t="n"/>
      <c r="DI133" s="218" t="n"/>
      <c r="DJ133" s="218" t="n"/>
      <c r="DK133" s="218" t="n"/>
      <c r="DL133" s="218" t="n"/>
      <c r="DM133" s="218" t="n"/>
      <c r="DN133" s="218" t="n"/>
      <c r="DO133" s="218" t="n"/>
      <c r="DP133" s="218" t="n"/>
      <c r="DQ133" s="218" t="n"/>
      <c r="DR133" s="218" t="n"/>
      <c r="DS133" s="218" t="n"/>
      <c r="DT133" s="218" t="n"/>
      <c r="DU133" s="218" t="n"/>
      <c r="DV133" s="218" t="n"/>
      <c r="DW133" s="218" t="n"/>
      <c r="DX133" s="218" t="n"/>
      <c r="DY133" s="218" t="n"/>
      <c r="DZ133" s="218" t="n"/>
      <c r="EA133" s="218" t="n"/>
      <c r="EB133" s="218" t="n"/>
      <c r="EC133" s="218" t="n"/>
      <c r="ED133" s="218" t="n"/>
      <c r="EE133" s="218" t="n"/>
    </row>
    <row r="134">
      <c r="A134" s="218" t="n"/>
      <c r="B134" s="218" t="n"/>
      <c r="C134" s="218" t="n"/>
      <c r="D134" s="218" t="n"/>
      <c r="E134" s="218" t="n"/>
      <c r="F134" s="218" t="n"/>
      <c r="G134" s="218" t="n"/>
      <c r="H134" s="218" t="n"/>
      <c r="I134" s="218" t="n"/>
      <c r="J134" s="218" t="n"/>
      <c r="K134" s="218" t="n"/>
      <c r="L134" s="218" t="n"/>
      <c r="M134" s="218" t="n"/>
      <c r="N134" s="218" t="n"/>
      <c r="O134" s="218" t="n"/>
      <c r="P134" s="218" t="n"/>
      <c r="Q134" s="146" t="inlineStr">
        <is>
          <t>POR CAMBIO DE METODO</t>
        </is>
      </c>
      <c r="R134" s="146" t="n"/>
      <c r="S134" s="146" t="n"/>
      <c r="T134" s="146" t="n"/>
      <c r="U134" s="146" t="n"/>
      <c r="V134" s="146" t="n"/>
      <c r="W134" s="146" t="n"/>
      <c r="X134" s="146" t="n"/>
      <c r="Y134" s="146" t="n"/>
      <c r="Z134" s="146" t="n"/>
      <c r="AA134" s="146" t="n"/>
      <c r="AB134" s="146" t="n"/>
      <c r="AC134" s="146" t="n"/>
      <c r="AD134" s="146" t="n"/>
      <c r="AE134" s="146" t="n"/>
      <c r="AF134" s="146" t="n"/>
      <c r="AG134" s="146" t="n"/>
      <c r="AH134" s="146" t="n"/>
      <c r="AI134" s="146" t="n"/>
      <c r="AJ134" s="146" t="n"/>
      <c r="AK134" s="146" t="n"/>
      <c r="AL134" s="146" t="n"/>
      <c r="AM134" s="146" t="n"/>
      <c r="AN134" s="146" t="n"/>
      <c r="AO134" s="146" t="n"/>
      <c r="AP134" s="146" t="n"/>
      <c r="AQ134" s="218" t="n"/>
      <c r="AR134" s="218" t="n"/>
      <c r="AS134" s="146" t="n">
        <v>44</v>
      </c>
      <c r="AT134" s="146" t="inlineStr">
        <is>
          <t>(44) INFORME DE COMITÉ DE EVALUACIÓN DE RESULTADOS</t>
        </is>
      </c>
      <c r="AU134" s="146" t="n"/>
      <c r="AV134" s="146" t="n"/>
      <c r="AW134" s="146" t="n"/>
      <c r="AX134" s="146" t="n"/>
      <c r="AY134" s="146" t="n"/>
      <c r="AZ134" s="146" t="n"/>
      <c r="BA134" s="146" t="n"/>
      <c r="BB134" s="146" t="n"/>
      <c r="BC134" s="146" t="n"/>
      <c r="BD134" s="146" t="n"/>
      <c r="BE134" s="146" t="n"/>
      <c r="BF134" s="146" t="n"/>
      <c r="BG134" s="146" t="n"/>
      <c r="BH134" s="146" t="n"/>
      <c r="BI134" s="146" t="n"/>
      <c r="BJ134" s="146" t="n">
        <v>40</v>
      </c>
      <c r="BK134" s="146" t="inlineStr">
        <is>
          <t>SIEMBRA, CULTIVO Y COSECHA DE ARBOLES DE NAVIDAD Y DE ESPECIES MADERABLES DE CICLOS PRODUCTIVOS DE 10 A?OS O MENOS</t>
        </is>
      </c>
      <c r="BL134" s="146" t="n"/>
      <c r="BM134" s="146" t="n"/>
      <c r="BN134" s="146" t="n"/>
      <c r="BO134" s="146" t="n"/>
      <c r="BP134" s="146" t="n"/>
      <c r="BQ134" s="146" t="n"/>
      <c r="BR134" s="146" t="n"/>
      <c r="BS134" s="146" t="n"/>
      <c r="BT134" s="218" t="n"/>
      <c r="BU134" s="218" t="n"/>
      <c r="BV134" s="218" t="n"/>
      <c r="BW134" s="218" t="n"/>
      <c r="BX134" s="218" t="n"/>
      <c r="BY134" s="218" t="n"/>
      <c r="BZ134" s="218" t="n"/>
      <c r="CA134" s="218" t="n"/>
      <c r="CB134" s="218" t="n"/>
      <c r="CC134" s="218" t="n"/>
      <c r="CD134" s="218" t="n"/>
      <c r="CE134" s="218" t="n"/>
      <c r="CF134" s="218" t="n"/>
      <c r="CG134" s="218" t="n"/>
      <c r="CH134" s="218" t="n"/>
      <c r="CI134" s="218" t="n"/>
      <c r="CJ134" s="218" t="n"/>
      <c r="CK134" s="218" t="n"/>
      <c r="CL134" s="218" t="n"/>
      <c r="CM134" s="218" t="n"/>
      <c r="CN134" s="218" t="n"/>
      <c r="CO134" s="218" t="n"/>
      <c r="CP134" s="218" t="n"/>
      <c r="CQ134" s="218" t="n"/>
      <c r="CR134" s="218" t="n"/>
      <c r="CS134" s="218" t="n"/>
      <c r="CT134" s="218" t="n"/>
      <c r="CU134" s="146" t="n">
        <v>3349</v>
      </c>
      <c r="CV134" s="146" t="inlineStr">
        <is>
          <t>CARRILLO PONCE SAGRARIO</t>
        </is>
      </c>
      <c r="CW134" s="218" t="n"/>
      <c r="CX134" s="218" t="n"/>
      <c r="CY134" s="218" t="n"/>
      <c r="CZ134" s="218" t="n"/>
      <c r="DA134" s="218" t="n"/>
      <c r="DB134" s="218" t="n"/>
      <c r="DC134" s="218" t="n"/>
      <c r="DD134" s="218" t="n"/>
      <c r="DE134" s="218" t="n"/>
      <c r="DF134" s="218" t="n"/>
      <c r="DG134" s="218" t="n"/>
      <c r="DH134" s="218" t="n"/>
      <c r="DI134" s="218" t="n"/>
      <c r="DJ134" s="218" t="n"/>
      <c r="DK134" s="218" t="n"/>
      <c r="DL134" s="218" t="n"/>
      <c r="DM134" s="218" t="n"/>
      <c r="DN134" s="218" t="n"/>
      <c r="DO134" s="218" t="n"/>
      <c r="DP134" s="218" t="n"/>
      <c r="DQ134" s="218" t="n"/>
      <c r="DR134" s="218" t="n"/>
      <c r="DS134" s="218" t="n"/>
      <c r="DT134" s="218" t="n"/>
      <c r="DU134" s="218" t="n"/>
      <c r="DV134" s="218" t="n"/>
      <c r="DW134" s="218" t="n"/>
      <c r="DX134" s="218" t="n"/>
      <c r="DY134" s="218" t="n"/>
      <c r="DZ134" s="218" t="n"/>
      <c r="EA134" s="218" t="n"/>
      <c r="EB134" s="218" t="n"/>
      <c r="EC134" s="218" t="n"/>
      <c r="ED134" s="218" t="n"/>
      <c r="EE134" s="218" t="n"/>
    </row>
    <row r="135">
      <c r="A135" s="218" t="n"/>
      <c r="B135" s="218" t="n"/>
      <c r="C135" s="218" t="n"/>
      <c r="D135" s="218" t="n"/>
      <c r="E135" s="218" t="n"/>
      <c r="F135" s="218" t="n"/>
      <c r="G135" s="218" t="n"/>
      <c r="H135" s="218" t="n"/>
      <c r="I135" s="218" t="n"/>
      <c r="J135" s="218" t="n"/>
      <c r="K135" s="218" t="n"/>
      <c r="L135" s="218" t="n"/>
      <c r="M135" s="218" t="n"/>
      <c r="N135" s="218" t="n"/>
      <c r="O135" s="218" t="n"/>
      <c r="P135" s="218" t="n"/>
      <c r="Q135" s="146" t="n"/>
      <c r="R135" s="146" t="n"/>
      <c r="S135" s="146" t="n"/>
      <c r="T135" s="146" t="n"/>
      <c r="U135" s="146" t="n"/>
      <c r="V135" s="146" t="n"/>
      <c r="W135" s="146" t="n"/>
      <c r="X135" s="146" t="n"/>
      <c r="Y135" s="146" t="n"/>
      <c r="Z135" s="146" t="n"/>
      <c r="AA135" s="146" t="n"/>
      <c r="AB135" s="146" t="n"/>
      <c r="AC135" s="146" t="n"/>
      <c r="AD135" s="146" t="n"/>
      <c r="AE135" s="146" t="n"/>
      <c r="AF135" s="146" t="n"/>
      <c r="AG135" s="146" t="n"/>
      <c r="AH135" s="146" t="n"/>
      <c r="AI135" s="146" t="n"/>
      <c r="AJ135" s="146" t="n"/>
      <c r="AK135" s="146" t="n"/>
      <c r="AL135" s="146" t="n"/>
      <c r="AM135" s="146" t="n"/>
      <c r="AN135" s="146" t="n"/>
      <c r="AO135" s="146" t="n"/>
      <c r="AP135" s="146" t="n"/>
      <c r="AQ135" s="218" t="n"/>
      <c r="AR135" s="218" t="n"/>
      <c r="AS135" s="146" t="n">
        <v>45</v>
      </c>
      <c r="AT135" s="146" t="inlineStr">
        <is>
          <t>(45) VALIDACIÓN DEL PROYECTO DE LA ULTIMA ACTA PARCIAL EN PROC LEGALES</t>
        </is>
      </c>
      <c r="AU135" s="146" t="n"/>
      <c r="AV135" s="146" t="n"/>
      <c r="AW135" s="146" t="n"/>
      <c r="AX135" s="146" t="n"/>
      <c r="AY135" s="146" t="n"/>
      <c r="AZ135" s="146" t="n"/>
      <c r="BA135" s="146" t="n"/>
      <c r="BB135" s="146" t="n"/>
      <c r="BC135" s="146" t="n"/>
      <c r="BD135" s="146" t="n"/>
      <c r="BE135" s="146" t="n"/>
      <c r="BF135" s="146" t="n"/>
      <c r="BG135" s="146" t="n"/>
      <c r="BH135" s="146" t="n"/>
      <c r="BI135" s="146" t="n"/>
      <c r="BJ135" s="146" t="n">
        <v>41</v>
      </c>
      <c r="BK135" s="146" t="inlineStr">
        <is>
          <t>SIEMBRA, CULTIVO Y COSECHA DE OTROS CULTIVOS EN INVERNADEROS Y VIVEROS</t>
        </is>
      </c>
      <c r="BL135" s="146" t="n"/>
      <c r="BM135" s="146" t="n"/>
      <c r="BN135" s="146" t="n"/>
      <c r="BO135" s="146" t="n"/>
      <c r="BP135" s="146" t="n"/>
      <c r="BQ135" s="146" t="n"/>
      <c r="BR135" s="146" t="n"/>
      <c r="BS135" s="146" t="n"/>
      <c r="BT135" s="218" t="n"/>
      <c r="BU135" s="218" t="n"/>
      <c r="BV135" s="218" t="n"/>
      <c r="BW135" s="218" t="n"/>
      <c r="BX135" s="218" t="n"/>
      <c r="BY135" s="218" t="n"/>
      <c r="BZ135" s="218" t="n"/>
      <c r="CA135" s="218" t="n"/>
      <c r="CB135" s="218" t="n"/>
      <c r="CC135" s="218" t="n"/>
      <c r="CD135" s="218" t="n"/>
      <c r="CE135" s="218" t="n"/>
      <c r="CF135" s="218" t="n"/>
      <c r="CG135" s="218" t="n"/>
      <c r="CH135" s="218" t="n"/>
      <c r="CI135" s="218" t="n"/>
      <c r="CJ135" s="218" t="n"/>
      <c r="CK135" s="218" t="n"/>
      <c r="CL135" s="218" t="n"/>
      <c r="CM135" s="218" t="n"/>
      <c r="CN135" s="218" t="n"/>
      <c r="CO135" s="218" t="n"/>
      <c r="CP135" s="218" t="n"/>
      <c r="CQ135" s="218" t="n"/>
      <c r="CR135" s="218" t="n"/>
      <c r="CS135" s="218" t="n"/>
      <c r="CT135" s="218" t="n"/>
      <c r="CU135" s="146" t="n">
        <v>3355</v>
      </c>
      <c r="CV135" s="146" t="inlineStr">
        <is>
          <t>ALVIZO CAMARENA JOSE DE JESUS</t>
        </is>
      </c>
      <c r="CW135" s="218" t="n"/>
      <c r="CX135" s="218" t="n"/>
      <c r="CY135" s="218" t="n"/>
      <c r="CZ135" s="218" t="n"/>
      <c r="DA135" s="218" t="n"/>
      <c r="DB135" s="218" t="n"/>
      <c r="DC135" s="218" t="n"/>
      <c r="DD135" s="218" t="n"/>
      <c r="DE135" s="218" t="n"/>
      <c r="DF135" s="218" t="n"/>
      <c r="DG135" s="218" t="n"/>
      <c r="DH135" s="218" t="n"/>
      <c r="DI135" s="218" t="n"/>
      <c r="DJ135" s="218" t="n"/>
      <c r="DK135" s="218" t="n"/>
      <c r="DL135" s="218" t="n"/>
      <c r="DM135" s="218" t="n"/>
      <c r="DN135" s="218" t="n"/>
      <c r="DO135" s="218" t="n"/>
      <c r="DP135" s="218" t="n"/>
      <c r="DQ135" s="218" t="n"/>
      <c r="DR135" s="218" t="n"/>
      <c r="DS135" s="218" t="n"/>
      <c r="DT135" s="218" t="n"/>
      <c r="DU135" s="218" t="n"/>
      <c r="DV135" s="218" t="n"/>
      <c r="DW135" s="218" t="n"/>
      <c r="DX135" s="218" t="n"/>
      <c r="DY135" s="218" t="n"/>
      <c r="DZ135" s="218" t="n"/>
      <c r="EA135" s="218" t="n"/>
      <c r="EB135" s="218" t="n"/>
      <c r="EC135" s="218" t="n"/>
      <c r="ED135" s="218" t="n"/>
      <c r="EE135" s="218" t="n"/>
    </row>
    <row r="136">
      <c r="A136" s="218" t="n"/>
      <c r="B136" s="218" t="n"/>
      <c r="C136" s="218" t="n"/>
      <c r="D136" s="218" t="n"/>
      <c r="E136" s="218" t="n"/>
      <c r="F136" s="218" t="n"/>
      <c r="G136" s="218" t="n"/>
      <c r="H136" s="218" t="n"/>
      <c r="I136" s="218" t="n"/>
      <c r="J136" s="218" t="n"/>
      <c r="K136" s="218" t="n"/>
      <c r="L136" s="218" t="n"/>
      <c r="M136" s="218" t="n"/>
      <c r="N136" s="218" t="n"/>
      <c r="O136" s="218" t="n"/>
      <c r="P136" s="218" t="n"/>
      <c r="Q136" s="146" t="n"/>
      <c r="R136" s="146" t="n"/>
      <c r="S136" s="146" t="n"/>
      <c r="T136" s="146" t="n"/>
      <c r="U136" s="146" t="n"/>
      <c r="V136" s="146" t="n"/>
      <c r="W136" s="146" t="n"/>
      <c r="X136" s="146" t="n"/>
      <c r="Y136" s="146" t="n"/>
      <c r="Z136" s="146" t="n"/>
      <c r="AA136" s="146" t="n"/>
      <c r="AB136" s="146" t="n"/>
      <c r="AC136" s="146" t="n"/>
      <c r="AD136" s="146" t="n"/>
      <c r="AE136" s="146" t="n"/>
      <c r="AF136" s="146" t="n"/>
      <c r="AG136" s="146" t="n"/>
      <c r="AH136" s="146" t="n"/>
      <c r="AI136" s="146" t="n"/>
      <c r="AJ136" s="146" t="n"/>
      <c r="AK136" s="146" t="n"/>
      <c r="AL136" s="146" t="n"/>
      <c r="AM136" s="146" t="n"/>
      <c r="AN136" s="146" t="n"/>
      <c r="AO136" s="146" t="n"/>
      <c r="AP136" s="146" t="n"/>
      <c r="AQ136" s="218" t="n"/>
      <c r="AR136" s="218" t="n"/>
      <c r="AS136" s="146" t="n">
        <v>46</v>
      </c>
      <c r="AT136" s="146" t="inlineStr">
        <is>
          <t>(46) VALIDACIÓN DEL PROYECTO DE OFICIO DE OBSERVACIONES EN PROC LEGALES</t>
        </is>
      </c>
      <c r="AU136" s="146" t="n"/>
      <c r="AV136" s="146" t="n"/>
      <c r="AW136" s="146" t="n"/>
      <c r="AX136" s="146" t="n"/>
      <c r="AY136" s="146" t="n"/>
      <c r="AZ136" s="146" t="n"/>
      <c r="BA136" s="146" t="n"/>
      <c r="BB136" s="146" t="n"/>
      <c r="BC136" s="146" t="n"/>
      <c r="BD136" s="146" t="n"/>
      <c r="BE136" s="146" t="n"/>
      <c r="BF136" s="146" t="n"/>
      <c r="BG136" s="146" t="n"/>
      <c r="BH136" s="146" t="n"/>
      <c r="BI136" s="146" t="n"/>
      <c r="BJ136" s="146" t="n">
        <v>42</v>
      </c>
      <c r="BK136" s="146" t="inlineStr">
        <is>
          <t>SIEMBRA, CULTIVO Y COSECHA DE TABACO</t>
        </is>
      </c>
      <c r="BL136" s="146" t="n"/>
      <c r="BM136" s="146" t="n"/>
      <c r="BN136" s="146" t="n"/>
      <c r="BO136" s="146" t="n"/>
      <c r="BP136" s="146" t="n"/>
      <c r="BQ136" s="146" t="n"/>
      <c r="BR136" s="146" t="n"/>
      <c r="BS136" s="146" t="n"/>
      <c r="BT136" s="218" t="n"/>
      <c r="BU136" s="218" t="n"/>
      <c r="BV136" s="218" t="n"/>
      <c r="BW136" s="218" t="n"/>
      <c r="BX136" s="218" t="n"/>
      <c r="BY136" s="218" t="n"/>
      <c r="BZ136" s="218" t="n"/>
      <c r="CA136" s="218" t="n"/>
      <c r="CB136" s="218" t="n"/>
      <c r="CC136" s="218" t="n"/>
      <c r="CD136" s="218" t="n"/>
      <c r="CE136" s="218" t="n"/>
      <c r="CF136" s="218" t="n"/>
      <c r="CG136" s="218" t="n"/>
      <c r="CH136" s="218" t="n"/>
      <c r="CI136" s="218" t="n"/>
      <c r="CJ136" s="218" t="n"/>
      <c r="CK136" s="218" t="n"/>
      <c r="CL136" s="218" t="n"/>
      <c r="CM136" s="218" t="n"/>
      <c r="CN136" s="218" t="n"/>
      <c r="CO136" s="218" t="n"/>
      <c r="CP136" s="218" t="n"/>
      <c r="CQ136" s="218" t="n"/>
      <c r="CR136" s="218" t="n"/>
      <c r="CS136" s="218" t="n"/>
      <c r="CT136" s="218" t="n"/>
      <c r="CU136" s="146" t="n">
        <v>3485</v>
      </c>
      <c r="CV136" s="146" t="inlineStr">
        <is>
          <t>AVALOS HUIZAR ALEJANDRO CONSTANTINO</t>
        </is>
      </c>
      <c r="CW136" s="218" t="n"/>
      <c r="CX136" s="218" t="n"/>
      <c r="CY136" s="218" t="n"/>
      <c r="CZ136" s="218" t="n"/>
      <c r="DA136" s="218" t="n"/>
      <c r="DB136" s="218" t="n"/>
      <c r="DC136" s="218" t="n"/>
      <c r="DD136" s="218" t="n"/>
      <c r="DE136" s="218" t="n"/>
      <c r="DF136" s="218" t="n"/>
      <c r="DG136" s="218" t="n"/>
      <c r="DH136" s="218" t="n"/>
      <c r="DI136" s="218" t="n"/>
      <c r="DJ136" s="218" t="n"/>
      <c r="DK136" s="218" t="n"/>
      <c r="DL136" s="218" t="n"/>
      <c r="DM136" s="218" t="n"/>
      <c r="DN136" s="218" t="n"/>
      <c r="DO136" s="218" t="n"/>
      <c r="DP136" s="218" t="n"/>
      <c r="DQ136" s="218" t="n"/>
      <c r="DR136" s="218" t="n"/>
      <c r="DS136" s="218" t="n"/>
      <c r="DT136" s="218" t="n"/>
      <c r="DU136" s="218" t="n"/>
      <c r="DV136" s="218" t="n"/>
      <c r="DW136" s="218" t="n"/>
      <c r="DX136" s="218" t="n"/>
      <c r="DY136" s="218" t="n"/>
      <c r="DZ136" s="218" t="n"/>
      <c r="EA136" s="218" t="n"/>
      <c r="EB136" s="218" t="n"/>
      <c r="EC136" s="218" t="n"/>
      <c r="ED136" s="218" t="n"/>
      <c r="EE136" s="218" t="n"/>
    </row>
    <row r="137">
      <c r="A137" s="218" t="n"/>
      <c r="B137" s="218" t="n"/>
      <c r="C137" s="218" t="n"/>
      <c r="D137" s="218" t="n"/>
      <c r="E137" s="218" t="n"/>
      <c r="F137" s="218" t="n"/>
      <c r="G137" s="218" t="n"/>
      <c r="H137" s="218" t="n"/>
      <c r="I137" s="218" t="n"/>
      <c r="J137" s="218" t="n"/>
      <c r="K137" s="218" t="n"/>
      <c r="L137" s="218" t="n"/>
      <c r="M137" s="218" t="n"/>
      <c r="N137" s="218" t="n"/>
      <c r="O137" s="218" t="n"/>
      <c r="P137" s="218" t="n"/>
      <c r="Q137" s="218" t="n"/>
      <c r="R137" s="218" t="n"/>
      <c r="S137" s="218" t="n"/>
      <c r="T137" s="218" t="n"/>
      <c r="U137" s="218" t="n"/>
      <c r="V137" s="218" t="n"/>
      <c r="W137" s="218" t="n"/>
      <c r="X137" s="218" t="n"/>
      <c r="Y137" s="218" t="n"/>
      <c r="Z137" s="218" t="n"/>
      <c r="AA137" s="218" t="n"/>
      <c r="AB137" s="218" t="n"/>
      <c r="AC137" s="218" t="n"/>
      <c r="AD137" s="218" t="n"/>
      <c r="AE137" s="218" t="n"/>
      <c r="AF137" s="218" t="n"/>
      <c r="AG137" s="218" t="n"/>
      <c r="AH137" s="218" t="n"/>
      <c r="AI137" s="218" t="n"/>
      <c r="AJ137" s="218" t="n"/>
      <c r="AK137" s="218" t="n"/>
      <c r="AL137" s="218" t="n"/>
      <c r="AM137" s="218" t="n"/>
      <c r="AN137" s="218" t="n"/>
      <c r="AO137" s="218" t="n"/>
      <c r="AP137" s="218" t="n"/>
      <c r="AQ137" s="218" t="n"/>
      <c r="AR137" s="218" t="n"/>
      <c r="AS137" s="146" t="n">
        <v>47</v>
      </c>
      <c r="AT137" s="146" t="inlineStr">
        <is>
          <t>(47) EN PLAZO DEL OFICIO DE OBSERVACIONES</t>
        </is>
      </c>
      <c r="AU137" s="146" t="n"/>
      <c r="AV137" s="146" t="n"/>
      <c r="AW137" s="146" t="n"/>
      <c r="AX137" s="146" t="n"/>
      <c r="AY137" s="146" t="n"/>
      <c r="AZ137" s="146" t="n"/>
      <c r="BA137" s="146" t="n"/>
      <c r="BB137" s="146" t="n"/>
      <c r="BC137" s="146" t="n"/>
      <c r="BD137" s="146" t="n"/>
      <c r="BE137" s="146" t="n"/>
      <c r="BF137" s="146" t="n"/>
      <c r="BG137" s="146" t="n"/>
      <c r="BH137" s="146" t="n"/>
      <c r="BI137" s="146" t="n"/>
      <c r="BJ137" s="146" t="n">
        <v>43</v>
      </c>
      <c r="BK137" s="146" t="inlineStr">
        <is>
          <t>SIEMBRA, CULTIVO Y COSECHA DE ALGODON</t>
        </is>
      </c>
      <c r="BL137" s="146" t="n"/>
      <c r="BM137" s="146" t="n"/>
      <c r="BN137" s="146" t="n"/>
      <c r="BO137" s="146" t="n"/>
      <c r="BP137" s="146" t="n"/>
      <c r="BQ137" s="146" t="n"/>
      <c r="BR137" s="146" t="n"/>
      <c r="BS137" s="146" t="n"/>
      <c r="BT137" s="218" t="n"/>
      <c r="BU137" s="218" t="n"/>
      <c r="BV137" s="218" t="n"/>
      <c r="BW137" s="218" t="n"/>
      <c r="BX137" s="218" t="n"/>
      <c r="BY137" s="218" t="n"/>
      <c r="BZ137" s="218" t="n"/>
      <c r="CA137" s="218" t="n"/>
      <c r="CB137" s="218" t="n"/>
      <c r="CC137" s="218" t="n"/>
      <c r="CD137" s="218" t="n"/>
      <c r="CE137" s="218" t="n"/>
      <c r="CF137" s="218" t="n"/>
      <c r="CG137" s="218" t="n"/>
      <c r="CH137" s="218" t="n"/>
      <c r="CI137" s="218" t="n"/>
      <c r="CJ137" s="218" t="n"/>
      <c r="CK137" s="218" t="n"/>
      <c r="CL137" s="218" t="n"/>
      <c r="CM137" s="218" t="n"/>
      <c r="CN137" s="218" t="n"/>
      <c r="CO137" s="218" t="n"/>
      <c r="CP137" s="218" t="n"/>
      <c r="CQ137" s="218" t="n"/>
      <c r="CR137" s="218" t="n"/>
      <c r="CS137" s="218" t="n"/>
      <c r="CT137" s="218" t="n"/>
      <c r="CU137" s="146" t="n">
        <v>3486</v>
      </c>
      <c r="CV137" s="146" t="inlineStr">
        <is>
          <t>DIAZ MARTINEZ DOROTEO</t>
        </is>
      </c>
      <c r="CW137" s="218" t="n"/>
      <c r="CX137" s="218" t="n"/>
      <c r="CY137" s="218" t="n"/>
      <c r="CZ137" s="218" t="n"/>
      <c r="DA137" s="218" t="n"/>
      <c r="DB137" s="218" t="n"/>
      <c r="DC137" s="218" t="n"/>
    </row>
    <row r="138">
      <c r="A138" s="218" t="n"/>
      <c r="B138" s="218" t="n"/>
      <c r="C138" s="218" t="n"/>
      <c r="D138" s="218" t="n"/>
      <c r="E138" s="218" t="n"/>
      <c r="F138" s="218" t="n"/>
      <c r="G138" s="218" t="n"/>
      <c r="H138" s="218" t="n"/>
      <c r="I138" s="218" t="n"/>
      <c r="J138" s="218" t="n"/>
      <c r="K138" s="218" t="n"/>
      <c r="L138" s="218" t="n"/>
      <c r="M138" s="218" t="n"/>
      <c r="N138" s="218" t="n"/>
      <c r="O138" s="218" t="n"/>
      <c r="P138" s="218" t="n"/>
      <c r="Q138" s="218" t="n"/>
      <c r="R138" s="218" t="n"/>
      <c r="S138" s="218" t="n"/>
      <c r="T138" s="218" t="n"/>
      <c r="U138" s="218" t="n"/>
      <c r="V138" s="218" t="n"/>
      <c r="W138" s="218" t="n"/>
      <c r="X138" s="218" t="n"/>
      <c r="Y138" s="218" t="n"/>
      <c r="Z138" s="218" t="n"/>
      <c r="AA138" s="218" t="n"/>
      <c r="AB138" s="218" t="n"/>
      <c r="AC138" s="218" t="n"/>
      <c r="AD138" s="218" t="n"/>
      <c r="AE138" s="218" t="n"/>
      <c r="AF138" s="218" t="n"/>
      <c r="AG138" s="218" t="n"/>
      <c r="AH138" s="218" t="n"/>
      <c r="AI138" s="218" t="n"/>
      <c r="AJ138" s="218" t="n"/>
      <c r="AK138" s="218" t="n"/>
      <c r="AL138" s="218" t="n"/>
      <c r="AM138" s="218" t="n"/>
      <c r="AN138" s="218" t="n"/>
      <c r="AO138" s="218" t="n"/>
      <c r="AP138" s="218" t="n"/>
      <c r="AQ138" s="218" t="n"/>
      <c r="AR138" s="218" t="n"/>
      <c r="AS138" s="146" t="n">
        <v>48</v>
      </c>
      <c r="AT138" s="146" t="inlineStr">
        <is>
          <t>(48) VALIDACIÓN DEL PROYECTO DE ACTA FINAL EN PROC LEGALES</t>
        </is>
      </c>
      <c r="AU138" s="146" t="n"/>
      <c r="AV138" s="146" t="n"/>
      <c r="AW138" s="146" t="n"/>
      <c r="AX138" s="146" t="n"/>
      <c r="AY138" s="146" t="n"/>
      <c r="AZ138" s="146" t="n"/>
      <c r="BA138" s="146" t="n"/>
      <c r="BB138" s="146" t="n"/>
      <c r="BC138" s="146" t="n"/>
      <c r="BD138" s="146" t="n"/>
      <c r="BE138" s="146" t="n"/>
      <c r="BF138" s="146" t="n"/>
      <c r="BG138" s="146" t="n"/>
      <c r="BH138" s="146" t="n"/>
      <c r="BI138" s="146" t="n"/>
      <c r="BJ138" s="146" t="n">
        <v>44</v>
      </c>
      <c r="BK138" s="146" t="inlineStr">
        <is>
          <t>SIEMBRA, CULTIVO Y COSECHA DE CA?A DE AZUCAR</t>
        </is>
      </c>
      <c r="BL138" s="146" t="n"/>
      <c r="BM138" s="146" t="n"/>
      <c r="BN138" s="146" t="n"/>
      <c r="BO138" s="146" t="n"/>
      <c r="BP138" s="146" t="n"/>
      <c r="BQ138" s="146" t="n"/>
      <c r="BR138" s="146" t="n"/>
      <c r="BS138" s="146" t="n"/>
      <c r="BT138" s="218" t="n"/>
      <c r="BU138" s="218" t="n"/>
      <c r="BV138" s="218" t="n"/>
      <c r="BW138" s="218" t="n"/>
      <c r="BX138" s="218" t="n"/>
      <c r="BY138" s="218" t="n"/>
      <c r="BZ138" s="218" t="n"/>
      <c r="CA138" s="218" t="n"/>
      <c r="CB138" s="218" t="n"/>
      <c r="CC138" s="218" t="n"/>
      <c r="CD138" s="218" t="n"/>
      <c r="CE138" s="218" t="n"/>
      <c r="CF138" s="218" t="n"/>
      <c r="CG138" s="218" t="n"/>
      <c r="CH138" s="218" t="n"/>
      <c r="CI138" s="218" t="n"/>
      <c r="CJ138" s="218" t="n"/>
      <c r="CK138" s="218" t="n"/>
      <c r="CL138" s="218" t="n"/>
      <c r="CM138" s="218" t="n"/>
      <c r="CN138" s="218" t="n"/>
      <c r="CO138" s="218" t="n"/>
      <c r="CP138" s="218" t="n"/>
      <c r="CQ138" s="218" t="n"/>
      <c r="CR138" s="218" t="n"/>
      <c r="CS138" s="218" t="n"/>
      <c r="CT138" s="218" t="n"/>
      <c r="CU138" s="146" t="n">
        <v>3562</v>
      </c>
      <c r="CV138" s="146" t="inlineStr">
        <is>
          <t>AGUILAR VARGAS JOSE LUIS</t>
        </is>
      </c>
      <c r="CW138" s="218" t="n"/>
      <c r="CX138" s="218" t="n"/>
      <c r="CY138" s="218" t="n"/>
      <c r="CZ138" s="218" t="n"/>
      <c r="DA138" s="218" t="n"/>
      <c r="DB138" s="218" t="n"/>
      <c r="DC138" s="218" t="n"/>
    </row>
    <row r="139">
      <c r="A139" s="218" t="n"/>
      <c r="B139" s="218" t="n"/>
      <c r="C139" s="218" t="n"/>
      <c r="D139" s="218" t="n"/>
      <c r="E139" s="218" t="n"/>
      <c r="F139" s="218" t="n"/>
      <c r="G139" s="218" t="n"/>
      <c r="H139" s="218" t="n"/>
      <c r="I139" s="218" t="n"/>
      <c r="J139" s="218" t="n"/>
      <c r="K139" s="218" t="n"/>
      <c r="L139" s="218" t="n"/>
      <c r="M139" s="218" t="n"/>
      <c r="N139" s="218" t="n"/>
      <c r="O139" s="218" t="n"/>
      <c r="P139" s="218" t="n"/>
      <c r="Q139" s="145" t="inlineStr">
        <is>
          <t>Bancos e Instituciones de Pago</t>
        </is>
      </c>
      <c r="R139" s="146" t="n"/>
      <c r="S139" s="146" t="n"/>
      <c r="T139" s="146" t="n"/>
      <c r="U139" s="146" t="n"/>
      <c r="V139" s="146" t="n"/>
      <c r="W139" s="146" t="n"/>
      <c r="X139" s="146" t="n"/>
      <c r="Y139" s="146" t="n"/>
      <c r="Z139" s="146" t="n"/>
      <c r="AA139" s="146" t="n"/>
      <c r="AB139" s="146" t="n"/>
      <c r="AC139" s="146" t="n"/>
      <c r="AD139" s="146" t="n"/>
      <c r="AE139" s="146" t="n"/>
      <c r="AF139" s="146" t="n"/>
      <c r="AG139" s="146" t="n"/>
      <c r="AH139" s="146" t="n"/>
      <c r="AI139" s="146" t="n"/>
      <c r="AJ139" s="146" t="n"/>
      <c r="AK139" s="146" t="n"/>
      <c r="AL139" s="146" t="n"/>
      <c r="AM139" s="146" t="n"/>
      <c r="AN139" s="146" t="n"/>
      <c r="AO139" s="146" t="n"/>
      <c r="AP139" s="146" t="n"/>
      <c r="AQ139" s="218" t="n"/>
      <c r="AR139" s="218" t="n"/>
      <c r="AS139" s="146" t="n">
        <v>49</v>
      </c>
      <c r="AT139" s="146" t="inlineStr">
        <is>
          <t>(49) VALIDACIÓN DEL PROYECTO DEL OFIC. DE LA PRIMERA AMPL. DE PLAZO EN PROC LEGALES</t>
        </is>
      </c>
      <c r="AU139" s="146" t="n"/>
      <c r="AV139" s="146" t="n"/>
      <c r="AW139" s="146" t="n"/>
      <c r="AX139" s="146" t="n"/>
      <c r="AY139" s="146" t="n"/>
      <c r="AZ139" s="146" t="n"/>
      <c r="BA139" s="146" t="n"/>
      <c r="BB139" s="146" t="n"/>
      <c r="BC139" s="146" t="n"/>
      <c r="BD139" s="146" t="n"/>
      <c r="BE139" s="146" t="n"/>
      <c r="BF139" s="146" t="n"/>
      <c r="BG139" s="146" t="n"/>
      <c r="BH139" s="146" t="n"/>
      <c r="BI139" s="146" t="n"/>
      <c r="BJ139" s="146" t="n">
        <v>45</v>
      </c>
      <c r="BK139" s="146" t="inlineStr">
        <is>
          <t>SIEMBRA, CULTIVO Y COSECHA DE ALFALFA</t>
        </is>
      </c>
      <c r="BL139" s="146" t="n"/>
      <c r="BM139" s="146" t="n"/>
      <c r="BN139" s="146" t="n"/>
      <c r="BO139" s="146" t="n"/>
      <c r="BP139" s="146" t="n"/>
      <c r="BQ139" s="146" t="n"/>
      <c r="BR139" s="146" t="n"/>
      <c r="BS139" s="146" t="n"/>
      <c r="BT139" s="218" t="n"/>
      <c r="BU139" s="218" t="n"/>
      <c r="BV139" s="218" t="n"/>
      <c r="BW139" s="218" t="n"/>
      <c r="BX139" s="218" t="n"/>
      <c r="BY139" s="218" t="n"/>
      <c r="BZ139" s="218" t="n"/>
      <c r="CA139" s="218" t="n"/>
      <c r="CB139" s="218" t="n"/>
      <c r="CC139" s="218" t="n"/>
      <c r="CD139" s="218" t="n"/>
      <c r="CE139" s="218" t="n"/>
      <c r="CF139" s="218" t="n"/>
      <c r="CG139" s="218" t="n"/>
      <c r="CH139" s="218" t="n"/>
      <c r="CI139" s="218" t="n"/>
      <c r="CJ139" s="218" t="n"/>
      <c r="CK139" s="218" t="n"/>
      <c r="CL139" s="218" t="n"/>
      <c r="CM139" s="218" t="n"/>
      <c r="CN139" s="218" t="n"/>
      <c r="CO139" s="218" t="n"/>
      <c r="CP139" s="218" t="n"/>
      <c r="CQ139" s="218" t="n"/>
      <c r="CR139" s="218" t="n"/>
      <c r="CS139" s="218" t="n"/>
      <c r="CT139" s="218" t="n"/>
      <c r="CU139" s="146" t="n">
        <v>3613</v>
      </c>
      <c r="CV139" s="146" t="inlineStr">
        <is>
          <t>JAUREGUI GOMEZ CELIA ESTER</t>
        </is>
      </c>
      <c r="CW139" s="218" t="n"/>
      <c r="CX139" s="218" t="n"/>
      <c r="CY139" s="218" t="n"/>
      <c r="CZ139" s="218" t="n"/>
      <c r="DA139" s="218" t="n"/>
      <c r="DB139" s="218" t="n"/>
      <c r="DC139" s="218" t="n"/>
    </row>
    <row r="140">
      <c r="A140" s="218" t="n"/>
      <c r="B140" s="218" t="n"/>
      <c r="C140" s="218" t="n"/>
      <c r="D140" s="218" t="n"/>
      <c r="E140" s="218" t="n"/>
      <c r="F140" s="218" t="n"/>
      <c r="G140" s="218" t="n"/>
      <c r="H140" s="218" t="n"/>
      <c r="I140" s="218" t="n"/>
      <c r="J140" s="218" t="n"/>
      <c r="K140" s="218" t="n"/>
      <c r="L140" s="218" t="n"/>
      <c r="M140" s="218" t="n"/>
      <c r="N140" s="218" t="n"/>
      <c r="O140" s="218" t="n"/>
      <c r="P140" s="218" t="n"/>
      <c r="Q140" s="146" t="inlineStr">
        <is>
          <t>ABACO CASA DE BOLSA, S.A. DE C.V.</t>
        </is>
      </c>
      <c r="R140" s="146" t="n"/>
      <c r="S140" s="146" t="n"/>
      <c r="T140" s="146" t="n"/>
      <c r="U140" s="146" t="n"/>
      <c r="V140" s="146" t="n"/>
      <c r="W140" s="146" t="n"/>
      <c r="X140" s="146" t="n"/>
      <c r="Y140" s="146" t="n"/>
      <c r="Z140" s="146" t="n"/>
      <c r="AA140" s="146" t="n"/>
      <c r="AB140" s="146" t="n"/>
      <c r="AC140" s="146" t="n"/>
      <c r="AD140" s="146" t="n"/>
      <c r="AE140" s="146" t="n"/>
      <c r="AF140" s="146" t="n"/>
      <c r="AG140" s="146" t="n"/>
      <c r="AH140" s="146" t="n"/>
      <c r="AI140" s="146" t="n"/>
      <c r="AJ140" s="146" t="n"/>
      <c r="AK140" s="146" t="n"/>
      <c r="AL140" s="146" t="n"/>
      <c r="AM140" s="146" t="n"/>
      <c r="AN140" s="146" t="n"/>
      <c r="AO140" s="146" t="n"/>
      <c r="AP140" s="146" t="n"/>
      <c r="AQ140" s="218" t="n"/>
      <c r="AR140" s="218" t="n"/>
      <c r="AS140" s="146" t="n">
        <v>52</v>
      </c>
      <c r="AT140" s="146" t="inlineStr">
        <is>
          <t>(52) VALIDACIÓN DEL PROYECTO DE LIQUIDACIÓN EN PROC LEGALES</t>
        </is>
      </c>
      <c r="AU140" s="146" t="n"/>
      <c r="AV140" s="146" t="n"/>
      <c r="AW140" s="146" t="n"/>
      <c r="AX140" s="146" t="n"/>
      <c r="AY140" s="146" t="n"/>
      <c r="AZ140" s="146" t="n"/>
      <c r="BA140" s="146" t="n"/>
      <c r="BB140" s="146" t="n"/>
      <c r="BC140" s="146" t="n"/>
      <c r="BD140" s="146" t="n"/>
      <c r="BE140" s="146" t="n"/>
      <c r="BF140" s="146" t="n"/>
      <c r="BG140" s="146" t="n"/>
      <c r="BH140" s="146" t="n"/>
      <c r="BI140" s="146" t="n"/>
      <c r="BJ140" s="146" t="n">
        <v>46</v>
      </c>
      <c r="BK140" s="146" t="inlineStr">
        <is>
          <t>SIEMBRA, CULTIVO Y COSECHA DE TREBOL, PASTOS Y ZACATES</t>
        </is>
      </c>
      <c r="BL140" s="146" t="n"/>
      <c r="BM140" s="146" t="n"/>
      <c r="BN140" s="146" t="n"/>
      <c r="BO140" s="146" t="n"/>
      <c r="BP140" s="146" t="n"/>
      <c r="BQ140" s="146" t="n"/>
      <c r="BR140" s="146" t="n"/>
      <c r="BS140" s="146" t="n"/>
      <c r="BT140" s="218" t="n"/>
      <c r="BU140" s="218" t="n"/>
      <c r="BV140" s="218" t="n"/>
      <c r="BW140" s="218" t="n"/>
      <c r="BX140" s="218" t="n"/>
      <c r="BY140" s="218" t="n"/>
      <c r="BZ140" s="218" t="n"/>
      <c r="CA140" s="218" t="n"/>
      <c r="CB140" s="218" t="n"/>
      <c r="CC140" s="218" t="n"/>
      <c r="CD140" s="218" t="n"/>
      <c r="CE140" s="218" t="n"/>
      <c r="CF140" s="218" t="n"/>
      <c r="CG140" s="218" t="n"/>
      <c r="CH140" s="218" t="n"/>
      <c r="CI140" s="218" t="n"/>
      <c r="CJ140" s="218" t="n"/>
      <c r="CK140" s="218" t="n"/>
      <c r="CL140" s="218" t="n"/>
      <c r="CM140" s="218" t="n"/>
      <c r="CN140" s="218" t="n"/>
      <c r="CO140" s="218" t="n"/>
      <c r="CP140" s="218" t="n"/>
      <c r="CQ140" s="218" t="n"/>
      <c r="CR140" s="218" t="n"/>
      <c r="CS140" s="218" t="n"/>
      <c r="CT140" s="218" t="n"/>
      <c r="CU140" s="146" t="n">
        <v>3614</v>
      </c>
      <c r="CV140" s="146" t="inlineStr">
        <is>
          <t>ROJAS SANDOVAL FLORENCIA</t>
        </is>
      </c>
      <c r="CW140" s="218" t="n"/>
      <c r="CX140" s="218" t="n"/>
      <c r="CY140" s="218" t="n"/>
      <c r="CZ140" s="218" t="n"/>
      <c r="DA140" s="218" t="n"/>
      <c r="DB140" s="218" t="n"/>
      <c r="DC140" s="218" t="n"/>
    </row>
    <row r="141">
      <c r="A141" s="218" t="n"/>
      <c r="B141" s="218" t="n"/>
      <c r="C141" s="218" t="n"/>
      <c r="D141" s="218" t="n"/>
      <c r="E141" s="218" t="n"/>
      <c r="F141" s="218" t="n"/>
      <c r="G141" s="218" t="n"/>
      <c r="H141" s="218" t="n"/>
      <c r="I141" s="218" t="n"/>
      <c r="J141" s="218" t="n"/>
      <c r="K141" s="218" t="n"/>
      <c r="L141" s="218" t="n"/>
      <c r="M141" s="218" t="n"/>
      <c r="N141" s="218" t="n"/>
      <c r="O141" s="218" t="n"/>
      <c r="P141" s="218" t="n"/>
      <c r="Q141" s="146" t="inlineStr">
        <is>
          <t>AMERICAN EXPRESS</t>
        </is>
      </c>
      <c r="R141" s="146" t="n"/>
      <c r="S141" s="146" t="n"/>
      <c r="T141" s="146" t="n"/>
      <c r="U141" s="146" t="n"/>
      <c r="V141" s="146" t="n"/>
      <c r="W141" s="146" t="n"/>
      <c r="X141" s="146" t="n"/>
      <c r="Y141" s="146" t="n"/>
      <c r="Z141" s="146" t="n"/>
      <c r="AA141" s="146" t="n"/>
      <c r="AB141" s="146" t="n"/>
      <c r="AC141" s="146" t="n"/>
      <c r="AD141" s="146" t="n"/>
      <c r="AE141" s="146" t="n"/>
      <c r="AF141" s="146" t="n"/>
      <c r="AG141" s="146" t="n"/>
      <c r="AH141" s="146" t="n"/>
      <c r="AI141" s="146" t="n"/>
      <c r="AJ141" s="146" t="n"/>
      <c r="AK141" s="146" t="n"/>
      <c r="AL141" s="146" t="n"/>
      <c r="AM141" s="146" t="n"/>
      <c r="AN141" s="146" t="n"/>
      <c r="AO141" s="146" t="n"/>
      <c r="AP141" s="146" t="n"/>
      <c r="AQ141" s="218" t="n"/>
      <c r="AR141" s="218" t="n"/>
      <c r="AS141" s="146" t="n">
        <v>53</v>
      </c>
      <c r="AT141" s="146" t="inlineStr">
        <is>
          <t>(53) EN ANALISIS DE LAS OBSER REALIZADAS POR PROC LEGALES (EPECIFICAR OFIC.)</t>
        </is>
      </c>
      <c r="AU141" s="146" t="n"/>
      <c r="AV141" s="146" t="n"/>
      <c r="AW141" s="146" t="n"/>
      <c r="AX141" s="146" t="n"/>
      <c r="AY141" s="146" t="n"/>
      <c r="AZ141" s="146" t="n"/>
      <c r="BA141" s="146" t="n"/>
      <c r="BB141" s="146" t="n"/>
      <c r="BC141" s="146" t="n"/>
      <c r="BD141" s="146" t="n"/>
      <c r="BE141" s="146" t="n"/>
      <c r="BF141" s="146" t="n"/>
      <c r="BG141" s="146" t="n"/>
      <c r="BH141" s="146" t="n"/>
      <c r="BI141" s="146" t="n"/>
      <c r="BJ141" s="146" t="n">
        <v>47</v>
      </c>
      <c r="BK141" s="146" t="inlineStr">
        <is>
          <t>SIEMBRA, CULTIVO Y COSECHA DE COCO Y COQUITO DE ACEITE</t>
        </is>
      </c>
      <c r="BL141" s="146" t="n"/>
      <c r="BM141" s="146" t="n"/>
      <c r="BN141" s="146" t="n"/>
      <c r="BO141" s="146" t="n"/>
      <c r="BP141" s="146" t="n"/>
      <c r="BQ141" s="146" t="n"/>
      <c r="BR141" s="146" t="n"/>
      <c r="BS141" s="146" t="n"/>
      <c r="BT141" s="218" t="n"/>
      <c r="BU141" s="218" t="n"/>
      <c r="BV141" s="218" t="n"/>
      <c r="BW141" s="218" t="n"/>
      <c r="BX141" s="218" t="n"/>
      <c r="BY141" s="218" t="n"/>
      <c r="BZ141" s="218" t="n"/>
      <c r="CA141" s="218" t="n"/>
      <c r="CB141" s="218" t="n"/>
      <c r="CC141" s="218" t="n"/>
      <c r="CD141" s="218" t="n"/>
      <c r="CE141" s="218" t="n"/>
      <c r="CF141" s="218" t="n"/>
      <c r="CG141" s="218" t="n"/>
      <c r="CH141" s="218" t="n"/>
      <c r="CI141" s="218" t="n"/>
      <c r="CJ141" s="218" t="n"/>
      <c r="CK141" s="218" t="n"/>
      <c r="CL141" s="218" t="n"/>
      <c r="CM141" s="218" t="n"/>
      <c r="CN141" s="218" t="n"/>
      <c r="CO141" s="218" t="n"/>
      <c r="CP141" s="218" t="n"/>
      <c r="CQ141" s="218" t="n"/>
      <c r="CR141" s="218" t="n"/>
      <c r="CS141" s="218" t="n"/>
      <c r="CT141" s="218" t="n"/>
      <c r="CU141" s="146" t="n">
        <v>3668</v>
      </c>
      <c r="CV141" s="146" t="inlineStr">
        <is>
          <t>VELASCO ALMARAZ LAURA MARGARITA</t>
        </is>
      </c>
      <c r="CW141" s="218" t="n"/>
      <c r="CX141" s="218" t="n"/>
      <c r="CY141" s="218" t="n"/>
      <c r="CZ141" s="218" t="n"/>
      <c r="DA141" s="218" t="n"/>
      <c r="DB141" s="218" t="n"/>
      <c r="DC141" s="218" t="n"/>
    </row>
    <row r="142">
      <c r="A142" s="218" t="n"/>
      <c r="B142" s="218" t="n"/>
      <c r="C142" s="218" t="n"/>
      <c r="D142" s="218" t="n"/>
      <c r="E142" s="218" t="n"/>
      <c r="F142" s="218" t="n"/>
      <c r="G142" s="218" t="n"/>
      <c r="H142" s="218" t="n"/>
      <c r="I142" s="218" t="n"/>
      <c r="J142" s="218" t="n"/>
      <c r="K142" s="218" t="n"/>
      <c r="L142" s="218" t="n"/>
      <c r="M142" s="218" t="n"/>
      <c r="N142" s="218" t="n"/>
      <c r="O142" s="218" t="n"/>
      <c r="P142" s="218" t="n"/>
      <c r="Q142" s="146" t="inlineStr">
        <is>
          <t>BANAMEX</t>
        </is>
      </c>
      <c r="R142" s="146" t="n"/>
      <c r="S142" s="146" t="n"/>
      <c r="T142" s="146" t="n"/>
      <c r="U142" s="146" t="n"/>
      <c r="V142" s="146" t="n"/>
      <c r="W142" s="146" t="n"/>
      <c r="X142" s="146" t="n"/>
      <c r="Y142" s="146" t="n"/>
      <c r="Z142" s="146" t="n"/>
      <c r="AA142" s="146" t="n"/>
      <c r="AB142" s="146" t="n"/>
      <c r="AC142" s="146" t="n"/>
      <c r="AD142" s="146" t="n"/>
      <c r="AE142" s="146" t="n"/>
      <c r="AF142" s="146" t="n"/>
      <c r="AG142" s="146" t="n"/>
      <c r="AH142" s="146" t="n"/>
      <c r="AI142" s="146" t="n"/>
      <c r="AJ142" s="146" t="n"/>
      <c r="AK142" s="146" t="n"/>
      <c r="AL142" s="146" t="n"/>
      <c r="AM142" s="146" t="n"/>
      <c r="AN142" s="146" t="n"/>
      <c r="AO142" s="146" t="n"/>
      <c r="AP142" s="146" t="n"/>
      <c r="AQ142" s="218" t="n"/>
      <c r="AR142" s="218" t="n"/>
      <c r="AS142" s="146" t="n">
        <v>54</v>
      </c>
      <c r="AT142" s="146" t="inlineStr">
        <is>
          <t>(54) ELABORACIÓN DEL PROYEC DE OFIC. DE PTU DIRIGIDO A LA AUTORIDAD LABORAL</t>
        </is>
      </c>
      <c r="AU142" s="146" t="n"/>
      <c r="AV142" s="146" t="n"/>
      <c r="AW142" s="146" t="n"/>
      <c r="AX142" s="146" t="n"/>
      <c r="AY142" s="146" t="n"/>
      <c r="AZ142" s="146" t="n"/>
      <c r="BA142" s="146" t="n"/>
      <c r="BB142" s="146" t="n"/>
      <c r="BC142" s="146" t="n"/>
      <c r="BD142" s="146" t="n"/>
      <c r="BE142" s="146" t="n"/>
      <c r="BF142" s="146" t="n"/>
      <c r="BG142" s="146" t="n"/>
      <c r="BH142" s="146" t="n"/>
      <c r="BI142" s="146" t="n"/>
      <c r="BJ142" s="146" t="n">
        <v>48</v>
      </c>
      <c r="BK142" s="146" t="inlineStr">
        <is>
          <t>SIEMBRA, CULTIVO Y COSECHA DE CACAHUATE</t>
        </is>
      </c>
      <c r="BL142" s="146" t="n"/>
      <c r="BM142" s="146" t="n"/>
      <c r="BN142" s="146" t="n"/>
      <c r="BO142" s="146" t="n"/>
      <c r="BP142" s="146" t="n"/>
      <c r="BQ142" s="146" t="n"/>
      <c r="BR142" s="146" t="n"/>
      <c r="BS142" s="146" t="n"/>
      <c r="BT142" s="218" t="n"/>
      <c r="BU142" s="218" t="n"/>
      <c r="BV142" s="218" t="n"/>
      <c r="BW142" s="218" t="n"/>
      <c r="BX142" s="218" t="n"/>
      <c r="BY142" s="218" t="n"/>
      <c r="BZ142" s="218" t="n"/>
      <c r="CA142" s="218" t="n"/>
      <c r="CB142" s="218" t="n"/>
      <c r="CC142" s="218" t="n"/>
      <c r="CD142" s="218" t="n"/>
      <c r="CE142" s="218" t="n"/>
      <c r="CF142" s="218" t="n"/>
      <c r="CG142" s="218" t="n"/>
      <c r="CH142" s="218" t="n"/>
      <c r="CI142" s="218" t="n"/>
      <c r="CJ142" s="218" t="n"/>
      <c r="CK142" s="218" t="n"/>
      <c r="CL142" s="218" t="n"/>
      <c r="CM142" s="218" t="n"/>
      <c r="CN142" s="218" t="n"/>
      <c r="CO142" s="218" t="n"/>
      <c r="CP142" s="218" t="n"/>
      <c r="CQ142" s="218" t="n"/>
      <c r="CR142" s="218" t="n"/>
      <c r="CS142" s="218" t="n"/>
      <c r="CT142" s="218" t="n"/>
      <c r="CU142" s="146" t="n">
        <v>3965</v>
      </c>
      <c r="CV142" s="146" t="inlineStr">
        <is>
          <t>VERA BELTRAN MA BERTHA</t>
        </is>
      </c>
      <c r="CW142" s="218" t="n"/>
      <c r="CX142" s="218" t="n"/>
      <c r="CY142" s="218" t="n"/>
      <c r="CZ142" s="218" t="n"/>
      <c r="DA142" s="218" t="n"/>
      <c r="DB142" s="218" t="n"/>
      <c r="DC142" s="218" t="n"/>
    </row>
    <row r="143">
      <c r="A143" s="218" t="n"/>
      <c r="B143" s="218" t="n"/>
      <c r="C143" s="218" t="n"/>
      <c r="D143" s="218" t="n"/>
      <c r="E143" s="218" t="n"/>
      <c r="F143" s="218" t="n"/>
      <c r="G143" s="218" t="n"/>
      <c r="H143" s="218" t="n"/>
      <c r="I143" s="218" t="n"/>
      <c r="J143" s="218" t="n"/>
      <c r="K143" s="218" t="n"/>
      <c r="L143" s="218" t="n"/>
      <c r="M143" s="218" t="n"/>
      <c r="N143" s="218" t="n"/>
      <c r="O143" s="218" t="n"/>
      <c r="P143" s="218" t="n"/>
      <c r="Q143" s="146" t="inlineStr">
        <is>
          <t>BANCO DEL ATLANTICO</t>
        </is>
      </c>
      <c r="R143" s="146" t="n"/>
      <c r="S143" s="146" t="n"/>
      <c r="T143" s="146" t="n"/>
      <c r="U143" s="146" t="n"/>
      <c r="V143" s="146" t="n"/>
      <c r="W143" s="146" t="n"/>
      <c r="X143" s="146" t="n"/>
      <c r="Y143" s="146" t="n"/>
      <c r="Z143" s="146" t="n"/>
      <c r="AA143" s="146" t="n"/>
      <c r="AB143" s="146" t="n"/>
      <c r="AC143" s="146" t="n"/>
      <c r="AD143" s="146" t="n"/>
      <c r="AE143" s="146" t="n"/>
      <c r="AF143" s="146" t="n"/>
      <c r="AG143" s="146" t="n"/>
      <c r="AH143" s="146" t="n"/>
      <c r="AI143" s="146" t="n"/>
      <c r="AJ143" s="146" t="n"/>
      <c r="AK143" s="146" t="n"/>
      <c r="AL143" s="146" t="n"/>
      <c r="AM143" s="146" t="n"/>
      <c r="AN143" s="146" t="n"/>
      <c r="AO143" s="146" t="n"/>
      <c r="AP143" s="146" t="n"/>
      <c r="AQ143" s="218" t="n"/>
      <c r="AR143" s="218" t="n"/>
      <c r="AS143" s="146" t="n">
        <v>55</v>
      </c>
      <c r="AT143" s="146" t="inlineStr">
        <is>
          <t>(55) VALIDACION DEL PROYECTO DEL OFIC. DE PTU POR PROC LEGALES</t>
        </is>
      </c>
      <c r="AU143" s="146" t="n"/>
      <c r="AV143" s="146" t="n"/>
      <c r="AW143" s="146" t="n"/>
      <c r="AX143" s="146" t="n"/>
      <c r="AY143" s="146" t="n"/>
      <c r="AZ143" s="146" t="n"/>
      <c r="BA143" s="146" t="n"/>
      <c r="BB143" s="146" t="n"/>
      <c r="BC143" s="146" t="n"/>
      <c r="BD143" s="146" t="n"/>
      <c r="BE143" s="146" t="n"/>
      <c r="BF143" s="146" t="n"/>
      <c r="BG143" s="146" t="n"/>
      <c r="BH143" s="146" t="n"/>
      <c r="BI143" s="146" t="n"/>
      <c r="BJ143" s="146" t="n">
        <v>49</v>
      </c>
      <c r="BK143" s="146" t="inlineStr">
        <is>
          <t>SIEMBRA, CULTIVO Y COSECHA DE AGAVE O MAGUEY TEQUILERO</t>
        </is>
      </c>
      <c r="BL143" s="146" t="n"/>
      <c r="BM143" s="146" t="n"/>
      <c r="BN143" s="146" t="n"/>
      <c r="BO143" s="146" t="n"/>
      <c r="BP143" s="146" t="n"/>
      <c r="BQ143" s="146" t="n"/>
      <c r="BR143" s="146" t="n"/>
      <c r="BS143" s="146" t="n"/>
      <c r="BT143" s="218" t="n"/>
      <c r="BU143" s="218" t="n"/>
      <c r="BV143" s="218" t="n"/>
      <c r="BW143" s="218" t="n"/>
      <c r="BX143" s="218" t="n"/>
      <c r="BY143" s="218" t="n"/>
      <c r="BZ143" s="218" t="n"/>
      <c r="CA143" s="218" t="n"/>
      <c r="CB143" s="218" t="n"/>
      <c r="CC143" s="218" t="n"/>
      <c r="CD143" s="218" t="n"/>
      <c r="CE143" s="218" t="n"/>
      <c r="CF143" s="218" t="n"/>
      <c r="CG143" s="218" t="n"/>
      <c r="CH143" s="218" t="n"/>
      <c r="CI143" s="218" t="n"/>
      <c r="CJ143" s="218" t="n"/>
      <c r="CK143" s="218" t="n"/>
      <c r="CL143" s="218" t="n"/>
      <c r="CM143" s="218" t="n"/>
      <c r="CN143" s="218" t="n"/>
      <c r="CO143" s="218" t="n"/>
      <c r="CP143" s="218" t="n"/>
      <c r="CQ143" s="218" t="n"/>
      <c r="CR143" s="218" t="n"/>
      <c r="CS143" s="218" t="n"/>
      <c r="CT143" s="218" t="n"/>
      <c r="CU143" s="146" t="n">
        <v>4066</v>
      </c>
      <c r="CV143" s="146" t="inlineStr">
        <is>
          <t>MARTIN GONZALEZ HILDA MARIBEL</t>
        </is>
      </c>
      <c r="CW143" s="218" t="n"/>
      <c r="CX143" s="218" t="n"/>
      <c r="CY143" s="218" t="n"/>
      <c r="CZ143" s="218" t="n"/>
      <c r="DA143" s="218" t="n"/>
      <c r="DB143" s="218" t="n"/>
      <c r="DC143" s="218" t="n"/>
    </row>
    <row r="144">
      <c r="A144" s="218" t="n"/>
      <c r="B144" s="218" t="n"/>
      <c r="C144" s="218" t="n"/>
      <c r="D144" s="218" t="n"/>
      <c r="E144" s="218" t="n"/>
      <c r="F144" s="218" t="n"/>
      <c r="G144" s="218" t="n"/>
      <c r="H144" s="218" t="n"/>
      <c r="I144" s="218" t="n"/>
      <c r="J144" s="218" t="n"/>
      <c r="K144" s="218" t="n"/>
      <c r="L144" s="218" t="n"/>
      <c r="M144" s="218" t="n"/>
      <c r="N144" s="218" t="n"/>
      <c r="O144" s="218" t="n"/>
      <c r="P144" s="218" t="n"/>
      <c r="Q144" s="146" t="inlineStr">
        <is>
          <t>ACCIONES Y VALORES DE MEXICO, S.A. DE C.V.</t>
        </is>
      </c>
      <c r="R144" s="146" t="n"/>
      <c r="S144" s="146" t="n"/>
      <c r="T144" s="146" t="n"/>
      <c r="U144" s="146" t="n"/>
      <c r="V144" s="146" t="n"/>
      <c r="W144" s="146" t="n"/>
      <c r="X144" s="146" t="n"/>
      <c r="Y144" s="146" t="n"/>
      <c r="Z144" s="146" t="n"/>
      <c r="AA144" s="146" t="n"/>
      <c r="AB144" s="146" t="n"/>
      <c r="AC144" s="146" t="n"/>
      <c r="AD144" s="146" t="n"/>
      <c r="AE144" s="146" t="n"/>
      <c r="AF144" s="146" t="n"/>
      <c r="AG144" s="146" t="n"/>
      <c r="AH144" s="146" t="n"/>
      <c r="AI144" s="146" t="n"/>
      <c r="AJ144" s="146" t="n"/>
      <c r="AK144" s="146" t="n"/>
      <c r="AL144" s="146" t="n"/>
      <c r="AM144" s="146" t="n"/>
      <c r="AN144" s="146" t="n"/>
      <c r="AO144" s="146" t="n"/>
      <c r="AP144" s="146" t="n"/>
      <c r="AQ144" s="218" t="n"/>
      <c r="AR144" s="218" t="n"/>
      <c r="AS144" s="146" t="n">
        <v>58</v>
      </c>
      <c r="AT144" s="146" t="inlineStr">
        <is>
          <t>(58) ELABORACIÓN DE LA HOJA DE CONTROL DE NORMATIVIDAD</t>
        </is>
      </c>
      <c r="AU144" s="146" t="n"/>
      <c r="AV144" s="146" t="n"/>
      <c r="AW144" s="146" t="n"/>
      <c r="AX144" s="146" t="n"/>
      <c r="AY144" s="146" t="n"/>
      <c r="AZ144" s="146" t="n"/>
      <c r="BA144" s="146" t="n"/>
      <c r="BB144" s="146" t="n"/>
      <c r="BC144" s="146" t="n"/>
      <c r="BD144" s="146" t="n"/>
      <c r="BE144" s="146" t="n"/>
      <c r="BF144" s="146" t="n"/>
      <c r="BG144" s="146" t="n"/>
      <c r="BH144" s="146" t="n"/>
      <c r="BI144" s="146" t="n"/>
      <c r="BJ144" s="146" t="n">
        <v>50</v>
      </c>
      <c r="BK144" s="146" t="inlineStr">
        <is>
          <t>SIEMBRA, CULTIVO Y COSECHA DE OTROS CULTIVOS</t>
        </is>
      </c>
      <c r="BL144" s="146" t="n"/>
      <c r="BM144" s="146" t="n"/>
      <c r="BN144" s="146" t="n"/>
      <c r="BO144" s="146" t="n"/>
      <c r="BP144" s="146" t="n"/>
      <c r="BQ144" s="146" t="n"/>
      <c r="BR144" s="146" t="n"/>
      <c r="BS144" s="146" t="n"/>
      <c r="BT144" s="218" t="n"/>
      <c r="BU144" s="218" t="n"/>
      <c r="BV144" s="218" t="n"/>
      <c r="BW144" s="218" t="n"/>
      <c r="BX144" s="218" t="n"/>
      <c r="BY144" s="218" t="n"/>
      <c r="BZ144" s="218" t="n"/>
      <c r="CA144" s="218" t="n"/>
      <c r="CB144" s="218" t="n"/>
      <c r="CC144" s="218" t="n"/>
      <c r="CD144" s="218" t="n"/>
      <c r="CE144" s="218" t="n"/>
      <c r="CF144" s="218" t="n"/>
      <c r="CG144" s="218" t="n"/>
      <c r="CH144" s="218" t="n"/>
      <c r="CI144" s="218" t="n"/>
      <c r="CJ144" s="218" t="n"/>
      <c r="CK144" s="218" t="n"/>
      <c r="CL144" s="218" t="n"/>
      <c r="CM144" s="218" t="n"/>
      <c r="CN144" s="218" t="n"/>
      <c r="CO144" s="218" t="n"/>
      <c r="CP144" s="218" t="n"/>
      <c r="CQ144" s="218" t="n"/>
      <c r="CR144" s="218" t="n"/>
      <c r="CS144" s="218" t="n"/>
      <c r="CT144" s="218" t="n"/>
      <c r="CU144" s="146" t="n">
        <v>4077</v>
      </c>
      <c r="CV144" s="146" t="inlineStr">
        <is>
          <t>MAGALLON GUDIÑO JUAN CARLOS</t>
        </is>
      </c>
      <c r="CW144" s="218" t="n"/>
      <c r="CX144" s="218" t="n"/>
      <c r="CY144" s="218" t="n"/>
      <c r="CZ144" s="218" t="n"/>
      <c r="DA144" s="218" t="n"/>
      <c r="DB144" s="218" t="n"/>
      <c r="DC144" s="218" t="n"/>
    </row>
    <row r="145">
      <c r="A145" s="218" t="n"/>
      <c r="B145" s="218" t="n"/>
      <c r="C145" s="218" t="n"/>
      <c r="D145" s="218" t="n"/>
      <c r="E145" s="218" t="n"/>
      <c r="F145" s="218" t="n"/>
      <c r="G145" s="218" t="n"/>
      <c r="H145" s="218" t="n"/>
      <c r="I145" s="218" t="n"/>
      <c r="J145" s="218" t="n"/>
      <c r="K145" s="218" t="n"/>
      <c r="L145" s="218" t="n"/>
      <c r="M145" s="218" t="n"/>
      <c r="N145" s="218" t="n"/>
      <c r="O145" s="218" t="n"/>
      <c r="P145" s="218" t="n"/>
      <c r="Q145" s="146" t="inlineStr">
        <is>
          <t>BANCO DEL EJERCITO, FUERZA AEREA Y ARMADA</t>
        </is>
      </c>
      <c r="R145" s="146" t="n"/>
      <c r="S145" s="146" t="n"/>
      <c r="T145" s="146" t="n"/>
      <c r="U145" s="146" t="n"/>
      <c r="V145" s="146" t="n"/>
      <c r="W145" s="146" t="n"/>
      <c r="X145" s="146" t="n"/>
      <c r="Y145" s="146" t="n"/>
      <c r="Z145" s="146" t="n"/>
      <c r="AA145" s="146" t="n"/>
      <c r="AB145" s="146" t="n"/>
      <c r="AC145" s="146" t="n"/>
      <c r="AD145" s="146" t="n"/>
      <c r="AE145" s="146" t="n"/>
      <c r="AF145" s="146" t="n"/>
      <c r="AG145" s="146" t="n"/>
      <c r="AH145" s="146" t="n"/>
      <c r="AI145" s="146" t="n"/>
      <c r="AJ145" s="146" t="n"/>
      <c r="AK145" s="146" t="n"/>
      <c r="AL145" s="146" t="n"/>
      <c r="AM145" s="146" t="n"/>
      <c r="AN145" s="146" t="n"/>
      <c r="AO145" s="146" t="n"/>
      <c r="AP145" s="146" t="n"/>
      <c r="AQ145" s="218" t="n"/>
      <c r="AR145" s="218" t="n"/>
      <c r="AS145" s="146" t="n">
        <v>59</v>
      </c>
      <c r="AT145" s="146" t="inlineStr">
        <is>
          <t>(59) ELABORACIÓN  DE LOS INFORMES DE AUDIT TERMINADA Y CEDULAS DE CONCLU</t>
        </is>
      </c>
      <c r="AU145" s="146" t="n"/>
      <c r="AV145" s="146" t="n"/>
      <c r="AW145" s="146" t="n"/>
      <c r="AX145" s="146" t="n"/>
      <c r="AY145" s="146" t="n"/>
      <c r="AZ145" s="146" t="n"/>
      <c r="BA145" s="146" t="n"/>
      <c r="BB145" s="146" t="n"/>
      <c r="BC145" s="146" t="n"/>
      <c r="BD145" s="146" t="n"/>
      <c r="BE145" s="146" t="n"/>
      <c r="BF145" s="146" t="n"/>
      <c r="BG145" s="146" t="n"/>
      <c r="BH145" s="146" t="n"/>
      <c r="BI145" s="146" t="n"/>
      <c r="BJ145" s="146" t="n">
        <v>51</v>
      </c>
      <c r="BK145" s="146" t="inlineStr">
        <is>
          <t>CRIA Y ENGORDA DE VACAS, RESES O NOVILLOS PARA VENTA DE SU CARNE</t>
        </is>
      </c>
      <c r="BL145" s="146" t="n"/>
      <c r="BM145" s="146" t="n"/>
      <c r="BN145" s="146" t="n"/>
      <c r="BO145" s="146" t="n"/>
      <c r="BP145" s="146" t="n"/>
      <c r="BQ145" s="146" t="n"/>
      <c r="BR145" s="146" t="n"/>
      <c r="BS145" s="146" t="n"/>
      <c r="BT145" s="218" t="n"/>
      <c r="BU145" s="218" t="n"/>
      <c r="BV145" s="218" t="n"/>
      <c r="BW145" s="218" t="n"/>
      <c r="BX145" s="218" t="n"/>
      <c r="BY145" s="218" t="n"/>
      <c r="BZ145" s="218" t="n"/>
      <c r="CA145" s="218" t="n"/>
      <c r="CB145" s="218" t="n"/>
      <c r="CC145" s="218" t="n"/>
      <c r="CD145" s="218" t="n"/>
      <c r="CE145" s="218" t="n"/>
      <c r="CF145" s="218" t="n"/>
      <c r="CG145" s="218" t="n"/>
      <c r="CH145" s="218" t="n"/>
      <c r="CI145" s="218" t="n"/>
      <c r="CJ145" s="218" t="n"/>
      <c r="CK145" s="218" t="n"/>
      <c r="CL145" s="218" t="n"/>
      <c r="CM145" s="218" t="n"/>
      <c r="CN145" s="218" t="n"/>
      <c r="CO145" s="218" t="n"/>
      <c r="CP145" s="218" t="n"/>
      <c r="CQ145" s="218" t="n"/>
      <c r="CR145" s="218" t="n"/>
      <c r="CS145" s="218" t="n"/>
      <c r="CT145" s="218" t="n"/>
      <c r="CU145" s="146" t="n">
        <v>4120</v>
      </c>
      <c r="CV145" s="146" t="inlineStr">
        <is>
          <t>CORONA MUNGUIA IRMA CECILIA</t>
        </is>
      </c>
      <c r="CW145" s="218" t="n"/>
      <c r="CX145" s="218" t="n"/>
      <c r="CY145" s="218" t="n"/>
      <c r="CZ145" s="218" t="n"/>
      <c r="DA145" s="218" t="n"/>
      <c r="DB145" s="218" t="n"/>
      <c r="DC145" s="218" t="n"/>
    </row>
    <row r="146">
      <c r="A146" s="218" t="n"/>
      <c r="B146" s="218" t="n"/>
      <c r="C146" s="218" t="n"/>
      <c r="D146" s="218" t="n"/>
      <c r="E146" s="218" t="n"/>
      <c r="F146" s="218" t="n"/>
      <c r="G146" s="218" t="n"/>
      <c r="H146" s="218" t="n"/>
      <c r="I146" s="218" t="n"/>
      <c r="J146" s="218" t="n"/>
      <c r="K146" s="218" t="n"/>
      <c r="L146" s="218" t="n"/>
      <c r="M146" s="218" t="n"/>
      <c r="N146" s="218" t="n"/>
      <c r="O146" s="218" t="n"/>
      <c r="P146" s="218" t="n"/>
      <c r="Q146" s="146" t="inlineStr">
        <is>
          <t>BANCO MERCANTIL DEL NORTE</t>
        </is>
      </c>
      <c r="R146" s="146" t="n"/>
      <c r="S146" s="146" t="n"/>
      <c r="T146" s="146" t="n"/>
      <c r="U146" s="146" t="n"/>
      <c r="V146" s="146" t="n"/>
      <c r="W146" s="146" t="n"/>
      <c r="X146" s="146" t="n"/>
      <c r="Y146" s="146" t="n"/>
      <c r="Z146" s="146" t="n"/>
      <c r="AA146" s="146" t="n"/>
      <c r="AB146" s="146" t="n"/>
      <c r="AC146" s="146" t="n"/>
      <c r="AD146" s="146" t="n"/>
      <c r="AE146" s="146" t="n"/>
      <c r="AF146" s="146" t="n"/>
      <c r="AG146" s="146" t="n"/>
      <c r="AH146" s="146" t="n"/>
      <c r="AI146" s="146" t="n"/>
      <c r="AJ146" s="146" t="n"/>
      <c r="AK146" s="146" t="n"/>
      <c r="AL146" s="146" t="n"/>
      <c r="AM146" s="146" t="n"/>
      <c r="AN146" s="146" t="n"/>
      <c r="AO146" s="146" t="n"/>
      <c r="AP146" s="146" t="n"/>
      <c r="AQ146" s="218" t="n"/>
      <c r="AR146" s="218" t="n"/>
      <c r="AS146" s="146" t="n">
        <v>60</v>
      </c>
      <c r="AT146" s="146" t="inlineStr">
        <is>
          <t>(60) EN REVISIÓN DE LOS PAPELES DE TRABAJO</t>
        </is>
      </c>
      <c r="AU146" s="146" t="n"/>
      <c r="AV146" s="146" t="n"/>
      <c r="AW146" s="146" t="n"/>
      <c r="AX146" s="146" t="n"/>
      <c r="AY146" s="146" t="n"/>
      <c r="AZ146" s="146" t="n"/>
      <c r="BA146" s="146" t="n"/>
      <c r="BB146" s="146" t="n"/>
      <c r="BC146" s="146" t="n"/>
      <c r="BD146" s="146" t="n"/>
      <c r="BE146" s="146" t="n"/>
      <c r="BF146" s="146" t="n"/>
      <c r="BG146" s="146" t="n"/>
      <c r="BH146" s="146" t="n"/>
      <c r="BI146" s="146" t="n"/>
      <c r="BJ146" s="146" t="n">
        <v>52</v>
      </c>
      <c r="BK146" s="146" t="inlineStr">
        <is>
          <t>CRIA Y ENGORDA DE VACAS, RESES O NOVILLOS PARA VENTA DE LECHE</t>
        </is>
      </c>
      <c r="BL146" s="146" t="n"/>
      <c r="BM146" s="146" t="n"/>
      <c r="BN146" s="146" t="n"/>
      <c r="BO146" s="146" t="n"/>
      <c r="BP146" s="146" t="n"/>
      <c r="BQ146" s="146" t="n"/>
      <c r="BR146" s="146" t="n"/>
      <c r="BS146" s="146" t="n"/>
      <c r="BT146" s="218" t="n"/>
      <c r="BU146" s="218" t="n"/>
      <c r="BV146" s="218" t="n"/>
      <c r="BW146" s="218" t="n"/>
      <c r="BX146" s="218" t="n"/>
      <c r="BY146" s="218" t="n"/>
      <c r="BZ146" s="218" t="n"/>
      <c r="CA146" s="218" t="n"/>
      <c r="CB146" s="218" t="n"/>
      <c r="CC146" s="218" t="n"/>
      <c r="CD146" s="218" t="n"/>
      <c r="CE146" s="218" t="n"/>
      <c r="CF146" s="218" t="n"/>
      <c r="CG146" s="218" t="n"/>
      <c r="CH146" s="218" t="n"/>
      <c r="CI146" s="218" t="n"/>
      <c r="CJ146" s="218" t="n"/>
      <c r="CK146" s="218" t="n"/>
      <c r="CL146" s="218" t="n"/>
      <c r="CM146" s="218" t="n"/>
      <c r="CN146" s="218" t="n"/>
      <c r="CO146" s="218" t="n"/>
      <c r="CP146" s="218" t="n"/>
      <c r="CQ146" s="218" t="n"/>
      <c r="CR146" s="218" t="n"/>
      <c r="CS146" s="218" t="n"/>
      <c r="CT146" s="218" t="n"/>
      <c r="CU146" s="146" t="n">
        <v>4330</v>
      </c>
      <c r="CV146" s="146" t="inlineStr">
        <is>
          <t>CASTILLO CASTAÑEDA SERGIO</t>
        </is>
      </c>
      <c r="CW146" s="218" t="n"/>
      <c r="CX146" s="218" t="n"/>
      <c r="CY146" s="218" t="n"/>
      <c r="CZ146" s="218" t="n"/>
      <c r="DA146" s="218" t="n"/>
      <c r="DB146" s="218" t="n"/>
      <c r="DC146" s="218" t="n"/>
    </row>
    <row r="147">
      <c r="A147" s="218" t="n"/>
      <c r="B147" s="218" t="n"/>
      <c r="C147" s="218" t="n"/>
      <c r="D147" s="218" t="n"/>
      <c r="E147" s="218" t="n"/>
      <c r="F147" s="218" t="n"/>
      <c r="G147" s="218" t="n"/>
      <c r="H147" s="218" t="n"/>
      <c r="I147" s="218" t="n"/>
      <c r="J147" s="218" t="n"/>
      <c r="K147" s="218" t="n"/>
      <c r="L147" s="218" t="n"/>
      <c r="M147" s="218" t="n"/>
      <c r="N147" s="218" t="n"/>
      <c r="O147" s="218" t="n"/>
      <c r="P147" s="218" t="n"/>
      <c r="Q147" s="146" t="inlineStr">
        <is>
          <t>BANCO NACIONAL DE COMERCIO EXTERIOR</t>
        </is>
      </c>
      <c r="R147" s="146" t="n"/>
      <c r="S147" s="146" t="n"/>
      <c r="T147" s="146" t="n"/>
      <c r="U147" s="146" t="n"/>
      <c r="V147" s="146" t="n"/>
      <c r="W147" s="146" t="n"/>
      <c r="X147" s="146" t="n"/>
      <c r="Y147" s="146" t="n"/>
      <c r="Z147" s="146" t="n"/>
      <c r="AA147" s="146" t="n"/>
      <c r="AB147" s="146" t="n"/>
      <c r="AC147" s="146" t="n"/>
      <c r="AD147" s="146" t="n"/>
      <c r="AE147" s="146" t="n"/>
      <c r="AF147" s="146" t="n"/>
      <c r="AG147" s="146" t="n"/>
      <c r="AH147" s="146" t="n"/>
      <c r="AI147" s="146" t="n"/>
      <c r="AJ147" s="146" t="n"/>
      <c r="AK147" s="146" t="n"/>
      <c r="AL147" s="146" t="n"/>
      <c r="AM147" s="146" t="n"/>
      <c r="AN147" s="146" t="n"/>
      <c r="AO147" s="146" t="n"/>
      <c r="AP147" s="146" t="n"/>
      <c r="AQ147" s="218" t="n"/>
      <c r="AR147" s="218" t="n"/>
      <c r="AS147" s="146" t="n">
        <v>61</v>
      </c>
      <c r="AT147" s="146" t="inlineStr">
        <is>
          <t>(61) ELABORACIÓN DEL INFORME DE REVISIÓN DE PAPELES DE TRABAJO</t>
        </is>
      </c>
      <c r="AU147" s="146" t="n"/>
      <c r="AV147" s="146" t="n"/>
      <c r="AW147" s="146" t="n"/>
      <c r="AX147" s="146" t="n"/>
      <c r="AY147" s="146" t="n"/>
      <c r="AZ147" s="146" t="n"/>
      <c r="BA147" s="146" t="n"/>
      <c r="BB147" s="146" t="n"/>
      <c r="BC147" s="146" t="n"/>
      <c r="BD147" s="146" t="n"/>
      <c r="BE147" s="146" t="n"/>
      <c r="BF147" s="146" t="n"/>
      <c r="BG147" s="146" t="n"/>
      <c r="BH147" s="146" t="n"/>
      <c r="BI147" s="146" t="n"/>
      <c r="BJ147" s="146" t="n">
        <v>53</v>
      </c>
      <c r="BK147" s="146" t="inlineStr">
        <is>
          <t>CRIA Y ENGORDA DE VACAS, RESES O NOVILLOS PARA SU VENTA</t>
        </is>
      </c>
      <c r="BL147" s="146" t="n"/>
      <c r="BM147" s="146" t="n"/>
      <c r="BN147" s="146" t="n"/>
      <c r="BO147" s="146" t="n"/>
      <c r="BP147" s="146" t="n"/>
      <c r="BQ147" s="146" t="n"/>
      <c r="BR147" s="146" t="n"/>
      <c r="BS147" s="146" t="n"/>
      <c r="BT147" s="218" t="n"/>
      <c r="BU147" s="218" t="n"/>
      <c r="BV147" s="218" t="n"/>
      <c r="BW147" s="218" t="n"/>
      <c r="BX147" s="218" t="n"/>
      <c r="BY147" s="218" t="n"/>
      <c r="BZ147" s="218" t="n"/>
      <c r="CA147" s="218" t="n"/>
      <c r="CB147" s="218" t="n"/>
      <c r="CC147" s="218" t="n"/>
      <c r="CD147" s="218" t="n"/>
      <c r="CE147" s="218" t="n"/>
      <c r="CF147" s="218" t="n"/>
      <c r="CG147" s="218" t="n"/>
      <c r="CH147" s="218" t="n"/>
      <c r="CI147" s="218" t="n"/>
      <c r="CJ147" s="218" t="n"/>
      <c r="CK147" s="218" t="n"/>
      <c r="CL147" s="218" t="n"/>
      <c r="CM147" s="218" t="n"/>
      <c r="CN147" s="218" t="n"/>
      <c r="CO147" s="218" t="n"/>
      <c r="CP147" s="218" t="n"/>
      <c r="CQ147" s="218" t="n"/>
      <c r="CR147" s="218" t="n"/>
      <c r="CS147" s="218" t="n"/>
      <c r="CT147" s="218" t="n"/>
      <c r="CU147" s="146" t="n">
        <v>4334</v>
      </c>
      <c r="CV147" s="146" t="inlineStr">
        <is>
          <t>VARGAS SILVA FERNANDO</t>
        </is>
      </c>
      <c r="CW147" s="218" t="n"/>
      <c r="CX147" s="218" t="n"/>
      <c r="CY147" s="218" t="n"/>
      <c r="CZ147" s="218" t="n"/>
      <c r="DA147" s="218" t="n"/>
      <c r="DB147" s="218" t="n"/>
      <c r="DC147" s="218" t="n"/>
    </row>
    <row r="148">
      <c r="A148" s="218" t="n"/>
      <c r="B148" s="218" t="n"/>
      <c r="C148" s="218" t="n"/>
      <c r="D148" s="218" t="n"/>
      <c r="E148" s="218" t="n"/>
      <c r="F148" s="218" t="n"/>
      <c r="G148" s="218" t="n"/>
      <c r="H148" s="218" t="n"/>
      <c r="I148" s="218" t="n"/>
      <c r="J148" s="218" t="n"/>
      <c r="K148" s="218" t="n"/>
      <c r="L148" s="218" t="n"/>
      <c r="M148" s="218" t="n"/>
      <c r="N148" s="218" t="n"/>
      <c r="O148" s="218" t="n"/>
      <c r="P148" s="218" t="n"/>
      <c r="Q148" s="146" t="inlineStr">
        <is>
          <t>BANCO NACIONAL DE OBRAS Y SERVICIOS PUBLICOS</t>
        </is>
      </c>
      <c r="R148" s="146" t="n"/>
      <c r="S148" s="146" t="n"/>
      <c r="T148" s="146" t="n"/>
      <c r="U148" s="146" t="n"/>
      <c r="V148" s="146" t="n"/>
      <c r="W148" s="146" t="n"/>
      <c r="X148" s="146" t="n"/>
      <c r="Y148" s="146" t="n"/>
      <c r="Z148" s="146" t="n"/>
      <c r="AA148" s="146" t="n"/>
      <c r="AB148" s="146" t="n"/>
      <c r="AC148" s="146" t="n"/>
      <c r="AD148" s="146" t="n"/>
      <c r="AE148" s="146" t="n"/>
      <c r="AF148" s="146" t="n"/>
      <c r="AG148" s="146" t="n"/>
      <c r="AH148" s="146" t="n"/>
      <c r="AI148" s="146" t="n"/>
      <c r="AJ148" s="146" t="n"/>
      <c r="AK148" s="146" t="n"/>
      <c r="AL148" s="146" t="n"/>
      <c r="AM148" s="146" t="n"/>
      <c r="AN148" s="146" t="n"/>
      <c r="AO148" s="146" t="n"/>
      <c r="AP148" s="146" t="n"/>
      <c r="AQ148" s="218" t="n"/>
      <c r="AR148" s="218" t="n"/>
      <c r="AS148" s="146" t="n">
        <v>62</v>
      </c>
      <c r="AT148" s="146" t="inlineStr">
        <is>
          <t>(62) SOLICITUD DE INFORMACIÓN Y DOCUMENTACIÓN AL CPR</t>
        </is>
      </c>
      <c r="AU148" s="146" t="n"/>
      <c r="AV148" s="146" t="n"/>
      <c r="AW148" s="146" t="n"/>
      <c r="AX148" s="146" t="n"/>
      <c r="AY148" s="146" t="n"/>
      <c r="AZ148" s="146" t="n"/>
      <c r="BA148" s="146" t="n"/>
      <c r="BB148" s="146" t="n"/>
      <c r="BC148" s="146" t="n"/>
      <c r="BD148" s="146" t="n"/>
      <c r="BE148" s="146" t="n"/>
      <c r="BF148" s="146" t="n"/>
      <c r="BG148" s="146" t="n"/>
      <c r="BH148" s="146" t="n"/>
      <c r="BI148" s="146" t="n"/>
      <c r="BJ148" s="146" t="n">
        <v>54</v>
      </c>
      <c r="BK148" s="146" t="inlineStr">
        <is>
          <t>CRIA Y ENGORDA DE CERDOS EN GRANJA</t>
        </is>
      </c>
      <c r="BL148" s="146" t="n"/>
      <c r="BM148" s="146" t="n"/>
      <c r="BN148" s="146" t="n"/>
      <c r="BO148" s="146" t="n"/>
      <c r="BP148" s="146" t="n"/>
      <c r="BQ148" s="146" t="n"/>
      <c r="BR148" s="146" t="n"/>
      <c r="BS148" s="146" t="n"/>
      <c r="BT148" s="218" t="n"/>
      <c r="BU148" s="218" t="n"/>
      <c r="BV148" s="218" t="n"/>
      <c r="BW148" s="218" t="n"/>
      <c r="BX148" s="218" t="n"/>
      <c r="BY148" s="218" t="n"/>
      <c r="BZ148" s="218" t="n"/>
      <c r="CA148" s="218" t="n"/>
      <c r="CB148" s="218" t="n"/>
      <c r="CC148" s="218" t="n"/>
      <c r="CD148" s="218" t="n"/>
      <c r="CE148" s="218" t="n"/>
      <c r="CF148" s="218" t="n"/>
      <c r="CG148" s="218" t="n"/>
      <c r="CH148" s="218" t="n"/>
      <c r="CI148" s="218" t="n"/>
      <c r="CJ148" s="218" t="n"/>
      <c r="CK148" s="218" t="n"/>
      <c r="CL148" s="218" t="n"/>
      <c r="CM148" s="218" t="n"/>
      <c r="CN148" s="218" t="n"/>
      <c r="CO148" s="218" t="n"/>
      <c r="CP148" s="218" t="n"/>
      <c r="CQ148" s="218" t="n"/>
      <c r="CR148" s="218" t="n"/>
      <c r="CS148" s="218" t="n"/>
      <c r="CT148" s="218" t="n"/>
      <c r="CU148" s="146" t="n">
        <v>4349</v>
      </c>
      <c r="CV148" s="146" t="inlineStr">
        <is>
          <t>HERNANDEZ LOPEZ MARIA DEL CARMEN</t>
        </is>
      </c>
      <c r="CW148" s="218" t="n"/>
      <c r="CX148" s="218" t="n"/>
      <c r="CY148" s="218" t="n"/>
      <c r="CZ148" s="218" t="n"/>
      <c r="DA148" s="218" t="n"/>
      <c r="DB148" s="218" t="n"/>
      <c r="DC148" s="218" t="n"/>
    </row>
    <row r="149">
      <c r="A149" s="218" t="n"/>
      <c r="B149" s="218" t="n"/>
      <c r="C149" s="218" t="n"/>
      <c r="D149" s="218" t="n"/>
      <c r="E149" s="218" t="n"/>
      <c r="F149" s="218" t="n"/>
      <c r="G149" s="218" t="n"/>
      <c r="H149" s="218" t="n"/>
      <c r="I149" s="218" t="n"/>
      <c r="J149" s="218" t="n"/>
      <c r="K149" s="218" t="n"/>
      <c r="L149" s="218" t="n"/>
      <c r="M149" s="218" t="n"/>
      <c r="N149" s="218" t="n"/>
      <c r="O149" s="218" t="n"/>
      <c r="P149" s="218" t="n"/>
      <c r="Q149" s="146" t="inlineStr">
        <is>
          <t>CITIBANK</t>
        </is>
      </c>
      <c r="R149" s="152" t="n"/>
      <c r="S149" s="152" t="n"/>
      <c r="T149" s="152" t="n"/>
      <c r="U149" s="146" t="n"/>
      <c r="V149" s="146" t="n"/>
      <c r="W149" s="146" t="n"/>
      <c r="X149" s="146" t="n"/>
      <c r="Y149" s="146" t="n"/>
      <c r="Z149" s="146" t="n"/>
      <c r="AA149" s="146" t="n"/>
      <c r="AB149" s="146" t="n"/>
      <c r="AC149" s="146" t="n"/>
      <c r="AD149" s="146" t="n"/>
      <c r="AE149" s="146" t="n"/>
      <c r="AF149" s="146" t="n"/>
      <c r="AG149" s="146" t="n"/>
      <c r="AH149" s="146" t="n"/>
      <c r="AI149" s="146" t="n"/>
      <c r="AJ149" s="146" t="n"/>
      <c r="AK149" s="146" t="n"/>
      <c r="AL149" s="146" t="n"/>
      <c r="AM149" s="146" t="n"/>
      <c r="AN149" s="146" t="n"/>
      <c r="AO149" s="146" t="n"/>
      <c r="AP149" s="146" t="n"/>
      <c r="AQ149" s="218" t="n"/>
      <c r="AR149" s="218" t="n"/>
      <c r="AS149" s="146" t="n">
        <v>63</v>
      </c>
      <c r="AT149" s="146" t="inlineStr">
        <is>
          <t>(63) EN REVISIÓN DE LA DOCUMENTACIÓN APORTADA POR EL CPR</t>
        </is>
      </c>
      <c r="AU149" s="146" t="n"/>
      <c r="AV149" s="146" t="n"/>
      <c r="AW149" s="146" t="n"/>
      <c r="AX149" s="146" t="n"/>
      <c r="AY149" s="146" t="n"/>
      <c r="AZ149" s="146" t="n"/>
      <c r="BA149" s="146" t="n"/>
      <c r="BB149" s="146" t="n"/>
      <c r="BC149" s="146" t="n"/>
      <c r="BD149" s="146" t="n"/>
      <c r="BE149" s="146" t="n"/>
      <c r="BF149" s="146" t="n"/>
      <c r="BG149" s="146" t="n"/>
      <c r="BH149" s="146" t="n"/>
      <c r="BI149" s="146" t="n"/>
      <c r="BJ149" s="146" t="n">
        <v>55</v>
      </c>
      <c r="BK149" s="146" t="inlineStr">
        <is>
          <t>CRIA Y ENGORDA DE CERDOS EN PATIOS Y LUGARES DISTINTOS A GRANJAS</t>
        </is>
      </c>
      <c r="BL149" s="146" t="n"/>
      <c r="BM149" s="146" t="n"/>
      <c r="BN149" s="146" t="n"/>
      <c r="BO149" s="146" t="n"/>
      <c r="BP149" s="146" t="n"/>
      <c r="BQ149" s="146" t="n"/>
      <c r="BR149" s="146" t="n"/>
      <c r="BS149" s="146" t="n"/>
      <c r="BT149" s="218" t="n"/>
      <c r="BU149" s="218" t="n"/>
      <c r="BV149" s="218" t="n"/>
      <c r="BW149" s="218" t="n"/>
      <c r="BX149" s="218" t="n"/>
      <c r="BY149" s="218" t="n"/>
      <c r="BZ149" s="218" t="n"/>
      <c r="CA149" s="218" t="n"/>
      <c r="CB149" s="218" t="n"/>
      <c r="CC149" s="218" t="n"/>
      <c r="CD149" s="218" t="n"/>
      <c r="CE149" s="218" t="n"/>
      <c r="CF149" s="218" t="n"/>
      <c r="CG149" s="218" t="n"/>
      <c r="CH149" s="218" t="n"/>
      <c r="CI149" s="218" t="n"/>
      <c r="CJ149" s="218" t="n"/>
      <c r="CK149" s="218" t="n"/>
      <c r="CL149" s="218" t="n"/>
      <c r="CM149" s="218" t="n"/>
      <c r="CN149" s="218" t="n"/>
      <c r="CO149" s="218" t="n"/>
      <c r="CP149" s="218" t="n"/>
      <c r="CQ149" s="218" t="n"/>
      <c r="CR149" s="218" t="n"/>
      <c r="CS149" s="218" t="n"/>
      <c r="CT149" s="218" t="n"/>
      <c r="CU149" s="146" t="n">
        <v>4416</v>
      </c>
      <c r="CV149" s="146" t="inlineStr">
        <is>
          <t>GONZALEZ JAUREGUI RICARDO</t>
        </is>
      </c>
      <c r="CW149" s="218" t="n"/>
      <c r="CX149" s="218" t="n"/>
      <c r="CY149" s="218" t="n"/>
      <c r="CZ149" s="218" t="n"/>
      <c r="DA149" s="218" t="n"/>
      <c r="DB149" s="218" t="n"/>
      <c r="DC149" s="218" t="n"/>
    </row>
    <row r="150">
      <c r="A150" s="218" t="n"/>
      <c r="B150" s="218" t="n"/>
      <c r="C150" s="218" t="n"/>
      <c r="D150" s="218" t="n"/>
      <c r="E150" s="218" t="n"/>
      <c r="F150" s="218" t="n"/>
      <c r="G150" s="218" t="n"/>
      <c r="H150" s="218" t="n"/>
      <c r="I150" s="218" t="n"/>
      <c r="J150" s="218" t="n"/>
      <c r="K150" s="218" t="n"/>
      <c r="L150" s="218" t="n"/>
      <c r="M150" s="218" t="n"/>
      <c r="N150" s="218" t="n"/>
      <c r="O150" s="218" t="n"/>
      <c r="P150" s="218" t="n"/>
      <c r="Q150" s="146" t="inlineStr">
        <is>
          <t>SCOTIA BANK INVERLAT</t>
        </is>
      </c>
      <c r="R150" s="146" t="n"/>
      <c r="S150" s="146" t="n"/>
      <c r="T150" s="146" t="n"/>
      <c r="U150" s="146" t="n"/>
      <c r="V150" s="146" t="n"/>
      <c r="W150" s="146" t="n"/>
      <c r="X150" s="146" t="n"/>
      <c r="Y150" s="146" t="n"/>
      <c r="Z150" s="146" t="n"/>
      <c r="AA150" s="146" t="n"/>
      <c r="AB150" s="146" t="n"/>
      <c r="AC150" s="146" t="n"/>
      <c r="AD150" s="146" t="n"/>
      <c r="AE150" s="146" t="n"/>
      <c r="AF150" s="146" t="n"/>
      <c r="AG150" s="146" t="n"/>
      <c r="AH150" s="146" t="n"/>
      <c r="AI150" s="146" t="n"/>
      <c r="AJ150" s="146" t="n"/>
      <c r="AK150" s="146" t="n"/>
      <c r="AL150" s="146" t="n"/>
      <c r="AM150" s="146" t="n"/>
      <c r="AN150" s="146" t="n"/>
      <c r="AO150" s="146" t="n"/>
      <c r="AP150" s="146" t="n"/>
      <c r="AQ150" s="218" t="n"/>
      <c r="AR150" s="218" t="n"/>
      <c r="AS150" s="146" t="n">
        <v>64</v>
      </c>
      <c r="AT150" s="146" t="inlineStr">
        <is>
          <t>(64) EN LA ELABORACIÓN DEL OFICIO DE IRREGULARIDADES AL CPR</t>
        </is>
      </c>
      <c r="AU150" s="146" t="n"/>
      <c r="AV150" s="146" t="n"/>
      <c r="AW150" s="146" t="n"/>
      <c r="AX150" s="146" t="n"/>
      <c r="AY150" s="146" t="n"/>
      <c r="AZ150" s="146" t="n"/>
      <c r="BA150" s="146" t="n"/>
      <c r="BB150" s="146" t="n"/>
      <c r="BC150" s="146" t="n"/>
      <c r="BD150" s="146" t="n"/>
      <c r="BE150" s="146" t="n"/>
      <c r="BF150" s="146" t="n"/>
      <c r="BG150" s="146" t="n"/>
      <c r="BH150" s="146" t="n"/>
      <c r="BI150" s="146" t="n"/>
      <c r="BJ150" s="146" t="n">
        <v>56</v>
      </c>
      <c r="BK150" s="146" t="inlineStr">
        <is>
          <t>CRIA Y ENGORDA DE GALLINAS PONEDORAS DE HUEVO PARA REPRODUCCION</t>
        </is>
      </c>
      <c r="BL150" s="146" t="n"/>
      <c r="BM150" s="146" t="n"/>
      <c r="BN150" s="146" t="n"/>
      <c r="BO150" s="146" t="n"/>
      <c r="BP150" s="146" t="n"/>
      <c r="BQ150" s="146" t="n"/>
      <c r="BR150" s="146" t="n"/>
      <c r="BS150" s="146" t="n"/>
      <c r="BT150" s="218" t="n"/>
      <c r="BU150" s="218" t="n"/>
      <c r="BV150" s="218" t="n"/>
      <c r="BW150" s="218" t="n"/>
      <c r="BX150" s="218" t="n"/>
      <c r="BY150" s="218" t="n"/>
      <c r="BZ150" s="218" t="n"/>
      <c r="CA150" s="218" t="n"/>
      <c r="CB150" s="218" t="n"/>
      <c r="CC150" s="218" t="n"/>
      <c r="CD150" s="218" t="n"/>
      <c r="CE150" s="218" t="n"/>
      <c r="CF150" s="218" t="n"/>
      <c r="CG150" s="218" t="n"/>
      <c r="CH150" s="218" t="n"/>
      <c r="CI150" s="218" t="n"/>
      <c r="CJ150" s="218" t="n"/>
      <c r="CK150" s="218" t="n"/>
      <c r="CL150" s="218" t="n"/>
      <c r="CM150" s="218" t="n"/>
      <c r="CN150" s="218" t="n"/>
      <c r="CO150" s="218" t="n"/>
      <c r="CP150" s="218" t="n"/>
      <c r="CQ150" s="218" t="n"/>
      <c r="CR150" s="218" t="n"/>
      <c r="CS150" s="218" t="n"/>
      <c r="CT150" s="218" t="n"/>
      <c r="CU150" s="146" t="n">
        <v>4418</v>
      </c>
      <c r="CV150" s="146" t="inlineStr">
        <is>
          <t>VAZQUEZ ROMO ELIAS</t>
        </is>
      </c>
      <c r="CW150" s="218" t="n"/>
      <c r="CX150" s="218" t="n"/>
      <c r="CY150" s="218" t="n"/>
      <c r="CZ150" s="218" t="n"/>
      <c r="DA150" s="218" t="n"/>
      <c r="DB150" s="218" t="n"/>
      <c r="DC150" s="218" t="n"/>
    </row>
    <row r="151">
      <c r="A151" s="218" t="n"/>
      <c r="B151" s="218" t="n"/>
      <c r="C151" s="218" t="n"/>
      <c r="D151" s="218" t="n"/>
      <c r="E151" s="218" t="n"/>
      <c r="F151" s="218" t="n"/>
      <c r="G151" s="218" t="n"/>
      <c r="H151" s="218" t="n"/>
      <c r="I151" s="218" t="n"/>
      <c r="J151" s="218" t="n"/>
      <c r="K151" s="218" t="n"/>
      <c r="L151" s="218" t="n"/>
      <c r="M151" s="218" t="n"/>
      <c r="N151" s="218" t="n"/>
      <c r="O151" s="218" t="n"/>
      <c r="P151" s="218" t="n"/>
      <c r="Q151" s="146" t="inlineStr">
        <is>
          <t>IXE BANCO</t>
        </is>
      </c>
      <c r="R151" s="146" t="n"/>
      <c r="S151" s="146" t="n"/>
      <c r="T151" s="146" t="n"/>
      <c r="U151" s="146" t="n"/>
      <c r="V151" s="146" t="n"/>
      <c r="W151" s="146" t="n"/>
      <c r="X151" s="146" t="n"/>
      <c r="Y151" s="146" t="n"/>
      <c r="Z151" s="146" t="n"/>
      <c r="AA151" s="146" t="n"/>
      <c r="AB151" s="146" t="n"/>
      <c r="AC151" s="146" t="n"/>
      <c r="AD151" s="146" t="n"/>
      <c r="AE151" s="146" t="n"/>
      <c r="AF151" s="146" t="n"/>
      <c r="AG151" s="146" t="n"/>
      <c r="AH151" s="146" t="n"/>
      <c r="AI151" s="146" t="n"/>
      <c r="AJ151" s="146" t="n"/>
      <c r="AK151" s="146" t="n"/>
      <c r="AL151" s="146" t="n"/>
      <c r="AM151" s="146" t="n"/>
      <c r="AN151" s="146" t="n"/>
      <c r="AO151" s="146" t="n"/>
      <c r="AP151" s="146" t="n"/>
      <c r="AQ151" s="218" t="n"/>
      <c r="AR151" s="218" t="n"/>
      <c r="AS151" s="146" t="n">
        <v>66</v>
      </c>
      <c r="AT151" s="146" t="inlineStr">
        <is>
          <t xml:space="preserve">(66) EXPEDIENTE EN ANÁLISIS POR CAMBIO DE METODO O TIPO DE REVISIÓN </t>
        </is>
      </c>
      <c r="AU151" s="146" t="n"/>
      <c r="AV151" s="146" t="n"/>
      <c r="AW151" s="146" t="n"/>
      <c r="AX151" s="146" t="n"/>
      <c r="AY151" s="146" t="n"/>
      <c r="AZ151" s="146" t="n"/>
      <c r="BA151" s="146" t="n"/>
      <c r="BB151" s="146" t="n"/>
      <c r="BC151" s="146" t="n"/>
      <c r="BD151" s="146" t="n"/>
      <c r="BE151" s="146" t="n"/>
      <c r="BF151" s="146" t="n"/>
      <c r="BG151" s="146" t="n"/>
      <c r="BH151" s="146" t="n"/>
      <c r="BI151" s="146" t="n"/>
      <c r="BJ151" s="146" t="n">
        <v>57</v>
      </c>
      <c r="BK151" s="146" t="inlineStr">
        <is>
          <t>CRIA Y ENGORDA DE GALLINAS PONEDORAS DE HUEVO PARA CONSUMO</t>
        </is>
      </c>
      <c r="BL151" s="146" t="n"/>
      <c r="BM151" s="146" t="n"/>
      <c r="BN151" s="146" t="n"/>
      <c r="BO151" s="146" t="n"/>
      <c r="BP151" s="146" t="n"/>
      <c r="BQ151" s="146" t="n"/>
      <c r="BR151" s="146" t="n"/>
      <c r="BS151" s="146" t="n"/>
      <c r="BT151" s="218" t="n"/>
      <c r="BU151" s="218" t="n"/>
      <c r="BV151" s="218" t="n"/>
      <c r="BW151" s="218" t="n"/>
      <c r="BX151" s="218" t="n"/>
      <c r="BY151" s="218" t="n"/>
      <c r="BZ151" s="218" t="n"/>
      <c r="CA151" s="218" t="n"/>
      <c r="CB151" s="218" t="n"/>
      <c r="CC151" s="218" t="n"/>
      <c r="CD151" s="218" t="n"/>
      <c r="CE151" s="218" t="n"/>
      <c r="CF151" s="218" t="n"/>
      <c r="CG151" s="218" t="n"/>
      <c r="CH151" s="218" t="n"/>
      <c r="CI151" s="218" t="n"/>
      <c r="CJ151" s="218" t="n"/>
      <c r="CK151" s="218" t="n"/>
      <c r="CL151" s="218" t="n"/>
      <c r="CM151" s="218" t="n"/>
      <c r="CN151" s="218" t="n"/>
      <c r="CO151" s="218" t="n"/>
      <c r="CP151" s="218" t="n"/>
      <c r="CQ151" s="218" t="n"/>
      <c r="CR151" s="218" t="n"/>
      <c r="CS151" s="218" t="n"/>
      <c r="CT151" s="218" t="n"/>
      <c r="CU151" s="146" t="n">
        <v>4423</v>
      </c>
      <c r="CV151" s="146" t="inlineStr">
        <is>
          <t>ALONSO GARCIA MARIELBA LORENA</t>
        </is>
      </c>
      <c r="CW151" s="218" t="n"/>
      <c r="CX151" s="218" t="n"/>
      <c r="CY151" s="218" t="n"/>
      <c r="CZ151" s="218" t="n"/>
      <c r="DA151" s="218" t="n"/>
      <c r="DB151" s="218" t="n"/>
      <c r="DC151" s="218" t="n"/>
    </row>
    <row r="152">
      <c r="A152" s="218" t="n"/>
      <c r="B152" s="218" t="n"/>
      <c r="C152" s="218" t="n"/>
      <c r="D152" s="218" t="n"/>
      <c r="E152" s="218" t="n"/>
      <c r="F152" s="218" t="n"/>
      <c r="G152" s="218" t="n"/>
      <c r="H152" s="218" t="n"/>
      <c r="I152" s="218" t="n"/>
      <c r="J152" s="218" t="n"/>
      <c r="K152" s="218" t="n"/>
      <c r="L152" s="218" t="n"/>
      <c r="M152" s="218" t="n"/>
      <c r="N152" s="218" t="n"/>
      <c r="O152" s="218" t="n"/>
      <c r="P152" s="218" t="n"/>
      <c r="Q152" s="146" t="inlineStr">
        <is>
          <t>BANCO DEL SURESTE, S.A.</t>
        </is>
      </c>
      <c r="R152" s="146" t="n"/>
      <c r="S152" s="146" t="n"/>
      <c r="T152" s="146" t="n"/>
      <c r="U152" s="146" t="n"/>
      <c r="V152" s="146" t="n"/>
      <c r="W152" s="146" t="n"/>
      <c r="X152" s="146" t="n"/>
      <c r="Y152" s="146" t="n"/>
      <c r="Z152" s="146" t="n"/>
      <c r="AA152" s="146" t="n"/>
      <c r="AB152" s="146" t="n"/>
      <c r="AC152" s="146" t="n"/>
      <c r="AD152" s="146" t="n"/>
      <c r="AE152" s="146" t="n"/>
      <c r="AF152" s="146" t="n"/>
      <c r="AG152" s="146" t="n"/>
      <c r="AH152" s="146" t="n"/>
      <c r="AI152" s="146" t="n"/>
      <c r="AJ152" s="146" t="n"/>
      <c r="AK152" s="146" t="n"/>
      <c r="AL152" s="146" t="n"/>
      <c r="AM152" s="146" t="n"/>
      <c r="AN152" s="146" t="n"/>
      <c r="AO152" s="146" t="n"/>
      <c r="AP152" s="146" t="n"/>
      <c r="AQ152" s="218" t="n"/>
      <c r="AR152" s="218" t="n"/>
      <c r="AS152" s="146" t="n"/>
      <c r="AT152" s="146" t="n"/>
      <c r="AU152" s="146" t="n"/>
      <c r="AV152" s="146" t="n"/>
      <c r="AW152" s="146" t="n"/>
      <c r="AX152" s="146" t="n"/>
      <c r="AY152" s="146" t="n"/>
      <c r="AZ152" s="146" t="n"/>
      <c r="BA152" s="146" t="n"/>
      <c r="BB152" s="146" t="n"/>
      <c r="BC152" s="146" t="n"/>
      <c r="BD152" s="146" t="n"/>
      <c r="BE152" s="146" t="n"/>
      <c r="BF152" s="146" t="n"/>
      <c r="BG152" s="146" t="n"/>
      <c r="BH152" s="146" t="n"/>
      <c r="BI152" s="146" t="n"/>
      <c r="BJ152" s="146" t="n">
        <v>58</v>
      </c>
      <c r="BK152" s="146" t="inlineStr">
        <is>
          <t>CRIA Y ENGORDA DE POLLOS PARA VENTA DE SU CARNE</t>
        </is>
      </c>
      <c r="BL152" s="146" t="n"/>
      <c r="BM152" s="146" t="n"/>
      <c r="BN152" s="146" t="n"/>
      <c r="BO152" s="146" t="n"/>
      <c r="BP152" s="146" t="n"/>
      <c r="BQ152" s="146" t="n"/>
      <c r="BR152" s="146" t="n"/>
      <c r="BS152" s="146" t="n"/>
      <c r="BT152" s="218" t="n"/>
      <c r="BU152" s="218" t="n"/>
      <c r="BV152" s="218" t="n"/>
      <c r="BW152" s="218" t="n"/>
      <c r="BX152" s="218" t="n"/>
      <c r="BY152" s="218" t="n"/>
      <c r="BZ152" s="218" t="n"/>
      <c r="CA152" s="218" t="n"/>
      <c r="CB152" s="218" t="n"/>
      <c r="CC152" s="218" t="n"/>
      <c r="CD152" s="218" t="n"/>
      <c r="CE152" s="218" t="n"/>
      <c r="CF152" s="218" t="n"/>
      <c r="CG152" s="218" t="n"/>
      <c r="CH152" s="218" t="n"/>
      <c r="CI152" s="218" t="n"/>
      <c r="CJ152" s="218" t="n"/>
      <c r="CK152" s="218" t="n"/>
      <c r="CL152" s="218" t="n"/>
      <c r="CM152" s="218" t="n"/>
      <c r="CN152" s="218" t="n"/>
      <c r="CO152" s="218" t="n"/>
      <c r="CP152" s="218" t="n"/>
      <c r="CQ152" s="218" t="n"/>
      <c r="CR152" s="218" t="n"/>
      <c r="CS152" s="218" t="n"/>
      <c r="CT152" s="218" t="n"/>
      <c r="CU152" s="146" t="n">
        <v>4526</v>
      </c>
      <c r="CV152" s="146" t="inlineStr">
        <is>
          <t>RIVAS NUÑEZ LAURA PATRICIA</t>
        </is>
      </c>
      <c r="CW152" s="218" t="n"/>
      <c r="CX152" s="218" t="n"/>
      <c r="CY152" s="218" t="n"/>
      <c r="CZ152" s="218" t="n"/>
      <c r="DA152" s="218" t="n"/>
      <c r="DB152" s="218" t="n"/>
      <c r="DC152" s="218" t="n"/>
    </row>
    <row r="153">
      <c r="A153" s="218" t="n"/>
      <c r="B153" s="218" t="n"/>
      <c r="C153" s="218" t="n"/>
      <c r="D153" s="218" t="n"/>
      <c r="E153" s="218" t="n"/>
      <c r="F153" s="218" t="n"/>
      <c r="G153" s="218" t="n"/>
      <c r="H153" s="218" t="n"/>
      <c r="I153" s="218" t="n"/>
      <c r="J153" s="218" t="n"/>
      <c r="K153" s="218" t="n"/>
      <c r="L153" s="218" t="n"/>
      <c r="M153" s="218" t="n"/>
      <c r="N153" s="218" t="n"/>
      <c r="O153" s="218" t="n"/>
      <c r="P153" s="218" t="n"/>
      <c r="Q153" s="146" t="inlineStr">
        <is>
          <t>BANCO DEL CREDITO RURAL DEL ITSMO</t>
        </is>
      </c>
      <c r="R153" s="146" t="n"/>
      <c r="S153" s="146" t="n"/>
      <c r="T153" s="146" t="n"/>
      <c r="U153" s="146" t="n"/>
      <c r="V153" s="146" t="n"/>
      <c r="W153" s="146" t="n"/>
      <c r="X153" s="146" t="n"/>
      <c r="Y153" s="146" t="n"/>
      <c r="Z153" s="146" t="n"/>
      <c r="AA153" s="146" t="n"/>
      <c r="AB153" s="146" t="n"/>
      <c r="AC153" s="146" t="n"/>
      <c r="AD153" s="146" t="n"/>
      <c r="AE153" s="146" t="n"/>
      <c r="AF153" s="146" t="n"/>
      <c r="AG153" s="146" t="n"/>
      <c r="AH153" s="146" t="n"/>
      <c r="AI153" s="146" t="n"/>
      <c r="AJ153" s="146" t="n"/>
      <c r="AK153" s="146" t="n"/>
      <c r="AL153" s="146" t="n"/>
      <c r="AM153" s="146" t="n"/>
      <c r="AN153" s="146" t="n"/>
      <c r="AO153" s="146" t="n"/>
      <c r="AP153" s="146" t="n"/>
      <c r="AQ153" s="218" t="n"/>
      <c r="AR153" s="218" t="n"/>
      <c r="AS153" s="146" t="n"/>
      <c r="AT153" s="146" t="n"/>
      <c r="AU153" s="146" t="n"/>
      <c r="AV153" s="146" t="n"/>
      <c r="AW153" s="146" t="n"/>
      <c r="AX153" s="146" t="n"/>
      <c r="AY153" s="146" t="n"/>
      <c r="AZ153" s="146" t="n"/>
      <c r="BA153" s="146" t="n"/>
      <c r="BB153" s="146" t="n"/>
      <c r="BC153" s="146" t="n"/>
      <c r="BD153" s="146" t="n"/>
      <c r="BE153" s="146" t="n"/>
      <c r="BF153" s="146" t="n"/>
      <c r="BG153" s="146" t="n"/>
      <c r="BH153" s="146" t="n"/>
      <c r="BI153" s="146" t="n"/>
      <c r="BJ153" s="146" t="n">
        <v>59</v>
      </c>
      <c r="BK153" s="146" t="inlineStr">
        <is>
          <t>CRIA Y ENGORDA DE GUAJOLOTES O PAVOS PARA LA VENTA DE SU CARNE Y PRODUCCION DE HUEVO</t>
        </is>
      </c>
      <c r="BL153" s="146" t="n"/>
      <c r="BM153" s="146" t="n"/>
      <c r="BN153" s="146" t="n"/>
      <c r="BO153" s="146" t="n"/>
      <c r="BP153" s="146" t="n"/>
      <c r="BQ153" s="146" t="n"/>
      <c r="BR153" s="146" t="n"/>
      <c r="BS153" s="146" t="n"/>
      <c r="BT153" s="218" t="n"/>
      <c r="BU153" s="218" t="n"/>
      <c r="BV153" s="218" t="n"/>
      <c r="BW153" s="218" t="n"/>
      <c r="BX153" s="218" t="n"/>
      <c r="BY153" s="218" t="n"/>
      <c r="BZ153" s="218" t="n"/>
      <c r="CA153" s="218" t="n"/>
      <c r="CB153" s="218" t="n"/>
      <c r="CC153" s="218" t="n"/>
      <c r="CD153" s="218" t="n"/>
      <c r="CE153" s="218" t="n"/>
      <c r="CF153" s="218" t="n"/>
      <c r="CG153" s="218" t="n"/>
      <c r="CH153" s="218" t="n"/>
      <c r="CI153" s="218" t="n"/>
      <c r="CJ153" s="218" t="n"/>
      <c r="CK153" s="218" t="n"/>
      <c r="CL153" s="218" t="n"/>
      <c r="CM153" s="218" t="n"/>
      <c r="CN153" s="218" t="n"/>
      <c r="CO153" s="218" t="n"/>
      <c r="CP153" s="218" t="n"/>
      <c r="CQ153" s="218" t="n"/>
      <c r="CR153" s="218" t="n"/>
      <c r="CS153" s="218" t="n"/>
      <c r="CT153" s="218" t="n"/>
      <c r="CU153" s="146" t="n">
        <v>4777</v>
      </c>
      <c r="CV153" s="146" t="inlineStr">
        <is>
          <t>RENDON DUEÑAS LIZETH AZUCENA</t>
        </is>
      </c>
      <c r="CW153" s="218" t="n"/>
      <c r="CX153" s="218" t="n"/>
      <c r="CY153" s="218" t="n"/>
      <c r="CZ153" s="218" t="n"/>
      <c r="DA153" s="218" t="n"/>
      <c r="DB153" s="218" t="n"/>
      <c r="DC153" s="218" t="n"/>
    </row>
    <row r="154">
      <c r="A154" s="218" t="n"/>
      <c r="B154" s="218" t="n"/>
      <c r="C154" s="218" t="n"/>
      <c r="D154" s="218" t="n"/>
      <c r="E154" s="218" t="n"/>
      <c r="F154" s="218" t="n"/>
      <c r="G154" s="218" t="n"/>
      <c r="H154" s="218" t="n"/>
      <c r="I154" s="218" t="n"/>
      <c r="J154" s="218" t="n"/>
      <c r="K154" s="218" t="n"/>
      <c r="L154" s="218" t="n"/>
      <c r="M154" s="218" t="n"/>
      <c r="N154" s="218" t="n"/>
      <c r="O154" s="218" t="n"/>
      <c r="P154" s="218" t="n"/>
      <c r="Q154" s="146" t="inlineStr">
        <is>
          <t>BANCRECER</t>
        </is>
      </c>
      <c r="R154" s="146" t="n"/>
      <c r="S154" s="146" t="n"/>
      <c r="T154" s="146" t="n"/>
      <c r="U154" s="146" t="n"/>
      <c r="V154" s="146" t="n"/>
      <c r="W154" s="146" t="n"/>
      <c r="X154" s="146" t="n"/>
      <c r="Y154" s="146" t="n"/>
      <c r="Z154" s="146" t="n"/>
      <c r="AA154" s="146" t="n"/>
      <c r="AB154" s="146" t="n"/>
      <c r="AC154" s="146" t="n"/>
      <c r="AD154" s="146" t="n"/>
      <c r="AE154" s="146" t="n"/>
      <c r="AF154" s="146" t="n"/>
      <c r="AG154" s="146" t="n"/>
      <c r="AH154" s="146" t="n"/>
      <c r="AI154" s="146" t="n"/>
      <c r="AJ154" s="146" t="n"/>
      <c r="AK154" s="146" t="n"/>
      <c r="AL154" s="146" t="n"/>
      <c r="AM154" s="146" t="n"/>
      <c r="AN154" s="146" t="n"/>
      <c r="AO154" s="146" t="n"/>
      <c r="AP154" s="146" t="n"/>
      <c r="AQ154" s="218" t="n"/>
      <c r="AR154" s="218" t="n"/>
      <c r="BJ154" s="146" t="n">
        <v>60</v>
      </c>
      <c r="BK154" s="146" t="inlineStr">
        <is>
          <t>PRODUCCION DE AVES DE CORRAL EN INCUBADORA</t>
        </is>
      </c>
      <c r="BL154" s="151" t="n"/>
      <c r="BM154" s="151" t="n"/>
      <c r="BN154" s="151" t="n"/>
      <c r="BO154" s="151" t="n"/>
      <c r="BP154" s="151" t="n"/>
      <c r="BQ154" s="151" t="n"/>
      <c r="BR154" s="151" t="n"/>
      <c r="BS154" s="151" t="n"/>
      <c r="BT154" s="146" t="n"/>
      <c r="BU154" s="218" t="n"/>
      <c r="BV154" s="218" t="n"/>
      <c r="BW154" s="218" t="n"/>
      <c r="BX154" s="218" t="n"/>
      <c r="BY154" s="218" t="n"/>
      <c r="BZ154" s="218" t="n"/>
      <c r="CA154" s="218" t="n"/>
      <c r="CB154" s="218" t="n"/>
      <c r="CC154" s="218" t="n"/>
      <c r="CD154" s="218" t="n"/>
      <c r="CE154" s="218" t="n"/>
      <c r="CF154" s="218" t="n"/>
      <c r="CG154" s="218" t="n"/>
      <c r="CH154" s="218" t="n"/>
      <c r="CI154" s="218" t="n"/>
      <c r="CJ154" s="218" t="n"/>
      <c r="CK154" s="218" t="n"/>
      <c r="CL154" s="218" t="n"/>
      <c r="CM154" s="218" t="n"/>
      <c r="CN154" s="218" t="n"/>
      <c r="CO154" s="218" t="n"/>
      <c r="CP154" s="218" t="n"/>
      <c r="CQ154" s="218" t="n"/>
      <c r="CR154" s="218" t="n"/>
      <c r="CS154" s="218" t="n"/>
      <c r="CT154" s="218" t="n"/>
      <c r="CU154" s="146" t="n">
        <v>4966</v>
      </c>
      <c r="CV154" s="146" t="inlineStr">
        <is>
          <t>GASPAR ZAMBRANO HECTOR MANUEL</t>
        </is>
      </c>
      <c r="CW154" s="218" t="n"/>
      <c r="CX154" s="218" t="n"/>
      <c r="CY154" s="218" t="n"/>
      <c r="CZ154" s="218" t="n"/>
      <c r="DA154" s="218" t="n"/>
      <c r="DB154" s="218" t="n"/>
      <c r="DC154" s="218" t="n"/>
    </row>
    <row r="155">
      <c r="A155" s="218" t="n"/>
      <c r="B155" s="218" t="n"/>
      <c r="C155" s="218" t="n"/>
      <c r="D155" s="218" t="n"/>
      <c r="E155" s="218" t="n"/>
      <c r="F155" s="218" t="n"/>
      <c r="G155" s="218" t="n"/>
      <c r="H155" s="218" t="n"/>
      <c r="I155" s="218" t="n"/>
      <c r="J155" s="218" t="n"/>
      <c r="K155" s="218" t="n"/>
      <c r="L155" s="218" t="n"/>
      <c r="M155" s="218" t="n"/>
      <c r="N155" s="218" t="n"/>
      <c r="O155" s="218" t="n"/>
      <c r="P155" s="218" t="n"/>
      <c r="Q155" s="146" t="inlineStr">
        <is>
          <t>BANREGIO</t>
        </is>
      </c>
      <c r="R155" s="146" t="n"/>
      <c r="S155" s="146" t="n"/>
      <c r="T155" s="146" t="n"/>
      <c r="U155" s="146" t="n"/>
      <c r="V155" s="146" t="n"/>
      <c r="W155" s="146" t="n"/>
      <c r="X155" s="146" t="n"/>
      <c r="Y155" s="146" t="n"/>
      <c r="Z155" s="146" t="n"/>
      <c r="AA155" s="146" t="n"/>
      <c r="AB155" s="146" t="n"/>
      <c r="AC155" s="146" t="n"/>
      <c r="AD155" s="146" t="n"/>
      <c r="AE155" s="146" t="n"/>
      <c r="AF155" s="146" t="n"/>
      <c r="AG155" s="146" t="n"/>
      <c r="AH155" s="146" t="n"/>
      <c r="AI155" s="146" t="n"/>
      <c r="AJ155" s="146" t="n"/>
      <c r="AK155" s="146" t="n"/>
      <c r="AL155" s="146" t="n"/>
      <c r="AM155" s="146" t="n"/>
      <c r="AN155" s="146" t="n"/>
      <c r="AO155" s="146" t="n"/>
      <c r="AP155" s="146" t="n"/>
      <c r="AQ155" s="218" t="n"/>
      <c r="AR155" s="218" t="n"/>
      <c r="AS155" s="218" t="n"/>
      <c r="AT155" s="218" t="n"/>
      <c r="AU155" s="218" t="n"/>
      <c r="AV155" s="218" t="n"/>
      <c r="AW155" s="218" t="n"/>
      <c r="AX155" s="218" t="n"/>
      <c r="AY155" s="218" t="n"/>
      <c r="AZ155" s="218" t="n"/>
      <c r="BA155" s="218" t="n"/>
      <c r="BB155" s="218" t="n"/>
      <c r="BC155" s="218" t="n"/>
      <c r="BD155" s="218" t="n"/>
      <c r="BE155" s="218" t="n"/>
      <c r="BF155" s="218" t="n"/>
      <c r="BG155" s="218" t="n"/>
      <c r="BH155" s="218" t="n"/>
      <c r="BI155" s="218" t="n"/>
      <c r="BJ155" s="146" t="n">
        <v>61</v>
      </c>
      <c r="BK155" s="146" t="inlineStr">
        <is>
          <t>CRIA Y ENGORDA DE OTRAS AVES PARA VENTA DE SU CARNE Y PRODUCCION DE HUEVO</t>
        </is>
      </c>
      <c r="BL155" s="146" t="n"/>
      <c r="BM155" s="146" t="n"/>
      <c r="BN155" s="146" t="n"/>
      <c r="BO155" s="146" t="n"/>
      <c r="BP155" s="146" t="n"/>
      <c r="BQ155" s="146" t="n"/>
      <c r="BR155" s="146" t="n"/>
      <c r="BS155" s="146" t="n"/>
      <c r="BT155" s="146" t="n"/>
      <c r="BU155" s="218" t="n"/>
      <c r="BV155" s="218" t="n"/>
      <c r="BW155" s="218" t="n"/>
      <c r="BX155" s="218" t="n"/>
      <c r="BY155" s="218" t="n"/>
      <c r="BZ155" s="218" t="n"/>
      <c r="CA155" s="218" t="n"/>
      <c r="CB155" s="218" t="n"/>
      <c r="CC155" s="218" t="n"/>
      <c r="CD155" s="218" t="n"/>
      <c r="CE155" s="218" t="n"/>
      <c r="CF155" s="218" t="n"/>
      <c r="CG155" s="218" t="n"/>
      <c r="CH155" s="218" t="n"/>
      <c r="CI155" s="218" t="n"/>
      <c r="CJ155" s="218" t="n"/>
      <c r="CK155" s="218" t="n"/>
      <c r="CL155" s="218" t="n"/>
      <c r="CM155" s="218" t="n"/>
      <c r="CN155" s="218" t="n"/>
      <c r="CO155" s="218" t="n"/>
      <c r="CP155" s="218" t="n"/>
      <c r="CQ155" s="218" t="n"/>
      <c r="CR155" s="218" t="n"/>
      <c r="CS155" s="218" t="n"/>
      <c r="CT155" s="218" t="n"/>
      <c r="CU155" s="146" t="n">
        <v>5406</v>
      </c>
      <c r="CV155" s="146" t="inlineStr">
        <is>
          <t>LOPEZ ALVAREZ ARACELI</t>
        </is>
      </c>
      <c r="CW155" s="218" t="n"/>
      <c r="CX155" s="218" t="n"/>
      <c r="CY155" s="218" t="n"/>
      <c r="CZ155" s="218" t="n"/>
      <c r="DA155" s="218" t="n"/>
      <c r="DB155" s="218" t="n"/>
      <c r="DC155" s="218" t="n"/>
    </row>
    <row r="156">
      <c r="A156" s="218" t="n"/>
      <c r="B156" s="218" t="n"/>
      <c r="C156" s="218" t="n"/>
      <c r="D156" s="218" t="n"/>
      <c r="E156" s="218" t="n"/>
      <c r="F156" s="218" t="n"/>
      <c r="G156" s="218" t="n"/>
      <c r="H156" s="218" t="n"/>
      <c r="I156" s="218" t="n"/>
      <c r="J156" s="218" t="n"/>
      <c r="K156" s="218" t="n"/>
      <c r="L156" s="218" t="n"/>
      <c r="M156" s="218" t="n"/>
      <c r="N156" s="218" t="n"/>
      <c r="O156" s="218" t="n"/>
      <c r="P156" s="218" t="n"/>
      <c r="Q156" s="146" t="inlineStr">
        <is>
          <t>BANCA AFIRME, S.A.</t>
        </is>
      </c>
      <c r="R156" s="146" t="n"/>
      <c r="S156" s="146" t="n"/>
      <c r="T156" s="146" t="n"/>
      <c r="U156" s="146" t="n"/>
      <c r="V156" s="146" t="n"/>
      <c r="W156" s="146" t="n"/>
      <c r="X156" s="146" t="n"/>
      <c r="Y156" s="146" t="n"/>
      <c r="Z156" s="146" t="n"/>
      <c r="AA156" s="146" t="n"/>
      <c r="AB156" s="146" t="n"/>
      <c r="AC156" s="146" t="n"/>
      <c r="AD156" s="146" t="n"/>
      <c r="AE156" s="146" t="n"/>
      <c r="AF156" s="146" t="n"/>
      <c r="AG156" s="146" t="n"/>
      <c r="AH156" s="146" t="n"/>
      <c r="AI156" s="146" t="n"/>
      <c r="AJ156" s="146" t="n"/>
      <c r="AK156" s="146" t="n"/>
      <c r="AL156" s="146" t="n"/>
      <c r="AM156" s="146" t="n"/>
      <c r="AN156" s="146" t="n"/>
      <c r="AO156" s="146" t="n"/>
      <c r="AP156" s="146" t="n"/>
      <c r="AQ156" s="218" t="n"/>
      <c r="AR156" s="218" t="n"/>
      <c r="AS156" s="218" t="n"/>
      <c r="AT156" s="218" t="n"/>
      <c r="AU156" s="218" t="n"/>
      <c r="AV156" s="218" t="n"/>
      <c r="AW156" s="218" t="n"/>
      <c r="AX156" s="218" t="n"/>
      <c r="AY156" s="218" t="n"/>
      <c r="AZ156" s="218" t="n"/>
      <c r="BA156" s="218" t="n"/>
      <c r="BB156" s="218" t="n"/>
      <c r="BC156" s="218" t="n"/>
      <c r="BD156" s="218" t="n"/>
      <c r="BE156" s="218" t="n"/>
      <c r="BF156" s="218" t="n"/>
      <c r="BG156" s="218" t="n"/>
      <c r="BH156" s="218" t="n"/>
      <c r="BI156" s="218" t="n"/>
      <c r="BJ156" s="146" t="n">
        <v>62</v>
      </c>
      <c r="BK156" s="146" t="inlineStr">
        <is>
          <t>CRIA Y ENGORDA DE BORREGOS</t>
        </is>
      </c>
      <c r="BL156" s="146" t="n"/>
      <c r="BM156" s="146" t="n"/>
      <c r="BN156" s="146" t="n"/>
      <c r="BO156" s="146" t="n"/>
      <c r="BP156" s="146" t="n"/>
      <c r="BQ156" s="146" t="n"/>
      <c r="BR156" s="146" t="n"/>
      <c r="BS156" s="146" t="n"/>
      <c r="BT156" s="146" t="n"/>
      <c r="BU156" s="218" t="n"/>
      <c r="BV156" s="218" t="n"/>
      <c r="BW156" s="218" t="n"/>
      <c r="BX156" s="218" t="n"/>
      <c r="BY156" s="218" t="n"/>
      <c r="BZ156" s="218" t="n"/>
      <c r="CA156" s="218" t="n"/>
      <c r="CB156" s="218" t="n"/>
      <c r="CC156" s="218" t="n"/>
      <c r="CD156" s="218" t="n"/>
      <c r="CE156" s="218" t="n"/>
      <c r="CF156" s="218" t="n"/>
      <c r="CG156" s="218" t="n"/>
      <c r="CH156" s="218" t="n"/>
      <c r="CI156" s="218" t="n"/>
      <c r="CJ156" s="218" t="n"/>
      <c r="CK156" s="218" t="n"/>
      <c r="CL156" s="218" t="n"/>
      <c r="CM156" s="218" t="n"/>
      <c r="CN156" s="218" t="n"/>
      <c r="CO156" s="218" t="n"/>
      <c r="CP156" s="218" t="n"/>
      <c r="CQ156" s="218" t="n"/>
      <c r="CR156" s="218" t="n"/>
      <c r="CS156" s="218" t="n"/>
      <c r="CT156" s="218" t="n"/>
      <c r="CU156" s="146" t="n">
        <v>6001</v>
      </c>
      <c r="CV156" s="146" t="inlineStr">
        <is>
          <t>SOLIS MEDINA ANA VIVIANA</t>
        </is>
      </c>
      <c r="CW156" s="218" t="n"/>
      <c r="CX156" s="218" t="n"/>
      <c r="CY156" s="218" t="n"/>
      <c r="CZ156" s="218" t="n"/>
      <c r="DA156" s="218" t="n"/>
      <c r="DB156" s="218" t="n"/>
      <c r="DC156" s="218" t="n"/>
    </row>
    <row r="157">
      <c r="A157" s="218" t="n"/>
      <c r="B157" s="218" t="n"/>
      <c r="C157" s="218" t="n"/>
      <c r="D157" s="218" t="n"/>
      <c r="E157" s="218" t="n"/>
      <c r="F157" s="218" t="n"/>
      <c r="G157" s="218" t="n"/>
      <c r="H157" s="218" t="n"/>
      <c r="I157" s="218" t="n"/>
      <c r="J157" s="218" t="n"/>
      <c r="K157" s="218" t="n"/>
      <c r="L157" s="218" t="n"/>
      <c r="M157" s="218" t="n"/>
      <c r="N157" s="218" t="n"/>
      <c r="O157" s="218" t="n"/>
      <c r="P157" s="218" t="n"/>
      <c r="Q157" s="146" t="inlineStr">
        <is>
          <t>AGENCIAS DEL GOBIERNO DEL ESTADO / RECAUDADORA</t>
        </is>
      </c>
      <c r="R157" s="146" t="n"/>
      <c r="S157" s="146" t="n"/>
      <c r="T157" s="146" t="n"/>
      <c r="U157" s="146" t="n"/>
      <c r="V157" s="146" t="n"/>
      <c r="W157" s="146" t="n"/>
      <c r="X157" s="146" t="n"/>
      <c r="Y157" s="146" t="n"/>
      <c r="Z157" s="146" t="n"/>
      <c r="AA157" s="146" t="n"/>
      <c r="AB157" s="146" t="n"/>
      <c r="AC157" s="146" t="n"/>
      <c r="AD157" s="146" t="n"/>
      <c r="AE157" s="146" t="n"/>
      <c r="AF157" s="146" t="n"/>
      <c r="AG157" s="146" t="n"/>
      <c r="AH157" s="146" t="n"/>
      <c r="AI157" s="146" t="n"/>
      <c r="AJ157" s="146" t="n"/>
      <c r="AK157" s="146" t="n"/>
      <c r="AL157" s="146" t="n"/>
      <c r="AM157" s="146" t="n"/>
      <c r="AN157" s="146" t="n"/>
      <c r="AO157" s="146" t="n"/>
      <c r="AP157" s="146" t="n"/>
      <c r="AQ157" s="218" t="n"/>
      <c r="AR157" s="218" t="n"/>
      <c r="AS157" s="218" t="n"/>
      <c r="AT157" s="218" t="n"/>
      <c r="AU157" s="218" t="n"/>
      <c r="AV157" s="218" t="n"/>
      <c r="AW157" s="218" t="n"/>
      <c r="AX157" s="218" t="n"/>
      <c r="AY157" s="218" t="n"/>
      <c r="AZ157" s="218" t="n"/>
      <c r="BA157" s="218" t="n"/>
      <c r="BB157" s="218" t="n"/>
      <c r="BC157" s="218" t="n"/>
      <c r="BD157" s="218" t="n"/>
      <c r="BE157" s="218" t="n"/>
      <c r="BF157" s="218" t="n"/>
      <c r="BG157" s="218" t="n"/>
      <c r="BH157" s="218" t="n"/>
      <c r="BI157" s="218" t="n"/>
      <c r="BJ157" s="146" t="n">
        <v>63</v>
      </c>
      <c r="BK157" s="146" t="inlineStr">
        <is>
          <t>CRIA Y ENGORDA DE BORREGOS EN FORMA CONJUNTA CON CABRAS O CHIVOS</t>
        </is>
      </c>
      <c r="BL157" s="146" t="n"/>
      <c r="BM157" s="146" t="n"/>
      <c r="BN157" s="146" t="n"/>
      <c r="BO157" s="146" t="n"/>
      <c r="BP157" s="146" t="n"/>
      <c r="BQ157" s="146" t="n"/>
      <c r="BR157" s="146" t="n"/>
      <c r="BS157" s="146" t="n"/>
      <c r="BT157" s="146" t="n"/>
      <c r="BU157" s="218" t="n"/>
      <c r="BV157" s="218" t="n"/>
      <c r="BW157" s="218" t="n"/>
      <c r="BX157" s="218" t="n"/>
      <c r="BY157" s="218" t="n"/>
      <c r="BZ157" s="218" t="n"/>
      <c r="CA157" s="218" t="n"/>
      <c r="CB157" s="218" t="n"/>
      <c r="CC157" s="218" t="n"/>
      <c r="CD157" s="218" t="n"/>
      <c r="CE157" s="218" t="n"/>
      <c r="CF157" s="218" t="n"/>
      <c r="CG157" s="218" t="n"/>
      <c r="CH157" s="218" t="n"/>
      <c r="CI157" s="218" t="n"/>
      <c r="CJ157" s="218" t="n"/>
      <c r="CK157" s="218" t="n"/>
      <c r="CL157" s="218" t="n"/>
      <c r="CM157" s="218" t="n"/>
      <c r="CN157" s="218" t="n"/>
      <c r="CO157" s="218" t="n"/>
      <c r="CP157" s="218" t="n"/>
      <c r="CQ157" s="218" t="n"/>
      <c r="CR157" s="218" t="n"/>
      <c r="CS157" s="218" t="n"/>
      <c r="CT157" s="218" t="n"/>
      <c r="CU157" s="146" t="n">
        <v>6012</v>
      </c>
      <c r="CV157" s="146" t="inlineStr">
        <is>
          <t>PEREZ GOMEZ JAVIER</t>
        </is>
      </c>
      <c r="CW157" s="218" t="n"/>
      <c r="CX157" s="218" t="n"/>
      <c r="CY157" s="218" t="n"/>
      <c r="CZ157" s="218" t="n"/>
      <c r="DA157" s="218" t="n"/>
      <c r="DB157" s="218" t="n"/>
      <c r="DC157" s="218" t="n"/>
    </row>
    <row r="158">
      <c r="A158" s="218" t="n"/>
      <c r="B158" s="218" t="n"/>
      <c r="C158" s="218" t="n"/>
      <c r="D158" s="218" t="n"/>
      <c r="E158" s="218" t="n"/>
      <c r="F158" s="218" t="n"/>
      <c r="G158" s="218" t="n"/>
      <c r="H158" s="218" t="n"/>
      <c r="I158" s="218" t="n"/>
      <c r="J158" s="218" t="n"/>
      <c r="K158" s="218" t="n"/>
      <c r="L158" s="218" t="n"/>
      <c r="M158" s="218" t="n"/>
      <c r="N158" s="218" t="n"/>
      <c r="O158" s="218" t="n"/>
      <c r="P158" s="218" t="n"/>
      <c r="Q158" s="146" t="inlineStr">
        <is>
          <t>BANCO DEL BAJIO, S.A.</t>
        </is>
      </c>
      <c r="R158" s="146" t="n"/>
      <c r="S158" s="146" t="n"/>
      <c r="T158" s="146" t="n"/>
      <c r="U158" s="146" t="n"/>
      <c r="V158" s="146" t="n"/>
      <c r="W158" s="146" t="n"/>
      <c r="X158" s="146" t="n"/>
      <c r="Y158" s="146" t="n"/>
      <c r="Z158" s="146" t="n"/>
      <c r="AA158" s="146" t="n"/>
      <c r="AB158" s="146" t="n"/>
      <c r="AC158" s="146" t="n"/>
      <c r="AD158" s="146" t="n"/>
      <c r="AE158" s="146" t="n"/>
      <c r="AF158" s="146" t="n"/>
      <c r="AG158" s="146" t="n"/>
      <c r="AH158" s="146" t="n"/>
      <c r="AI158" s="146" t="n"/>
      <c r="AJ158" s="146" t="n"/>
      <c r="AK158" s="146" t="n"/>
      <c r="AL158" s="146" t="n"/>
      <c r="AM158" s="146" t="n"/>
      <c r="AN158" s="146" t="n"/>
      <c r="AO158" s="146" t="n"/>
      <c r="AP158" s="146" t="n"/>
      <c r="AQ158" s="218" t="n"/>
      <c r="AR158" s="218" t="n"/>
      <c r="AS158" s="218" t="n"/>
      <c r="AT158" s="218" t="n"/>
      <c r="AU158" s="218" t="n"/>
      <c r="AV158" s="218" t="n"/>
      <c r="AW158" s="218" t="n"/>
      <c r="AX158" s="218" t="n"/>
      <c r="AY158" s="218" t="n"/>
      <c r="AZ158" s="218" t="n"/>
      <c r="BA158" s="218" t="n"/>
      <c r="BB158" s="218" t="n"/>
      <c r="BC158" s="218" t="n"/>
      <c r="BD158" s="218" t="n"/>
      <c r="BE158" s="218" t="n"/>
      <c r="BF158" s="218" t="n"/>
      <c r="BG158" s="218" t="n"/>
      <c r="BH158" s="218" t="n"/>
      <c r="BI158" s="218" t="n"/>
      <c r="BJ158" s="146" t="n">
        <v>64</v>
      </c>
      <c r="BK158" s="146" t="inlineStr">
        <is>
          <t>CRIA Y ENGORDA DE CABRAS O CHIVOS</t>
        </is>
      </c>
      <c r="BL158" s="146" t="n"/>
      <c r="BM158" s="146" t="n"/>
      <c r="BN158" s="146" t="n"/>
      <c r="BO158" s="146" t="n"/>
      <c r="BP158" s="146" t="n"/>
      <c r="BQ158" s="146" t="n"/>
      <c r="BR158" s="146" t="n"/>
      <c r="BS158" s="146" t="n"/>
      <c r="BT158" s="146" t="n"/>
      <c r="BU158" s="218" t="n"/>
      <c r="BV158" s="218" t="n"/>
      <c r="BW158" s="218" t="n"/>
      <c r="BX158" s="218" t="n"/>
      <c r="BY158" s="218" t="n"/>
      <c r="BZ158" s="218" t="n"/>
      <c r="CA158" s="218" t="n"/>
      <c r="CB158" s="218" t="n"/>
      <c r="CC158" s="218" t="n"/>
      <c r="CD158" s="218" t="n"/>
      <c r="CE158" s="218" t="n"/>
      <c r="CF158" s="218" t="n"/>
      <c r="CG158" s="218" t="n"/>
      <c r="CH158" s="218" t="n"/>
      <c r="CI158" s="218" t="n"/>
      <c r="CJ158" s="218" t="n"/>
      <c r="CK158" s="218" t="n"/>
      <c r="CL158" s="218" t="n"/>
      <c r="CM158" s="218" t="n"/>
      <c r="CN158" s="218" t="n"/>
      <c r="CO158" s="218" t="n"/>
      <c r="CP158" s="218" t="n"/>
      <c r="CQ158" s="218" t="n"/>
      <c r="CR158" s="218" t="n"/>
      <c r="CS158" s="218" t="n"/>
      <c r="CT158" s="218" t="n"/>
      <c r="CU158" s="146" t="n">
        <v>6014</v>
      </c>
      <c r="CV158" s="146" t="inlineStr">
        <is>
          <t>FLORES RODRIGUEZ MARTHA</t>
        </is>
      </c>
      <c r="CW158" s="218" t="n"/>
      <c r="CX158" s="218" t="n"/>
      <c r="CY158" s="218" t="n"/>
      <c r="CZ158" s="218" t="n"/>
      <c r="DA158" s="218" t="n"/>
      <c r="DB158" s="218" t="n"/>
      <c r="DC158" s="218" t="n"/>
    </row>
    <row r="159">
      <c r="A159" s="218" t="n"/>
      <c r="B159" s="218" t="n"/>
      <c r="C159" s="218" t="n"/>
      <c r="D159" s="218" t="n"/>
      <c r="E159" s="218" t="n"/>
      <c r="F159" s="218" t="n"/>
      <c r="G159" s="218" t="n"/>
      <c r="H159" s="218" t="n"/>
      <c r="I159" s="218" t="n"/>
      <c r="J159" s="218" t="n"/>
      <c r="K159" s="218" t="n"/>
      <c r="L159" s="218" t="n"/>
      <c r="M159" s="218" t="n"/>
      <c r="N159" s="218" t="n"/>
      <c r="O159" s="218" t="n"/>
      <c r="P159" s="218" t="n"/>
      <c r="Q159" s="146" t="inlineStr">
        <is>
          <t>BANCO INBURSA</t>
        </is>
      </c>
      <c r="R159" s="146" t="n"/>
      <c r="S159" s="146" t="n"/>
      <c r="T159" s="146" t="n"/>
      <c r="U159" s="146" t="n"/>
      <c r="V159" s="146" t="n"/>
      <c r="W159" s="146" t="n"/>
      <c r="X159" s="146" t="n"/>
      <c r="Y159" s="146" t="n"/>
      <c r="Z159" s="146" t="n"/>
      <c r="AA159" s="146" t="n"/>
      <c r="AB159" s="146" t="n"/>
      <c r="AC159" s="146" t="n"/>
      <c r="AD159" s="146" t="n"/>
      <c r="AE159" s="146" t="n"/>
      <c r="AF159" s="146" t="n"/>
      <c r="AG159" s="146" t="n"/>
      <c r="AH159" s="146" t="n"/>
      <c r="AI159" s="146" t="n"/>
      <c r="AJ159" s="146" t="n"/>
      <c r="AK159" s="146" t="n"/>
      <c r="AL159" s="146" t="n"/>
      <c r="AM159" s="146" t="n"/>
      <c r="AN159" s="146" t="n"/>
      <c r="AO159" s="146" t="n"/>
      <c r="AP159" s="146" t="n"/>
      <c r="AQ159" s="218" t="n"/>
      <c r="AR159" s="218" t="n"/>
      <c r="AS159" s="218" t="n"/>
      <c r="AT159" s="218" t="n"/>
      <c r="AU159" s="218" t="n"/>
      <c r="AV159" s="218" t="n"/>
      <c r="AW159" s="218" t="n"/>
      <c r="AX159" s="218" t="n"/>
      <c r="AY159" s="218" t="n"/>
      <c r="AZ159" s="218" t="n"/>
      <c r="BA159" s="218" t="n"/>
      <c r="BB159" s="218" t="n"/>
      <c r="BC159" s="218" t="n"/>
      <c r="BD159" s="218" t="n"/>
      <c r="BE159" s="218" t="n"/>
      <c r="BF159" s="218" t="n"/>
      <c r="BG159" s="218" t="n"/>
      <c r="BH159" s="218" t="n"/>
      <c r="BI159" s="218" t="n"/>
      <c r="BJ159" s="146" t="n">
        <v>65</v>
      </c>
      <c r="BK159" s="146" t="inlineStr">
        <is>
          <t>CRIA, FOMENTO Y CUIDADO DE CAMARONES</t>
        </is>
      </c>
      <c r="BL159" s="146" t="n"/>
      <c r="BM159" s="146" t="n"/>
      <c r="BN159" s="146" t="n"/>
      <c r="BO159" s="146" t="n"/>
      <c r="BP159" s="146" t="n"/>
      <c r="BQ159" s="146" t="n"/>
      <c r="BR159" s="146" t="n"/>
      <c r="BS159" s="146" t="n"/>
      <c r="BT159" s="146" t="n"/>
      <c r="BU159" s="218" t="n"/>
      <c r="BV159" s="218" t="n"/>
      <c r="BW159" s="218" t="n"/>
      <c r="BX159" s="218" t="n"/>
      <c r="BY159" s="218" t="n"/>
      <c r="BZ159" s="218" t="n"/>
      <c r="CA159" s="218" t="n"/>
      <c r="CB159" s="218" t="n"/>
      <c r="CC159" s="218" t="n"/>
      <c r="CD159" s="218" t="n"/>
      <c r="CE159" s="218" t="n"/>
      <c r="CF159" s="218" t="n"/>
      <c r="CG159" s="218" t="n"/>
      <c r="CH159" s="218" t="n"/>
      <c r="CI159" s="218" t="n"/>
      <c r="CJ159" s="218" t="n"/>
      <c r="CK159" s="218" t="n"/>
      <c r="CL159" s="218" t="n"/>
      <c r="CM159" s="218" t="n"/>
      <c r="CN159" s="218" t="n"/>
      <c r="CO159" s="218" t="n"/>
      <c r="CP159" s="218" t="n"/>
      <c r="CQ159" s="218" t="n"/>
      <c r="CR159" s="218" t="n"/>
      <c r="CS159" s="218" t="n"/>
      <c r="CT159" s="218" t="n"/>
      <c r="CU159" s="146" t="n">
        <v>6022</v>
      </c>
      <c r="CV159" s="146" t="inlineStr">
        <is>
          <t>MIRANDA ESPONDA JONATHAN</t>
        </is>
      </c>
      <c r="CW159" s="218" t="n"/>
      <c r="CX159" s="218" t="n"/>
      <c r="CY159" s="218" t="n"/>
      <c r="CZ159" s="218" t="n"/>
      <c r="DA159" s="218" t="n"/>
      <c r="DB159" s="218" t="n"/>
      <c r="DC159" s="218" t="n"/>
    </row>
    <row r="160">
      <c r="A160" s="218" t="n"/>
      <c r="B160" s="218" t="n"/>
      <c r="C160" s="218" t="n"/>
      <c r="D160" s="218" t="n"/>
      <c r="E160" s="218" t="n"/>
      <c r="F160" s="218" t="n"/>
      <c r="G160" s="218" t="n"/>
      <c r="H160" s="218" t="n"/>
      <c r="I160" s="218" t="n"/>
      <c r="J160" s="218" t="n"/>
      <c r="K160" s="218" t="n"/>
      <c r="L160" s="218" t="n"/>
      <c r="M160" s="218" t="n"/>
      <c r="N160" s="218" t="n"/>
      <c r="O160" s="218" t="n"/>
      <c r="P160" s="218" t="n"/>
      <c r="Q160" s="146" t="inlineStr">
        <is>
          <t>HSBC</t>
        </is>
      </c>
      <c r="R160" s="146" t="n"/>
      <c r="S160" s="146" t="n"/>
      <c r="T160" s="146" t="n"/>
      <c r="U160" s="146" t="n"/>
      <c r="V160" s="146" t="n"/>
      <c r="W160" s="146" t="n"/>
      <c r="X160" s="146" t="n"/>
      <c r="Y160" s="146" t="n"/>
      <c r="Z160" s="146" t="n"/>
      <c r="AA160" s="146" t="n"/>
      <c r="AB160" s="146" t="n"/>
      <c r="AC160" s="146" t="n"/>
      <c r="AD160" s="146" t="n"/>
      <c r="AE160" s="146" t="n"/>
      <c r="AF160" s="146" t="n"/>
      <c r="AG160" s="146" t="n"/>
      <c r="AH160" s="146" t="n"/>
      <c r="AI160" s="146" t="n"/>
      <c r="AJ160" s="146" t="n"/>
      <c r="AK160" s="146" t="n"/>
      <c r="AL160" s="146" t="n"/>
      <c r="AM160" s="146" t="n"/>
      <c r="AN160" s="146" t="n"/>
      <c r="AO160" s="146" t="n"/>
      <c r="AP160" s="146" t="n"/>
      <c r="AQ160" s="218" t="n"/>
      <c r="AR160" s="218" t="n"/>
      <c r="AS160" s="218" t="n"/>
      <c r="AT160" s="218" t="n"/>
      <c r="AU160" s="218" t="n"/>
      <c r="AV160" s="218" t="n"/>
      <c r="AW160" s="218" t="n"/>
      <c r="AX160" s="218" t="n"/>
      <c r="AY160" s="218" t="n"/>
      <c r="AZ160" s="218" t="n"/>
      <c r="BA160" s="218" t="n"/>
      <c r="BB160" s="218" t="n"/>
      <c r="BC160" s="218" t="n"/>
      <c r="BD160" s="218" t="n"/>
      <c r="BE160" s="218" t="n"/>
      <c r="BF160" s="218" t="n"/>
      <c r="BG160" s="218" t="n"/>
      <c r="BH160" s="218" t="n"/>
      <c r="BI160" s="218" t="n"/>
      <c r="BJ160" s="146" t="n">
        <v>66</v>
      </c>
      <c r="BK160" s="146" t="inlineStr">
        <is>
          <t>CRIA, CULTIVO, FOMENTO Y CUIDADO DE ANIMALES ACUATICOS, EXCEPTO CAMARONES</t>
        </is>
      </c>
      <c r="BL160" s="146" t="n"/>
      <c r="BM160" s="146" t="n"/>
      <c r="BN160" s="146" t="n"/>
      <c r="BO160" s="146" t="n"/>
      <c r="BP160" s="146" t="n"/>
      <c r="BQ160" s="146" t="n"/>
      <c r="BR160" s="146" t="n"/>
      <c r="BS160" s="146" t="n"/>
      <c r="BT160" s="146" t="n"/>
      <c r="BU160" s="218" t="n"/>
      <c r="BV160" s="218" t="n"/>
      <c r="BW160" s="218" t="n"/>
      <c r="BX160" s="218" t="n"/>
      <c r="BY160" s="218" t="n"/>
      <c r="BZ160" s="218" t="n"/>
      <c r="CA160" s="218" t="n"/>
      <c r="CB160" s="218" t="n"/>
      <c r="CC160" s="218" t="n"/>
      <c r="CD160" s="218" t="n"/>
      <c r="CE160" s="218" t="n"/>
      <c r="CF160" s="218" t="n"/>
      <c r="CG160" s="218" t="n"/>
      <c r="CH160" s="218" t="n"/>
      <c r="CI160" s="218" t="n"/>
      <c r="CJ160" s="218" t="n"/>
      <c r="CK160" s="218" t="n"/>
      <c r="CL160" s="218" t="n"/>
      <c r="CM160" s="218" t="n"/>
      <c r="CN160" s="218" t="n"/>
      <c r="CO160" s="218" t="n"/>
      <c r="CP160" s="218" t="n"/>
      <c r="CQ160" s="218" t="n"/>
      <c r="CR160" s="218" t="n"/>
      <c r="CS160" s="218" t="n"/>
      <c r="CT160" s="218" t="n"/>
      <c r="CU160" s="146" t="n">
        <v>6200</v>
      </c>
      <c r="CV160" s="146" t="inlineStr">
        <is>
          <t>SUAREZ ARCINIEGA ZORAIDA GUADALUPE</t>
        </is>
      </c>
      <c r="CW160" s="218" t="n"/>
      <c r="CX160" s="218" t="n"/>
      <c r="CY160" s="218" t="n"/>
      <c r="CZ160" s="218" t="n"/>
      <c r="DA160" s="218" t="n"/>
      <c r="DB160" s="218" t="n"/>
      <c r="DC160" s="218" t="n"/>
    </row>
    <row r="161">
      <c r="A161" s="218" t="n"/>
      <c r="B161" s="218" t="n"/>
      <c r="C161" s="218" t="n"/>
      <c r="D161" s="218" t="n"/>
      <c r="E161" s="218" t="n"/>
      <c r="F161" s="218" t="n"/>
      <c r="G161" s="218" t="n"/>
      <c r="H161" s="218" t="n"/>
      <c r="I161" s="218" t="n"/>
      <c r="J161" s="218" t="n"/>
      <c r="K161" s="218" t="n"/>
      <c r="L161" s="218" t="n"/>
      <c r="M161" s="218" t="n"/>
      <c r="N161" s="218" t="n"/>
      <c r="O161" s="218" t="n"/>
      <c r="P161" s="218" t="n"/>
      <c r="Q161" s="146" t="inlineStr">
        <is>
          <t>SANTANDER SERFIN</t>
        </is>
      </c>
      <c r="R161" s="146" t="n"/>
      <c r="S161" s="146" t="n"/>
      <c r="T161" s="146" t="n"/>
      <c r="U161" s="146" t="n"/>
      <c r="V161" s="146" t="n"/>
      <c r="W161" s="146" t="n"/>
      <c r="X161" s="146" t="n"/>
      <c r="Y161" s="146" t="n"/>
      <c r="Z161" s="146" t="n"/>
      <c r="AA161" s="146" t="n"/>
      <c r="AB161" s="146" t="n"/>
      <c r="AC161" s="146" t="n"/>
      <c r="AD161" s="146" t="n"/>
      <c r="AE161" s="146" t="n"/>
      <c r="AF161" s="146" t="n"/>
      <c r="AG161" s="146" t="n"/>
      <c r="AH161" s="146" t="n"/>
      <c r="AI161" s="146" t="n"/>
      <c r="AJ161" s="146" t="n"/>
      <c r="AK161" s="146" t="n"/>
      <c r="AL161" s="146" t="n"/>
      <c r="AM161" s="146" t="n"/>
      <c r="AN161" s="146" t="n"/>
      <c r="AO161" s="146" t="n"/>
      <c r="AP161" s="146" t="n"/>
      <c r="AQ161" s="218" t="n"/>
      <c r="AR161" s="218" t="n"/>
      <c r="AS161" s="218" t="n"/>
      <c r="AT161" s="218" t="n"/>
      <c r="AU161" s="218" t="n"/>
      <c r="AV161" s="218" t="n"/>
      <c r="AW161" s="218" t="n"/>
      <c r="AX161" s="218" t="n"/>
      <c r="AY161" s="218" t="n"/>
      <c r="AZ161" s="218" t="n"/>
      <c r="BA161" s="218" t="n"/>
      <c r="BB161" s="218" t="n"/>
      <c r="BC161" s="218" t="n"/>
      <c r="BD161" s="218" t="n"/>
      <c r="BE161" s="218" t="n"/>
      <c r="BF161" s="218" t="n"/>
      <c r="BG161" s="218" t="n"/>
      <c r="BH161" s="218" t="n"/>
      <c r="BI161" s="218" t="n"/>
      <c r="BJ161" s="146" t="n">
        <v>67</v>
      </c>
      <c r="BK161" s="146" t="inlineStr">
        <is>
          <t>EXPLOTACION, RECOLECCION Y VENTA DE MIEL DE ABEJA Y OTROS PRODUCTOS DERIVADOS</t>
        </is>
      </c>
      <c r="BL161" s="146" t="n"/>
      <c r="BM161" s="146" t="n"/>
      <c r="BN161" s="146" t="n"/>
      <c r="BO161" s="146" t="n"/>
      <c r="BP161" s="146" t="n"/>
      <c r="BQ161" s="146" t="n"/>
      <c r="BR161" s="146" t="n"/>
      <c r="BS161" s="146" t="n"/>
      <c r="BT161" s="146" t="n"/>
      <c r="BU161" s="218" t="n"/>
      <c r="BV161" s="218" t="n"/>
      <c r="BW161" s="218" t="n"/>
      <c r="BX161" s="218" t="n"/>
      <c r="BY161" s="218" t="n"/>
      <c r="BZ161" s="218" t="n"/>
      <c r="CA161" s="218" t="n"/>
      <c r="CB161" s="218" t="n"/>
      <c r="CC161" s="218" t="n"/>
      <c r="CD161" s="218" t="n"/>
      <c r="CE161" s="218" t="n"/>
      <c r="CF161" s="218" t="n"/>
      <c r="CG161" s="218" t="n"/>
      <c r="CH161" s="218" t="n"/>
      <c r="CI161" s="218" t="n"/>
      <c r="CJ161" s="218" t="n"/>
      <c r="CK161" s="218" t="n"/>
      <c r="CL161" s="218" t="n"/>
      <c r="CM161" s="218" t="n"/>
      <c r="CN161" s="218" t="n"/>
      <c r="CO161" s="218" t="n"/>
      <c r="CP161" s="218" t="n"/>
      <c r="CQ161" s="218" t="n"/>
      <c r="CR161" s="218" t="n"/>
      <c r="CS161" s="218" t="n"/>
      <c r="CT161" s="218" t="n"/>
      <c r="CU161" s="146" t="n">
        <v>6396</v>
      </c>
      <c r="CV161" s="146" t="inlineStr">
        <is>
          <t xml:space="preserve">ESTRADA GARIBAY MARISOL </t>
        </is>
      </c>
      <c r="CW161" s="218" t="n"/>
      <c r="CX161" s="218" t="n"/>
      <c r="CY161" s="218" t="n"/>
      <c r="CZ161" s="218" t="n"/>
      <c r="DA161" s="218" t="n"/>
      <c r="DB161" s="218" t="n"/>
      <c r="DC161" s="218" t="n"/>
    </row>
    <row r="162">
      <c r="A162" s="218" t="n"/>
      <c r="B162" s="218" t="n"/>
      <c r="C162" s="218" t="n"/>
      <c r="D162" s="218" t="n"/>
      <c r="E162" s="218" t="n"/>
      <c r="F162" s="218" t="n"/>
      <c r="G162" s="218" t="n"/>
      <c r="H162" s="218" t="n"/>
      <c r="I162" s="218" t="n"/>
      <c r="J162" s="218" t="n"/>
      <c r="K162" s="218" t="n"/>
      <c r="L162" s="218" t="n"/>
      <c r="M162" s="218" t="n"/>
      <c r="N162" s="218" t="n"/>
      <c r="O162" s="218" t="n"/>
      <c r="P162" s="218" t="n"/>
      <c r="Q162" s="146" t="inlineStr">
        <is>
          <t>BBVA BANCOMER</t>
        </is>
      </c>
      <c r="R162" s="146" t="n"/>
      <c r="S162" s="146" t="n"/>
      <c r="T162" s="146" t="n"/>
      <c r="U162" s="146" t="n"/>
      <c r="V162" s="146" t="n"/>
      <c r="W162" s="146" t="n"/>
      <c r="X162" s="146" t="n"/>
      <c r="Y162" s="146" t="n"/>
      <c r="Z162" s="146" t="n"/>
      <c r="AA162" s="146" t="n"/>
      <c r="AB162" s="146" t="n"/>
      <c r="AC162" s="146" t="n"/>
      <c r="AD162" s="146" t="n"/>
      <c r="AE162" s="146" t="n"/>
      <c r="AF162" s="146" t="n"/>
      <c r="AG162" s="146" t="n"/>
      <c r="AH162" s="146" t="n"/>
      <c r="AI162" s="146" t="n"/>
      <c r="AJ162" s="146" t="n"/>
      <c r="AK162" s="146" t="n"/>
      <c r="AL162" s="146" t="n"/>
      <c r="AM162" s="146" t="n"/>
      <c r="AN162" s="146" t="n"/>
      <c r="AO162" s="146" t="n"/>
      <c r="AP162" s="146" t="n"/>
      <c r="AQ162" s="218" t="n"/>
      <c r="AR162" s="218" t="n"/>
      <c r="AS162" s="218" t="n"/>
      <c r="AT162" s="218" t="n"/>
      <c r="AU162" s="218" t="n"/>
      <c r="AV162" s="218" t="n"/>
      <c r="AW162" s="218" t="n"/>
      <c r="AX162" s="218" t="n"/>
      <c r="AY162" s="218" t="n"/>
      <c r="AZ162" s="218" t="n"/>
      <c r="BA162" s="218" t="n"/>
      <c r="BB162" s="218" t="n"/>
      <c r="BC162" s="218" t="n"/>
      <c r="BD162" s="218" t="n"/>
      <c r="BE162" s="218" t="n"/>
      <c r="BF162" s="218" t="n"/>
      <c r="BG162" s="218" t="n"/>
      <c r="BH162" s="218" t="n"/>
      <c r="BI162" s="218" t="n"/>
      <c r="BJ162" s="146" t="n">
        <v>68</v>
      </c>
      <c r="BK162" s="146" t="inlineStr">
        <is>
          <t>CRIA Y ENGORDA DE CABALLOS, MULAS, BURROS Y OTROS EQUIDOS</t>
        </is>
      </c>
      <c r="BL162" s="146" t="n"/>
      <c r="BM162" s="146" t="n"/>
      <c r="BN162" s="146" t="n"/>
      <c r="BO162" s="146" t="n"/>
      <c r="BP162" s="146" t="n"/>
      <c r="BQ162" s="146" t="n"/>
      <c r="BR162" s="146" t="n"/>
      <c r="BS162" s="146" t="n"/>
      <c r="BT162" s="146" t="n"/>
      <c r="BU162" s="218" t="n"/>
      <c r="BV162" s="218" t="n"/>
      <c r="BW162" s="218" t="n"/>
      <c r="BX162" s="218" t="n"/>
      <c r="BY162" s="218" t="n"/>
      <c r="BZ162" s="218" t="n"/>
      <c r="CA162" s="218" t="n"/>
      <c r="CB162" s="218" t="n"/>
      <c r="CC162" s="218" t="n"/>
      <c r="CD162" s="218" t="n"/>
      <c r="CE162" s="218" t="n"/>
      <c r="CF162" s="218" t="n"/>
      <c r="CG162" s="218" t="n"/>
      <c r="CH162" s="218" t="n"/>
      <c r="CI162" s="218" t="n"/>
      <c r="CJ162" s="218" t="n"/>
      <c r="CK162" s="218" t="n"/>
      <c r="CL162" s="218" t="n"/>
      <c r="CM162" s="218" t="n"/>
      <c r="CN162" s="218" t="n"/>
      <c r="CO162" s="218" t="n"/>
      <c r="CP162" s="218" t="n"/>
      <c r="CQ162" s="218" t="n"/>
      <c r="CR162" s="218" t="n"/>
      <c r="CS162" s="218" t="n"/>
      <c r="CT162" s="218" t="n"/>
      <c r="CU162" s="146" t="n">
        <v>6397</v>
      </c>
      <c r="CV162" s="146" t="inlineStr">
        <is>
          <t>CORTÉS LÓPEZ MARIA MELISA</t>
        </is>
      </c>
      <c r="CW162" s="218" t="n"/>
      <c r="CX162" s="218" t="n"/>
      <c r="CY162" s="218" t="n"/>
      <c r="CZ162" s="218" t="n"/>
      <c r="DA162" s="218" t="n"/>
      <c r="DB162" s="218" t="n"/>
      <c r="DC162" s="218" t="n"/>
    </row>
    <row r="163">
      <c r="A163" s="218" t="n"/>
      <c r="B163" s="218" t="n"/>
      <c r="C163" s="145" t="inlineStr">
        <is>
          <t>Concepto de Impuestos</t>
        </is>
      </c>
      <c r="D163" s="146" t="n"/>
      <c r="E163" s="146" t="n"/>
      <c r="F163" s="146" t="n"/>
      <c r="G163" s="146" t="n"/>
      <c r="H163" s="146" t="n"/>
      <c r="I163" s="146" t="n"/>
      <c r="J163" s="218" t="n"/>
      <c r="K163" s="218" t="n"/>
      <c r="L163" s="218" t="n"/>
      <c r="M163" s="218" t="n"/>
      <c r="N163" s="218" t="n"/>
      <c r="O163" s="218" t="n"/>
      <c r="P163" s="218" t="n"/>
      <c r="Q163" s="146" t="inlineStr">
        <is>
          <t>BANCO AZTECA</t>
        </is>
      </c>
      <c r="R163" s="146" t="n"/>
      <c r="S163" s="146" t="n"/>
      <c r="T163" s="146" t="n"/>
      <c r="U163" s="146" t="n"/>
      <c r="V163" s="146" t="n"/>
      <c r="W163" s="146" t="n"/>
      <c r="X163" s="146" t="n"/>
      <c r="Y163" s="146" t="n"/>
      <c r="Z163" s="146" t="n"/>
      <c r="AA163" s="146" t="n"/>
      <c r="AB163" s="146" t="n"/>
      <c r="AC163" s="146" t="n"/>
      <c r="AD163" s="146" t="n"/>
      <c r="AE163" s="146" t="n"/>
      <c r="AF163" s="146" t="n"/>
      <c r="AG163" s="146" t="n"/>
      <c r="AH163" s="146" t="n"/>
      <c r="AI163" s="146" t="n"/>
      <c r="AJ163" s="146" t="n"/>
      <c r="AK163" s="146" t="n"/>
      <c r="AL163" s="146" t="n"/>
      <c r="AM163" s="146" t="n"/>
      <c r="AN163" s="146" t="n"/>
      <c r="AO163" s="146" t="n"/>
      <c r="AP163" s="146" t="n"/>
      <c r="AQ163" s="218" t="n"/>
      <c r="AR163" s="218" t="n"/>
      <c r="AS163" s="218" t="n"/>
      <c r="AT163" s="218" t="n"/>
      <c r="AU163" s="218" t="n"/>
      <c r="AV163" s="218" t="n"/>
      <c r="AW163" s="218" t="n"/>
      <c r="AX163" s="218" t="n"/>
      <c r="AY163" s="218" t="n"/>
      <c r="AZ163" s="218" t="n"/>
      <c r="BA163" s="218" t="n"/>
      <c r="BB163" s="218" t="n"/>
      <c r="BC163" s="218" t="n"/>
      <c r="BD163" s="218" t="n"/>
      <c r="BE163" s="218" t="n"/>
      <c r="BF163" s="218" t="n"/>
      <c r="BG163" s="218" t="n"/>
      <c r="BH163" s="218" t="n"/>
      <c r="BI163" s="218" t="n"/>
      <c r="BJ163" s="146" t="n">
        <v>69</v>
      </c>
      <c r="BK163" s="146" t="inlineStr">
        <is>
          <t>CRIA Y EXPLOTACION DE ANIMALES DE PIEL CON PELAJE FINO</t>
        </is>
      </c>
      <c r="BL163" s="146" t="n"/>
      <c r="BM163" s="146" t="n"/>
      <c r="BN163" s="146" t="n"/>
      <c r="BO163" s="146" t="n"/>
      <c r="BP163" s="146" t="n"/>
      <c r="BQ163" s="146" t="n"/>
      <c r="BR163" s="146" t="n"/>
      <c r="BS163" s="146" t="n"/>
      <c r="BT163" s="146" t="n"/>
      <c r="BU163" s="218" t="n"/>
      <c r="BV163" s="218" t="n"/>
      <c r="BW163" s="218" t="n"/>
      <c r="BX163" s="218" t="n"/>
      <c r="BY163" s="218" t="n"/>
      <c r="BZ163" s="218" t="n"/>
      <c r="CA163" s="218" t="n"/>
      <c r="CB163" s="218" t="n"/>
      <c r="CC163" s="218" t="n"/>
      <c r="CD163" s="218" t="n"/>
      <c r="CE163" s="218" t="n"/>
      <c r="CF163" s="218" t="n"/>
      <c r="CG163" s="218" t="n"/>
      <c r="CH163" s="218" t="n"/>
      <c r="CI163" s="218" t="n"/>
      <c r="CJ163" s="218" t="n"/>
      <c r="CK163" s="218" t="n"/>
      <c r="CL163" s="218" t="n"/>
      <c r="CM163" s="218" t="n"/>
      <c r="CN163" s="218" t="n"/>
      <c r="CO163" s="218" t="n"/>
      <c r="CP163" s="218" t="n"/>
      <c r="CQ163" s="218" t="n"/>
      <c r="CR163" s="218" t="n"/>
      <c r="CS163" s="218" t="n"/>
      <c r="CT163" s="218" t="n"/>
      <c r="CU163" s="146" t="n">
        <v>7015</v>
      </c>
      <c r="CV163" s="146" t="inlineStr">
        <is>
          <t>PERALTA LOPEZ LIA KRISTAL</t>
        </is>
      </c>
      <c r="CW163" s="218" t="n"/>
      <c r="CX163" s="218" t="n"/>
      <c r="CY163" s="218" t="n"/>
      <c r="CZ163" s="218" t="n"/>
      <c r="DA163" s="218" t="n"/>
      <c r="DB163" s="218" t="n"/>
      <c r="DC163" s="218" t="n"/>
    </row>
    <row r="164">
      <c r="A164" s="218" t="n"/>
      <c r="B164" s="218" t="n"/>
      <c r="C164" s="146" t="inlineStr">
        <is>
          <t>ISR</t>
        </is>
      </c>
      <c r="D164" s="146" t="n"/>
      <c r="E164" s="146" t="n"/>
      <c r="F164" s="146" t="n"/>
      <c r="G164" s="146" t="n"/>
      <c r="H164" s="146" t="n"/>
      <c r="I164" s="146" t="n"/>
      <c r="J164" s="218" t="n"/>
      <c r="K164" s="218" t="n"/>
      <c r="L164" s="218" t="n"/>
      <c r="M164" s="218" t="n"/>
      <c r="N164" s="218" t="n"/>
      <c r="O164" s="218" t="n"/>
      <c r="P164" s="218" t="n"/>
      <c r="Q164" s="146" t="inlineStr">
        <is>
          <t>BANCA MIFEL</t>
        </is>
      </c>
      <c r="R164" s="146" t="n"/>
      <c r="S164" s="146" t="n"/>
      <c r="T164" s="146" t="n"/>
      <c r="U164" s="146" t="n"/>
      <c r="V164" s="146" t="n"/>
      <c r="W164" s="146" t="n"/>
      <c r="X164" s="146" t="n"/>
      <c r="Y164" s="146" t="n"/>
      <c r="Z164" s="146" t="n"/>
      <c r="AA164" s="146" t="n"/>
      <c r="AB164" s="146" t="n"/>
      <c r="AC164" s="146" t="n"/>
      <c r="AD164" s="146" t="n"/>
      <c r="AE164" s="146" t="n"/>
      <c r="AF164" s="146" t="n"/>
      <c r="AG164" s="146" t="n"/>
      <c r="AH164" s="146" t="n"/>
      <c r="AI164" s="146" t="n"/>
      <c r="AJ164" s="146" t="n"/>
      <c r="AK164" s="146" t="n"/>
      <c r="AL164" s="146" t="n"/>
      <c r="AM164" s="146" t="n"/>
      <c r="AN164" s="146" t="n"/>
      <c r="AO164" s="146" t="n"/>
      <c r="AP164" s="146" t="n"/>
      <c r="AQ164" s="218" t="n"/>
      <c r="AR164" s="218" t="n"/>
      <c r="AS164" s="218" t="n"/>
      <c r="AT164" s="218" t="n"/>
      <c r="AU164" s="218" t="n"/>
      <c r="AV164" s="218" t="n"/>
      <c r="AW164" s="218" t="n"/>
      <c r="AX164" s="218" t="n"/>
      <c r="AY164" s="218" t="n"/>
      <c r="AZ164" s="218" t="n"/>
      <c r="BA164" s="218" t="n"/>
      <c r="BB164" s="218" t="n"/>
      <c r="BC164" s="218" t="n"/>
      <c r="BD164" s="218" t="n"/>
      <c r="BE164" s="218" t="n"/>
      <c r="BF164" s="218" t="n"/>
      <c r="BG164" s="218" t="n"/>
      <c r="BH164" s="218" t="n"/>
      <c r="BI164" s="218" t="n"/>
      <c r="BJ164" s="146" t="n">
        <v>70</v>
      </c>
      <c r="BK164" s="146" t="inlineStr">
        <is>
          <t>CRIA Y EXPLOTACION DE OTROS ANIMALES</t>
        </is>
      </c>
      <c r="BL164" s="146" t="n"/>
      <c r="BM164" s="146" t="n"/>
      <c r="BN164" s="146" t="n"/>
      <c r="BO164" s="146" t="n"/>
      <c r="BP164" s="146" t="n"/>
      <c r="BQ164" s="146" t="n"/>
      <c r="BR164" s="146" t="n"/>
      <c r="BS164" s="146" t="n"/>
      <c r="BT164" s="146" t="n"/>
      <c r="BU164" s="218" t="n"/>
      <c r="BV164" s="218" t="n"/>
      <c r="BW164" s="218" t="n"/>
      <c r="BX164" s="218" t="n"/>
      <c r="BY164" s="218" t="n"/>
      <c r="BZ164" s="218" t="n"/>
      <c r="CA164" s="218" t="n"/>
      <c r="CB164" s="218" t="n"/>
      <c r="CC164" s="218" t="n"/>
      <c r="CD164" s="218" t="n"/>
      <c r="CE164" s="218" t="n"/>
      <c r="CF164" s="218" t="n"/>
      <c r="CG164" s="218" t="n"/>
      <c r="CH164" s="218" t="n"/>
      <c r="CI164" s="218" t="n"/>
      <c r="CJ164" s="218" t="n"/>
      <c r="CK164" s="218" t="n"/>
      <c r="CL164" s="218" t="n"/>
      <c r="CM164" s="218" t="n"/>
      <c r="CN164" s="218" t="n"/>
      <c r="CO164" s="218" t="n"/>
      <c r="CP164" s="218" t="n"/>
      <c r="CQ164" s="218" t="n"/>
      <c r="CR164" s="218" t="n"/>
      <c r="CS164" s="218" t="n"/>
      <c r="CT164" s="218" t="n"/>
      <c r="CU164" s="146" t="n">
        <v>7016</v>
      </c>
      <c r="CV164" s="146" t="inlineStr">
        <is>
          <t>GUTIERREZ GUTIERREZ HILDA GUADALUPE</t>
        </is>
      </c>
      <c r="CW164" s="218" t="n"/>
      <c r="CX164" s="218" t="n"/>
      <c r="CY164" s="218" t="n"/>
      <c r="CZ164" s="218" t="n"/>
      <c r="DA164" s="218" t="n"/>
      <c r="DB164" s="218" t="n"/>
      <c r="DC164" s="218" t="n"/>
    </row>
    <row r="165">
      <c r="A165" s="218" t="n"/>
      <c r="B165" s="218" t="n"/>
      <c r="C165" s="146" t="inlineStr">
        <is>
          <t>IVA</t>
        </is>
      </c>
      <c r="D165" s="146" t="n"/>
      <c r="E165" s="146" t="n"/>
      <c r="F165" s="146" t="n"/>
      <c r="G165" s="146" t="n"/>
      <c r="H165" s="146" t="n"/>
      <c r="I165" s="146" t="n"/>
      <c r="J165" s="218" t="n"/>
      <c r="K165" s="218" t="n"/>
      <c r="L165" s="218" t="n"/>
      <c r="M165" s="218" t="n"/>
      <c r="N165" s="218" t="n"/>
      <c r="O165" s="218" t="n"/>
      <c r="P165" s="218" t="n"/>
      <c r="Q165" s="146" t="inlineStr">
        <is>
          <t>AGENCIAS DEL GOBIERNO DEL ESTADO / PAGO EN BANCO</t>
        </is>
      </c>
      <c r="R165" s="146" t="n"/>
      <c r="S165" s="146" t="n"/>
      <c r="T165" s="146" t="n"/>
      <c r="U165" s="146" t="n"/>
      <c r="V165" s="146" t="n"/>
      <c r="W165" s="146" t="n"/>
      <c r="X165" s="146" t="n"/>
      <c r="Y165" s="146" t="n"/>
      <c r="Z165" s="146" t="n"/>
      <c r="AA165" s="146" t="n"/>
      <c r="AB165" s="146" t="n"/>
      <c r="AC165" s="146" t="n"/>
      <c r="AD165" s="146" t="n"/>
      <c r="AE165" s="146" t="n"/>
      <c r="AF165" s="146" t="n"/>
      <c r="AG165" s="146" t="n"/>
      <c r="AH165" s="146" t="n"/>
      <c r="AI165" s="146" t="n"/>
      <c r="AJ165" s="146" t="n"/>
      <c r="AK165" s="146" t="n"/>
      <c r="AL165" s="146" t="n"/>
      <c r="AM165" s="146" t="n"/>
      <c r="AN165" s="146" t="n"/>
      <c r="AO165" s="146" t="n"/>
      <c r="AP165" s="146" t="n"/>
      <c r="AQ165" s="218" t="n"/>
      <c r="AR165" s="218" t="n"/>
      <c r="AS165" s="218" t="n"/>
      <c r="AT165" s="218" t="n"/>
      <c r="AU165" s="218" t="n"/>
      <c r="AV165" s="218" t="n"/>
      <c r="AW165" s="218" t="n"/>
      <c r="AX165" s="218" t="n"/>
      <c r="AY165" s="218" t="n"/>
      <c r="AZ165" s="218" t="n"/>
      <c r="BA165" s="218" t="n"/>
      <c r="BB165" s="218" t="n"/>
      <c r="BC165" s="218" t="n"/>
      <c r="BD165" s="218" t="n"/>
      <c r="BE165" s="218" t="n"/>
      <c r="BF165" s="218" t="n"/>
      <c r="BG165" s="218" t="n"/>
      <c r="BH165" s="218" t="n"/>
      <c r="BI165" s="218" t="n"/>
      <c r="BJ165" s="146" t="n">
        <v>71</v>
      </c>
      <c r="BK165" s="146" t="inlineStr">
        <is>
          <t>ACTIVIDADES FORESTALES COMO PLANTACION, REFORESTACION Y CONSERVACION, CON EL PROPOSITO DE REALIZAR LA VENTA EN PIE DE ARBOLES MADERABLES</t>
        </is>
      </c>
      <c r="BL165" s="146" t="n"/>
      <c r="BM165" s="146" t="n"/>
      <c r="BN165" s="146" t="n"/>
      <c r="BO165" s="146" t="n"/>
      <c r="BP165" s="146" t="n"/>
      <c r="BQ165" s="146" t="n"/>
      <c r="BR165" s="146" t="n"/>
      <c r="BS165" s="146" t="n"/>
      <c r="BT165" s="146" t="n"/>
      <c r="BU165" s="218" t="n"/>
      <c r="BV165" s="218" t="n"/>
      <c r="BW165" s="218" t="n"/>
      <c r="BX165" s="218" t="n"/>
      <c r="BY165" s="218" t="n"/>
      <c r="BZ165" s="218" t="n"/>
      <c r="CA165" s="218" t="n"/>
      <c r="CB165" s="218" t="n"/>
      <c r="CC165" s="218" t="n"/>
      <c r="CD165" s="218" t="n"/>
      <c r="CE165" s="218" t="n"/>
      <c r="CF165" s="218" t="n"/>
      <c r="CG165" s="218" t="n"/>
      <c r="CH165" s="218" t="n"/>
      <c r="CI165" s="218" t="n"/>
      <c r="CJ165" s="218" t="n"/>
      <c r="CK165" s="218" t="n"/>
      <c r="CL165" s="218" t="n"/>
      <c r="CM165" s="218" t="n"/>
      <c r="CN165" s="218" t="n"/>
      <c r="CO165" s="218" t="n"/>
      <c r="CP165" s="218" t="n"/>
      <c r="CQ165" s="218" t="n"/>
      <c r="CR165" s="218" t="n"/>
      <c r="CS165" s="218" t="n"/>
      <c r="CT165" s="218" t="n"/>
      <c r="CU165" s="146" t="n">
        <v>7084</v>
      </c>
      <c r="CV165" s="146" t="inlineStr">
        <is>
          <t>BECERRA RUVALCABA MIRIAM</t>
        </is>
      </c>
      <c r="CW165" s="218" t="n"/>
      <c r="CX165" s="218" t="n"/>
      <c r="CY165" s="218" t="n"/>
      <c r="CZ165" s="218" t="n"/>
      <c r="DA165" s="218" t="n"/>
      <c r="DB165" s="218" t="n"/>
      <c r="DC165" s="218" t="n"/>
    </row>
    <row r="166">
      <c r="A166" s="218" t="n"/>
      <c r="B166" s="218" t="n"/>
      <c r="C166" s="146" t="inlineStr">
        <is>
          <t>IEPS</t>
        </is>
      </c>
      <c r="D166" s="146" t="n"/>
      <c r="E166" s="146" t="n"/>
      <c r="F166" s="146" t="n"/>
      <c r="G166" s="146" t="n"/>
      <c r="H166" s="146" t="n"/>
      <c r="I166" s="146" t="n"/>
      <c r="J166" s="218" t="n"/>
      <c r="K166" s="218" t="n"/>
      <c r="L166" s="218" t="n"/>
      <c r="M166" s="218" t="n"/>
      <c r="N166" s="218" t="n"/>
      <c r="O166" s="218" t="n"/>
      <c r="P166" s="218" t="n"/>
      <c r="Q166" s="146" t="inlineStr">
        <is>
          <t>BANSI, S.A.</t>
        </is>
      </c>
      <c r="R166" s="146" t="n"/>
      <c r="S166" s="146" t="n"/>
      <c r="T166" s="146" t="n"/>
      <c r="U166" s="146" t="n"/>
      <c r="V166" s="146" t="n"/>
      <c r="W166" s="146" t="n"/>
      <c r="X166" s="146" t="n"/>
      <c r="Y166" s="146" t="n"/>
      <c r="Z166" s="146" t="n"/>
      <c r="AA166" s="146" t="n"/>
      <c r="AB166" s="146" t="n"/>
      <c r="AC166" s="146" t="n"/>
      <c r="AD166" s="146" t="n"/>
      <c r="AE166" s="146" t="n"/>
      <c r="AF166" s="146" t="n"/>
      <c r="AG166" s="146" t="n"/>
      <c r="AH166" s="146" t="n"/>
      <c r="AI166" s="146" t="n"/>
      <c r="AJ166" s="146" t="n"/>
      <c r="AK166" s="146" t="n"/>
      <c r="AL166" s="146" t="n"/>
      <c r="AM166" s="146" t="n"/>
      <c r="AN166" s="146" t="n"/>
      <c r="AO166" s="146" t="n"/>
      <c r="AP166" s="146" t="n"/>
      <c r="AQ166" s="218" t="n"/>
      <c r="AR166" s="218" t="n"/>
      <c r="AS166" s="218" t="n"/>
      <c r="AT166" s="218" t="n"/>
      <c r="AU166" s="218" t="n"/>
      <c r="AV166" s="218" t="n"/>
      <c r="AW166" s="218" t="n"/>
      <c r="AX166" s="218" t="n"/>
      <c r="AY166" s="218" t="n"/>
      <c r="AZ166" s="218" t="n"/>
      <c r="BA166" s="218" t="n"/>
      <c r="BB166" s="218" t="n"/>
      <c r="BC166" s="218" t="n"/>
      <c r="BD166" s="218" t="n"/>
      <c r="BE166" s="218" t="n"/>
      <c r="BF166" s="218" t="n"/>
      <c r="BG166" s="218" t="n"/>
      <c r="BH166" s="218" t="n"/>
      <c r="BI166" s="218" t="n"/>
      <c r="BJ166" s="146" t="n">
        <v>72</v>
      </c>
      <c r="BK166" s="146" t="inlineStr">
        <is>
          <t>CULTIVO DE ESPECIES FORESTALES PARA TAREAS DE REFORESTACION</t>
        </is>
      </c>
      <c r="BL166" s="146" t="n"/>
      <c r="BM166" s="146" t="n"/>
      <c r="BN166" s="146" t="n"/>
      <c r="BO166" s="146" t="n"/>
      <c r="BP166" s="146" t="n"/>
      <c r="BQ166" s="146" t="n"/>
      <c r="BR166" s="146" t="n"/>
      <c r="BS166" s="146" t="n"/>
      <c r="BT166" s="146" t="n"/>
      <c r="BU166" s="218" t="n"/>
      <c r="BV166" s="218" t="n"/>
      <c r="BW166" s="218" t="n"/>
      <c r="BX166" s="218" t="n"/>
      <c r="BY166" s="218" t="n"/>
      <c r="BZ166" s="218" t="n"/>
      <c r="CA166" s="218" t="n"/>
      <c r="CB166" s="218" t="n"/>
      <c r="CC166" s="218" t="n"/>
      <c r="CD166" s="218" t="n"/>
      <c r="CE166" s="218" t="n"/>
      <c r="CF166" s="218" t="n"/>
      <c r="CG166" s="218" t="n"/>
      <c r="CH166" s="218" t="n"/>
      <c r="CI166" s="218" t="n"/>
      <c r="CJ166" s="218" t="n"/>
      <c r="CK166" s="218" t="n"/>
      <c r="CL166" s="218" t="n"/>
      <c r="CM166" s="218" t="n"/>
      <c r="CN166" s="218" t="n"/>
      <c r="CO166" s="218" t="n"/>
      <c r="CP166" s="218" t="n"/>
      <c r="CQ166" s="218" t="n"/>
      <c r="CR166" s="218" t="n"/>
      <c r="CS166" s="218" t="n"/>
      <c r="CT166" s="218" t="n"/>
      <c r="CU166" s="146" t="n">
        <v>7115</v>
      </c>
      <c r="CV166" s="146" t="inlineStr">
        <is>
          <t>MAGALLON MORENO DEYADIRA ELIZABETH</t>
        </is>
      </c>
      <c r="CW166" s="218" t="n"/>
      <c r="CX166" s="218" t="n"/>
      <c r="CY166" s="218" t="n"/>
      <c r="CZ166" s="218" t="n"/>
      <c r="DA166" s="218" t="n"/>
      <c r="DB166" s="218" t="n"/>
      <c r="DC166" s="218" t="n"/>
    </row>
    <row r="167">
      <c r="A167" s="218" t="n"/>
      <c r="B167" s="218" t="n"/>
      <c r="C167" s="146" t="inlineStr">
        <is>
          <t>IMPAC</t>
        </is>
      </c>
      <c r="D167" s="146" t="n"/>
      <c r="E167" s="146" t="n"/>
      <c r="F167" s="146" t="n"/>
      <c r="G167" s="146" t="n"/>
      <c r="H167" s="146" t="n"/>
      <c r="I167" s="146" t="n"/>
      <c r="J167" s="218" t="n"/>
      <c r="K167" s="218" t="n"/>
      <c r="L167" s="218" t="n"/>
      <c r="M167" s="218" t="n"/>
      <c r="N167" s="218" t="n"/>
      <c r="O167" s="218" t="n"/>
      <c r="Q167" s="146" t="inlineStr">
        <is>
          <t>BANCO MULTIVA</t>
        </is>
      </c>
      <c r="R167" s="146" t="n"/>
      <c r="S167" s="146" t="n"/>
      <c r="T167" s="146" t="n"/>
      <c r="U167" s="146" t="n"/>
      <c r="V167" s="146" t="n"/>
      <c r="W167" s="146" t="n"/>
      <c r="X167" s="146" t="n"/>
      <c r="Y167" s="146" t="n"/>
      <c r="Z167" s="146" t="n"/>
      <c r="AA167" s="146" t="n"/>
      <c r="AB167" s="146" t="n"/>
      <c r="AC167" s="146" t="n"/>
      <c r="AD167" s="146" t="n"/>
      <c r="AE167" s="146" t="n"/>
      <c r="AF167" s="146" t="n"/>
      <c r="AG167" s="146" t="n"/>
      <c r="AH167" s="146" t="n"/>
      <c r="AI167" s="146" t="n"/>
      <c r="AJ167" s="146" t="n"/>
      <c r="AK167" s="146" t="n"/>
      <c r="AL167" s="146" t="n"/>
      <c r="AM167" s="146" t="n"/>
      <c r="AN167" s="146" t="n"/>
      <c r="AO167" s="146" t="n"/>
      <c r="AP167" s="146" t="n"/>
      <c r="AS167" s="218" t="n"/>
      <c r="AT167" s="218" t="n"/>
      <c r="AU167" s="218" t="n"/>
      <c r="AV167" s="218" t="n"/>
      <c r="AW167" s="218" t="n"/>
      <c r="AX167" s="218" t="n"/>
      <c r="AY167" s="218" t="n"/>
      <c r="AZ167" s="218" t="n"/>
      <c r="BA167" s="218" t="n"/>
      <c r="BB167" s="218" t="n"/>
      <c r="BC167" s="218" t="n"/>
      <c r="BD167" s="218" t="n"/>
      <c r="BE167" s="218" t="n"/>
      <c r="BF167" s="218" t="n"/>
      <c r="BG167" s="218" t="n"/>
      <c r="BH167" s="218" t="n"/>
      <c r="BI167" s="218" t="n"/>
      <c r="BJ167" s="146" t="n">
        <v>73</v>
      </c>
      <c r="BK167" s="146" t="inlineStr">
        <is>
          <t>RECOLECCION DE PRODUCTOS FORESTALES COMO GOMAS, RESINAS, RIZOMAS, FIBRAS Y HENO. RECOLECCION DE FRUTAS SILVESTRES Y PLANTAS MEDICINALES Y RAICES</t>
        </is>
      </c>
      <c r="BL167" s="146" t="n"/>
      <c r="BM167" s="146" t="n"/>
      <c r="BN167" s="146" t="n"/>
      <c r="BO167" s="146" t="n"/>
      <c r="BP167" s="146" t="n"/>
      <c r="BQ167" s="146" t="n"/>
      <c r="BR167" s="146" t="n"/>
      <c r="BS167" s="146" t="n"/>
      <c r="BT167" s="146" t="n"/>
      <c r="BU167" s="218" t="n"/>
      <c r="BV167" s="218" t="n"/>
      <c r="BW167" s="218" t="n"/>
      <c r="BX167" s="218" t="n"/>
      <c r="BY167" s="218" t="n"/>
      <c r="BZ167" s="218" t="n"/>
      <c r="CA167" s="218" t="n"/>
      <c r="CB167" s="218" t="n"/>
      <c r="CC167" s="218" t="n"/>
      <c r="CD167" s="218" t="n"/>
      <c r="CE167" s="218" t="n"/>
      <c r="CF167" s="218" t="n"/>
      <c r="CG167" s="218" t="n"/>
      <c r="CH167" s="218" t="n"/>
      <c r="CI167" s="218" t="n"/>
      <c r="CJ167" s="218" t="n"/>
      <c r="CK167" s="218" t="n"/>
      <c r="CL167" s="218" t="n"/>
      <c r="CM167" s="218" t="n"/>
      <c r="CN167" s="218" t="n"/>
      <c r="CO167" s="218" t="n"/>
      <c r="CP167" s="218" t="n"/>
      <c r="CQ167" s="218" t="n"/>
      <c r="CR167" s="218" t="n"/>
      <c r="CS167" s="218" t="n"/>
      <c r="CT167" s="218" t="n"/>
      <c r="CU167" s="146" t="n">
        <v>7123</v>
      </c>
      <c r="CV167" s="146" t="inlineStr">
        <is>
          <t>GARCIA MORALES BERTHA ALICIA</t>
        </is>
      </c>
      <c r="CW167" s="218" t="n"/>
      <c r="CX167" s="218" t="n"/>
      <c r="CY167" s="218" t="n"/>
      <c r="CZ167" s="218" t="n"/>
      <c r="DA167" s="218" t="n"/>
      <c r="DB167" s="218" t="n"/>
      <c r="DC167" s="218" t="n"/>
    </row>
    <row r="168">
      <c r="A168" s="218" t="n"/>
      <c r="B168" s="218" t="n"/>
      <c r="C168" s="146" t="inlineStr">
        <is>
          <t>ISAN</t>
        </is>
      </c>
      <c r="D168" s="146" t="n"/>
      <c r="E168" s="146" t="n"/>
      <c r="F168" s="146" t="n"/>
      <c r="G168" s="146" t="n"/>
      <c r="H168" s="146" t="n"/>
      <c r="I168" s="146" t="n"/>
      <c r="J168" s="218" t="n"/>
      <c r="K168" s="218" t="n"/>
      <c r="L168" s="218" t="n"/>
      <c r="M168" s="218" t="n"/>
      <c r="N168" s="218" t="n"/>
      <c r="O168" s="218" t="n"/>
      <c r="Q168" s="146" t="inlineStr">
        <is>
          <t>BANCO INTERACCIONES, S.A. DE C.V.</t>
        </is>
      </c>
      <c r="R168" s="146" t="n"/>
      <c r="S168" s="146" t="n"/>
      <c r="T168" s="146" t="n"/>
      <c r="U168" s="146" t="n"/>
      <c r="V168" s="146" t="n"/>
      <c r="W168" s="146" t="n"/>
      <c r="X168" s="146" t="n"/>
      <c r="Y168" s="146" t="n"/>
      <c r="Z168" s="146" t="n"/>
      <c r="AA168" s="146" t="n"/>
      <c r="AB168" s="146" t="n"/>
      <c r="AC168" s="146" t="n"/>
      <c r="AD168" s="146" t="n"/>
      <c r="AE168" s="146" t="n"/>
      <c r="AF168" s="146" t="n"/>
      <c r="AG168" s="146" t="n"/>
      <c r="AH168" s="146" t="n"/>
      <c r="AI168" s="146" t="n"/>
      <c r="AJ168" s="146" t="n"/>
      <c r="AK168" s="146" t="n"/>
      <c r="AL168" s="146" t="n"/>
      <c r="AM168" s="146" t="n"/>
      <c r="AN168" s="146" t="n"/>
      <c r="AO168" s="146" t="n"/>
      <c r="AP168" s="146" t="n"/>
      <c r="AS168" s="218" t="n"/>
      <c r="AT168" s="218" t="n"/>
      <c r="AU168" s="218" t="n"/>
      <c r="AV168" s="218" t="n"/>
      <c r="AW168" s="218" t="n"/>
      <c r="AX168" s="218" t="n"/>
      <c r="AY168" s="218" t="n"/>
      <c r="AZ168" s="218" t="n"/>
      <c r="BA168" s="218" t="n"/>
      <c r="BB168" s="218" t="n"/>
      <c r="BC168" s="218" t="n"/>
      <c r="BD168" s="218" t="n"/>
      <c r="BE168" s="218" t="n"/>
      <c r="BF168" s="218" t="n"/>
      <c r="BG168" s="218" t="n"/>
      <c r="BH168" s="218" t="n"/>
      <c r="BI168" s="218" t="n"/>
      <c r="BJ168" s="146" t="n">
        <v>74</v>
      </c>
      <c r="BK168" s="146" t="inlineStr">
        <is>
          <t>TALA DE ARBOLES, DESBASTADO Y EL DESCORTEZADO DE TRONCOS Y LA PRODUCCION DE TROZAS, ASTILLAS Y RAJAS DE MADERA</t>
        </is>
      </c>
      <c r="BL168" s="146" t="n"/>
      <c r="BM168" s="146" t="n"/>
      <c r="BN168" s="146" t="n"/>
      <c r="BO168" s="146" t="n"/>
      <c r="BP168" s="146" t="n"/>
      <c r="BQ168" s="146" t="n"/>
      <c r="BR168" s="146" t="n"/>
      <c r="BS168" s="146" t="n"/>
      <c r="BT168" s="146" t="n"/>
      <c r="BU168" s="218" t="n"/>
      <c r="BV168" s="218" t="n"/>
      <c r="BW168" s="218" t="n"/>
      <c r="BX168" s="218" t="n"/>
      <c r="BY168" s="218" t="n"/>
      <c r="BZ168" s="218" t="n"/>
      <c r="CA168" s="218" t="n"/>
      <c r="CB168" s="218" t="n"/>
      <c r="CC168" s="218" t="n"/>
      <c r="CD168" s="218" t="n"/>
      <c r="CE168" s="218" t="n"/>
      <c r="CF168" s="218" t="n"/>
      <c r="CG168" s="218" t="n"/>
      <c r="CH168" s="218" t="n"/>
      <c r="CI168" s="218" t="n"/>
      <c r="CJ168" s="218" t="n"/>
      <c r="CK168" s="218" t="n"/>
      <c r="CL168" s="218" t="n"/>
      <c r="CM168" s="218" t="n"/>
      <c r="CN168" s="218" t="n"/>
      <c r="CO168" s="218" t="n"/>
      <c r="CP168" s="218" t="n"/>
      <c r="CQ168" s="218" t="n"/>
      <c r="CR168" s="218" t="n"/>
      <c r="CS168" s="218" t="n"/>
      <c r="CT168" s="218" t="n"/>
      <c r="CU168" s="146" t="n">
        <v>7142</v>
      </c>
      <c r="CV168" s="146" t="inlineStr">
        <is>
          <t>JUAREZ ACOSTA JOSEFINA</t>
        </is>
      </c>
      <c r="CW168" s="218" t="n"/>
      <c r="CX168" s="218" t="n"/>
      <c r="CY168" s="218" t="n"/>
      <c r="CZ168" s="218" t="n"/>
      <c r="DA168" s="218" t="n"/>
      <c r="DB168" s="218" t="n"/>
      <c r="DC168" s="218" t="n"/>
    </row>
    <row r="169">
      <c r="A169" s="218" t="n"/>
      <c r="B169" s="218" t="n"/>
      <c r="C169" s="146" t="inlineStr">
        <is>
          <t>IETU</t>
        </is>
      </c>
      <c r="D169" s="146" t="n"/>
      <c r="E169" s="146" t="n"/>
      <c r="F169" s="146" t="n"/>
      <c r="G169" s="146" t="n"/>
      <c r="H169" s="146" t="n"/>
      <c r="I169" s="146" t="n"/>
      <c r="J169" s="218" t="n"/>
      <c r="K169" s="218" t="n"/>
      <c r="L169" s="218" t="n"/>
      <c r="M169" s="218" t="n"/>
      <c r="N169" s="218" t="n"/>
      <c r="O169" s="218" t="n"/>
      <c r="Q169" s="146" t="inlineStr">
        <is>
          <t>CI BANCO, S.A. INSTITUCION DE BANCA MULTIPLE</t>
        </is>
      </c>
      <c r="R169" s="146" t="n"/>
      <c r="S169" s="146" t="n"/>
      <c r="T169" s="146" t="n"/>
      <c r="U169" s="146" t="n"/>
      <c r="V169" s="146" t="n"/>
      <c r="W169" s="146" t="n"/>
      <c r="X169" s="146" t="n"/>
      <c r="Y169" s="146" t="n"/>
      <c r="Z169" s="146" t="n"/>
      <c r="AA169" s="146" t="n"/>
      <c r="AB169" s="146" t="n"/>
      <c r="AC169" s="146" t="n"/>
      <c r="AD169" s="146" t="n"/>
      <c r="AE169" s="146" t="n"/>
      <c r="AF169" s="146" t="n"/>
      <c r="AG169" s="146" t="n"/>
      <c r="AH169" s="146" t="n"/>
      <c r="AI169" s="146" t="n"/>
      <c r="AJ169" s="146" t="n"/>
      <c r="AK169" s="146" t="n"/>
      <c r="AL169" s="146" t="n"/>
      <c r="AM169" s="146" t="n"/>
      <c r="AN169" s="146" t="n"/>
      <c r="AO169" s="146" t="n"/>
      <c r="AP169" s="146" t="n"/>
      <c r="AS169" s="218" t="n"/>
      <c r="AT169" s="218" t="n"/>
      <c r="AU169" s="218" t="n"/>
      <c r="AV169" s="218" t="n"/>
      <c r="AW169" s="218" t="n"/>
      <c r="AX169" s="218" t="n"/>
      <c r="AY169" s="218" t="n"/>
      <c r="AZ169" s="218" t="n"/>
      <c r="BA169" s="218" t="n"/>
      <c r="BB169" s="218" t="n"/>
      <c r="BC169" s="218" t="n"/>
      <c r="BD169" s="218" t="n"/>
      <c r="BE169" s="218" t="n"/>
      <c r="BF169" s="218" t="n"/>
      <c r="BG169" s="218" t="n"/>
      <c r="BH169" s="218" t="n"/>
      <c r="BI169" s="218" t="n"/>
      <c r="BJ169" s="146" t="n">
        <v>75</v>
      </c>
      <c r="BK169" s="146" t="inlineStr">
        <is>
          <t>PESCA DE CAMARON</t>
        </is>
      </c>
      <c r="BL169" s="146" t="n"/>
      <c r="BM169" s="146" t="n"/>
      <c r="BN169" s="146" t="n"/>
      <c r="BO169" s="146" t="n"/>
      <c r="BP169" s="146" t="n"/>
      <c r="BQ169" s="146" t="n"/>
      <c r="BR169" s="146" t="n"/>
      <c r="BS169" s="146" t="n"/>
      <c r="BT169" s="146" t="n"/>
      <c r="BU169" s="218" t="n"/>
      <c r="BV169" s="218" t="n"/>
      <c r="BW169" s="218" t="n"/>
      <c r="BX169" s="218" t="n"/>
      <c r="BY169" s="218" t="n"/>
      <c r="BZ169" s="218" t="n"/>
      <c r="CA169" s="218" t="n"/>
      <c r="CB169" s="218" t="n"/>
      <c r="CC169" s="218" t="n"/>
      <c r="CD169" s="218" t="n"/>
      <c r="CE169" s="218" t="n"/>
      <c r="CF169" s="218" t="n"/>
      <c r="CG169" s="218" t="n"/>
      <c r="CH169" s="218" t="n"/>
      <c r="CI169" s="218" t="n"/>
      <c r="CJ169" s="218" t="n"/>
      <c r="CK169" s="218" t="n"/>
      <c r="CL169" s="218" t="n"/>
      <c r="CM169" s="218" t="n"/>
      <c r="CN169" s="218" t="n"/>
      <c r="CO169" s="218" t="n"/>
      <c r="CP169" s="218" t="n"/>
      <c r="CQ169" s="218" t="n"/>
      <c r="CR169" s="218" t="n"/>
      <c r="CS169" s="218" t="n"/>
      <c r="CT169" s="218" t="n"/>
      <c r="CU169" s="146" t="n">
        <v>7154</v>
      </c>
      <c r="CV169" s="146" t="inlineStr">
        <is>
          <t>MARTINEZ ZAMORA KARLA GABRIELA</t>
        </is>
      </c>
      <c r="CW169" s="218" t="n"/>
      <c r="CX169" s="218" t="n"/>
      <c r="CY169" s="218" t="n"/>
      <c r="CZ169" s="218" t="n"/>
      <c r="DA169" s="218" t="n"/>
      <c r="DB169" s="218" t="n"/>
      <c r="DC169" s="218" t="n"/>
    </row>
    <row r="170">
      <c r="A170" s="218" t="n"/>
      <c r="B170" s="218" t="n"/>
      <c r="C170" s="146" t="inlineStr">
        <is>
          <t>IDE</t>
        </is>
      </c>
      <c r="D170" s="146" t="n"/>
      <c r="E170" s="146" t="n"/>
      <c r="F170" s="146" t="n"/>
      <c r="G170" s="146" t="n"/>
      <c r="H170" s="146" t="n"/>
      <c r="I170" s="146" t="n"/>
      <c r="J170" s="218" t="n"/>
      <c r="K170" s="218" t="n"/>
      <c r="L170" s="218" t="n"/>
      <c r="M170" s="218" t="n"/>
      <c r="N170" s="218" t="n"/>
      <c r="O170" s="218" t="n"/>
      <c r="Q170" s="146" t="inlineStr">
        <is>
          <t>BANK OF TOKYO-MITSUBISHI, UFJ (MEXICO), S.A. INST. BANCA MULTIPLE</t>
        </is>
      </c>
      <c r="R170" s="146" t="n"/>
      <c r="S170" s="146" t="n"/>
      <c r="T170" s="146" t="n"/>
      <c r="U170" s="146" t="n"/>
      <c r="V170" s="146" t="n"/>
      <c r="W170" s="146" t="n"/>
      <c r="X170" s="146" t="n"/>
      <c r="Y170" s="146" t="n"/>
      <c r="Z170" s="146" t="n"/>
      <c r="AA170" s="146" t="n"/>
      <c r="AB170" s="146" t="n"/>
      <c r="AC170" s="146" t="n"/>
      <c r="AD170" s="146" t="n"/>
      <c r="AE170" s="146" t="n"/>
      <c r="AF170" s="146" t="n"/>
      <c r="AG170" s="146" t="n"/>
      <c r="AH170" s="146" t="n"/>
      <c r="AI170" s="146" t="n"/>
      <c r="AJ170" s="146" t="n"/>
      <c r="AK170" s="146" t="n"/>
      <c r="AL170" s="146" t="n"/>
      <c r="AM170" s="146" t="n"/>
      <c r="AN170" s="146" t="n"/>
      <c r="AO170" s="146" t="n"/>
      <c r="AP170" s="146" t="n"/>
      <c r="AS170" s="218" t="n"/>
      <c r="AT170" s="218" t="n"/>
      <c r="AU170" s="218" t="n"/>
      <c r="AV170" s="218" t="n"/>
      <c r="AW170" s="218" t="n"/>
      <c r="AX170" s="218" t="n"/>
      <c r="AY170" s="218" t="n"/>
      <c r="AZ170" s="218" t="n"/>
      <c r="BA170" s="218" t="n"/>
      <c r="BB170" s="218" t="n"/>
      <c r="BC170" s="218" t="n"/>
      <c r="BD170" s="218" t="n"/>
      <c r="BE170" s="218" t="n"/>
      <c r="BF170" s="218" t="n"/>
      <c r="BG170" s="218" t="n"/>
      <c r="BH170" s="218" t="n"/>
      <c r="BI170" s="218" t="n"/>
      <c r="BJ170" s="146" t="n">
        <v>76</v>
      </c>
      <c r="BK170" s="146" t="inlineStr">
        <is>
          <t>PESCA DE ATUNES</t>
        </is>
      </c>
      <c r="BL170" s="146" t="n"/>
      <c r="BM170" s="146" t="n"/>
      <c r="BN170" s="146" t="n"/>
      <c r="BO170" s="146" t="n"/>
      <c r="BP170" s="146" t="n"/>
      <c r="BQ170" s="146" t="n"/>
      <c r="BR170" s="146" t="n"/>
      <c r="BS170" s="146" t="n"/>
      <c r="BT170" s="146" t="n"/>
      <c r="BU170" s="218" t="n"/>
      <c r="BV170" s="218" t="n"/>
      <c r="BW170" s="218" t="n"/>
      <c r="BX170" s="218" t="n"/>
      <c r="BY170" s="218" t="n"/>
      <c r="BZ170" s="218" t="n"/>
      <c r="CA170" s="218" t="n"/>
      <c r="CB170" s="218" t="n"/>
      <c r="CC170" s="218" t="n"/>
      <c r="CD170" s="218" t="n"/>
      <c r="CE170" s="218" t="n"/>
      <c r="CF170" s="218" t="n"/>
      <c r="CG170" s="218" t="n"/>
      <c r="CH170" s="218" t="n"/>
      <c r="CI170" s="218" t="n"/>
      <c r="CJ170" s="218" t="n"/>
      <c r="CK170" s="218" t="n"/>
      <c r="CL170" s="218" t="n"/>
      <c r="CM170" s="218" t="n"/>
      <c r="CN170" s="218" t="n"/>
      <c r="CO170" s="218" t="n"/>
      <c r="CP170" s="218" t="n"/>
      <c r="CQ170" s="218" t="n"/>
      <c r="CR170" s="218" t="n"/>
      <c r="CS170" s="218" t="n"/>
      <c r="CT170" s="218" t="n"/>
      <c r="CU170" s="146" t="n">
        <v>7157</v>
      </c>
      <c r="CV170" s="146" t="inlineStr">
        <is>
          <t>ROMERO RODRIGUEZ ANGEL WBALDO</t>
        </is>
      </c>
      <c r="CW170" s="218" t="n"/>
      <c r="CX170" s="218" t="n"/>
      <c r="CY170" s="218" t="n"/>
      <c r="CZ170" s="218" t="n"/>
      <c r="DA170" s="218" t="n"/>
      <c r="DB170" s="218" t="n"/>
      <c r="DC170" s="218" t="n"/>
    </row>
    <row r="171">
      <c r="A171" s="218" t="n"/>
      <c r="B171" s="218" t="n"/>
      <c r="C171" s="153" t="inlineStr">
        <is>
          <t>OTROS</t>
        </is>
      </c>
      <c r="D171" s="146" t="n"/>
      <c r="E171" s="146" t="n"/>
      <c r="F171" s="146" t="n"/>
      <c r="G171" s="146" t="n"/>
      <c r="H171" s="146" t="n"/>
      <c r="I171" s="146" t="n"/>
      <c r="J171" s="218" t="n"/>
      <c r="K171" s="218" t="n"/>
      <c r="L171" s="218" t="n"/>
      <c r="M171" s="218" t="n"/>
      <c r="N171" s="218" t="n"/>
      <c r="O171" s="218" t="n"/>
      <c r="Q171" s="146" t="inlineStr">
        <is>
          <t>BANCO MONEX, S.A. INSTITUCION DE BANCA MULTIPLE</t>
        </is>
      </c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6" t="n"/>
      <c r="AA171" s="146" t="n"/>
      <c r="AB171" s="146" t="n"/>
      <c r="AC171" s="146" t="n"/>
      <c r="AD171" s="146" t="n"/>
      <c r="AE171" s="146" t="n"/>
      <c r="AF171" s="146" t="n"/>
      <c r="AG171" s="146" t="n"/>
      <c r="AH171" s="146" t="n"/>
      <c r="AI171" s="146" t="n"/>
      <c r="AJ171" s="146" t="n"/>
      <c r="AK171" s="146" t="n"/>
      <c r="AL171" s="146" t="n"/>
      <c r="AM171" s="146" t="n"/>
      <c r="AN171" s="146" t="n"/>
      <c r="AO171" s="146" t="n"/>
      <c r="AP171" s="146" t="n"/>
      <c r="AS171" s="218" t="n"/>
      <c r="AT171" s="218" t="n"/>
      <c r="AU171" s="218" t="n"/>
      <c r="AV171" s="218" t="n"/>
      <c r="AW171" s="218" t="n"/>
      <c r="AX171" s="218" t="n"/>
      <c r="AY171" s="218" t="n"/>
      <c r="AZ171" s="218" t="n"/>
      <c r="BA171" s="218" t="n"/>
      <c r="BB171" s="218" t="n"/>
      <c r="BC171" s="218" t="n"/>
      <c r="BD171" s="218" t="n"/>
      <c r="BE171" s="218" t="n"/>
      <c r="BF171" s="218" t="n"/>
      <c r="BG171" s="218" t="n"/>
      <c r="BH171" s="218" t="n"/>
      <c r="BI171" s="218" t="n"/>
      <c r="BJ171" s="146" t="n">
        <v>77</v>
      </c>
      <c r="BK171" s="146" t="inlineStr">
        <is>
          <t>PESCA DE SARDINA Y ANCHOVETA</t>
        </is>
      </c>
      <c r="BL171" s="146" t="n"/>
      <c r="BM171" s="146" t="n"/>
      <c r="BN171" s="146" t="n"/>
      <c r="BO171" s="146" t="n"/>
      <c r="BP171" s="146" t="n"/>
      <c r="BQ171" s="146" t="n"/>
      <c r="BR171" s="146" t="n"/>
      <c r="BS171" s="146" t="n"/>
      <c r="BT171" s="146" t="n"/>
      <c r="BU171" s="218" t="n"/>
      <c r="BV171" s="218" t="n"/>
      <c r="BW171" s="218" t="n"/>
      <c r="BX171" s="218" t="n"/>
      <c r="BY171" s="218" t="n"/>
      <c r="BZ171" s="218" t="n"/>
      <c r="CA171" s="218" t="n"/>
      <c r="CB171" s="218" t="n"/>
      <c r="CC171" s="218" t="n"/>
      <c r="CD171" s="218" t="n"/>
      <c r="CE171" s="218" t="n"/>
      <c r="CF171" s="218" t="n"/>
      <c r="CG171" s="218" t="n"/>
      <c r="CH171" s="218" t="n"/>
      <c r="CI171" s="218" t="n"/>
      <c r="CJ171" s="218" t="n"/>
      <c r="CK171" s="218" t="n"/>
      <c r="CL171" s="218" t="n"/>
      <c r="CM171" s="218" t="n"/>
      <c r="CN171" s="218" t="n"/>
      <c r="CO171" s="218" t="n"/>
      <c r="CP171" s="218" t="n"/>
      <c r="CQ171" s="218" t="n"/>
      <c r="CR171" s="218" t="n"/>
      <c r="CS171" s="218" t="n"/>
      <c r="CT171" s="218" t="n"/>
      <c r="CU171" s="146" t="n">
        <v>7258</v>
      </c>
      <c r="CV171" s="146" t="inlineStr">
        <is>
          <t>MENDOZA CHEW MARIA DE LA PAZ</t>
        </is>
      </c>
      <c r="CW171" s="218" t="n"/>
      <c r="CX171" s="218" t="n"/>
      <c r="CY171" s="218" t="n"/>
      <c r="CZ171" s="218" t="n"/>
      <c r="DA171" s="218" t="n"/>
      <c r="DB171" s="218" t="n"/>
      <c r="DC171" s="218" t="n"/>
    </row>
    <row r="172">
      <c r="A172" s="218" t="n"/>
      <c r="B172" s="218" t="n"/>
      <c r="C172" s="146" t="n"/>
      <c r="D172" s="146" t="n"/>
      <c r="E172" s="146" t="n"/>
      <c r="F172" s="146" t="n"/>
      <c r="G172" s="146" t="n"/>
      <c r="H172" s="146" t="n"/>
      <c r="I172" s="146" t="n"/>
      <c r="J172" s="218" t="n"/>
      <c r="K172" s="218" t="n"/>
      <c r="L172" s="218" t="n"/>
      <c r="M172" s="218" t="n"/>
      <c r="N172" s="218" t="n"/>
      <c r="O172" s="218" t="n"/>
      <c r="Q172" s="146" t="inlineStr">
        <is>
          <t>BANCO BASE S.A.</t>
        </is>
      </c>
      <c r="R172" s="146" t="n"/>
      <c r="S172" s="146" t="n"/>
      <c r="T172" s="146" t="n"/>
      <c r="U172" s="146" t="n"/>
      <c r="V172" s="146" t="n"/>
      <c r="W172" s="146" t="n"/>
      <c r="X172" s="146" t="n"/>
      <c r="Y172" s="146" t="n"/>
      <c r="Z172" s="146" t="n"/>
      <c r="AA172" s="146" t="n"/>
      <c r="AB172" s="146" t="n"/>
      <c r="AC172" s="146" t="n"/>
      <c r="AD172" s="146" t="n"/>
      <c r="AE172" s="146" t="n"/>
      <c r="AF172" s="146" t="n"/>
      <c r="AG172" s="146" t="n"/>
      <c r="AH172" s="146" t="n"/>
      <c r="AI172" s="146" t="n"/>
      <c r="AJ172" s="146" t="n"/>
      <c r="AK172" s="146" t="n"/>
      <c r="AL172" s="146" t="n"/>
      <c r="AM172" s="146" t="n"/>
      <c r="AN172" s="146" t="n"/>
      <c r="AO172" s="146" t="n"/>
      <c r="AP172" s="146" t="n"/>
      <c r="AS172" s="218" t="n"/>
      <c r="AT172" s="218" t="n"/>
      <c r="AU172" s="218" t="n"/>
      <c r="AV172" s="218" t="n"/>
      <c r="AW172" s="218" t="n"/>
      <c r="AX172" s="218" t="n"/>
      <c r="AY172" s="218" t="n"/>
      <c r="AZ172" s="218" t="n"/>
      <c r="BA172" s="218" t="n"/>
      <c r="BB172" s="218" t="n"/>
      <c r="BC172" s="218" t="n"/>
      <c r="BD172" s="218" t="n"/>
      <c r="BE172" s="218" t="n"/>
      <c r="BF172" s="218" t="n"/>
      <c r="BG172" s="218" t="n"/>
      <c r="BH172" s="218" t="n"/>
      <c r="BI172" s="218" t="n"/>
      <c r="BJ172" s="146" t="n">
        <v>78</v>
      </c>
      <c r="BK172" s="146" t="inlineStr">
        <is>
          <t>PESCA DE OTRAS ESPECIES</t>
        </is>
      </c>
      <c r="BL172" s="146" t="n"/>
      <c r="BM172" s="146" t="n"/>
      <c r="BN172" s="146" t="n"/>
      <c r="BO172" s="146" t="n"/>
      <c r="BP172" s="146" t="n"/>
      <c r="BQ172" s="146" t="n"/>
      <c r="BR172" s="146" t="n"/>
      <c r="BS172" s="146" t="n"/>
      <c r="BT172" s="146" t="n"/>
      <c r="BU172" s="218" t="n"/>
      <c r="BV172" s="218" t="n"/>
      <c r="BW172" s="218" t="n"/>
      <c r="BX172" s="218" t="n"/>
      <c r="BY172" s="218" t="n"/>
      <c r="BZ172" s="218" t="n"/>
      <c r="CA172" s="218" t="n"/>
      <c r="CB172" s="218" t="n"/>
      <c r="CC172" s="218" t="n"/>
      <c r="CD172" s="218" t="n"/>
      <c r="CE172" s="218" t="n"/>
      <c r="CF172" s="218" t="n"/>
      <c r="CG172" s="218" t="n"/>
      <c r="CH172" s="218" t="n"/>
      <c r="CI172" s="218" t="n"/>
      <c r="CJ172" s="218" t="n"/>
      <c r="CK172" s="218" t="n"/>
      <c r="CL172" s="218" t="n"/>
      <c r="CM172" s="218" t="n"/>
      <c r="CN172" s="218" t="n"/>
      <c r="CO172" s="218" t="n"/>
      <c r="CP172" s="218" t="n"/>
      <c r="CQ172" s="218" t="n"/>
      <c r="CR172" s="218" t="n"/>
      <c r="CS172" s="218" t="n"/>
      <c r="CT172" s="218" t="n"/>
      <c r="CU172" s="146" t="n">
        <v>7259</v>
      </c>
      <c r="CV172" s="146" t="inlineStr">
        <is>
          <t>BARAJAS HERNANDEZ KAREN ITZEL</t>
        </is>
      </c>
      <c r="CW172" s="218" t="n"/>
      <c r="CX172" s="218" t="n"/>
      <c r="CY172" s="218" t="n"/>
      <c r="CZ172" s="218" t="n"/>
      <c r="DA172" s="218" t="n"/>
      <c r="DB172" s="218" t="n"/>
      <c r="DC172" s="218" t="n"/>
    </row>
    <row r="173">
      <c r="A173" s="218" t="n"/>
      <c r="B173" s="218" t="n"/>
      <c r="C173" s="146" t="n"/>
      <c r="D173" s="146" t="n"/>
      <c r="E173" s="146" t="n"/>
      <c r="F173" s="146" t="n"/>
      <c r="G173" s="146" t="n"/>
      <c r="H173" s="146" t="n"/>
      <c r="I173" s="146" t="n"/>
      <c r="J173" s="218" t="n"/>
      <c r="K173" s="218" t="n"/>
      <c r="L173" s="218" t="n"/>
      <c r="M173" s="218" t="n"/>
      <c r="N173" s="218" t="n"/>
      <c r="O173" s="218" t="n"/>
      <c r="Q173" s="146" t="inlineStr">
        <is>
          <t>BANCO VE POR MAS, S.A. INST. BANCA MULTIPLE</t>
        </is>
      </c>
      <c r="R173" s="146" t="n"/>
      <c r="S173" s="146" t="n"/>
      <c r="T173" s="146" t="n"/>
      <c r="U173" s="146" t="n"/>
      <c r="V173" s="146" t="n"/>
      <c r="W173" s="146" t="n"/>
      <c r="X173" s="146" t="n"/>
      <c r="Y173" s="146" t="n"/>
      <c r="Z173" s="146" t="n"/>
      <c r="AA173" s="146" t="n"/>
      <c r="AB173" s="146" t="n"/>
      <c r="AC173" s="146" t="n"/>
      <c r="AD173" s="146" t="n"/>
      <c r="AE173" s="146" t="n"/>
      <c r="AF173" s="146" t="n"/>
      <c r="AG173" s="146" t="n"/>
      <c r="AH173" s="146" t="n"/>
      <c r="AI173" s="146" t="n"/>
      <c r="AJ173" s="146" t="n"/>
      <c r="AK173" s="146" t="n"/>
      <c r="AL173" s="146" t="n"/>
      <c r="AM173" s="146" t="n"/>
      <c r="AN173" s="146" t="n"/>
      <c r="AO173" s="146" t="n"/>
      <c r="AP173" s="146" t="n"/>
      <c r="AS173" s="218" t="n"/>
      <c r="AT173" s="218" t="n"/>
      <c r="AU173" s="218" t="n"/>
      <c r="AV173" s="218" t="n"/>
      <c r="AW173" s="218" t="n"/>
      <c r="AX173" s="218" t="n"/>
      <c r="AY173" s="218" t="n"/>
      <c r="AZ173" s="218" t="n"/>
      <c r="BA173" s="218" t="n"/>
      <c r="BB173" s="218" t="n"/>
      <c r="BC173" s="218" t="n"/>
      <c r="BD173" s="218" t="n"/>
      <c r="BE173" s="218" t="n"/>
      <c r="BF173" s="218" t="n"/>
      <c r="BG173" s="218" t="n"/>
      <c r="BH173" s="218" t="n"/>
      <c r="BI173" s="218" t="n"/>
      <c r="BJ173" s="146" t="n">
        <v>79</v>
      </c>
      <c r="BK173" s="146" t="inlineStr">
        <is>
          <t>CAZA Y CAPTURA DE ANIMALES EN SU HABITAT NATURAL Y OPERACION Y ADMINISTRACION DE RESERVAS PARA CAZA (COMO LOS RANCHOS CINEGETICOS)</t>
        </is>
      </c>
      <c r="BL173" s="146" t="n"/>
      <c r="BM173" s="146" t="n"/>
      <c r="BN173" s="146" t="n"/>
      <c r="BO173" s="146" t="n"/>
      <c r="BP173" s="146" t="n"/>
      <c r="BQ173" s="146" t="n"/>
      <c r="BR173" s="146" t="n"/>
      <c r="BS173" s="146" t="n"/>
      <c r="BT173" s="146" t="n"/>
      <c r="BU173" s="218" t="n"/>
      <c r="BV173" s="218" t="n"/>
      <c r="BW173" s="218" t="n"/>
      <c r="BX173" s="218" t="n"/>
      <c r="BY173" s="218" t="n"/>
      <c r="BZ173" s="218" t="n"/>
      <c r="CA173" s="218" t="n"/>
      <c r="CB173" s="218" t="n"/>
      <c r="CC173" s="218" t="n"/>
      <c r="CD173" s="218" t="n"/>
      <c r="CE173" s="218" t="n"/>
      <c r="CF173" s="218" t="n"/>
      <c r="CG173" s="218" t="n"/>
      <c r="CH173" s="218" t="n"/>
      <c r="CI173" s="218" t="n"/>
      <c r="CJ173" s="218" t="n"/>
      <c r="CK173" s="218" t="n"/>
      <c r="CL173" s="218" t="n"/>
      <c r="CM173" s="218" t="n"/>
      <c r="CN173" s="218" t="n"/>
      <c r="CO173" s="218" t="n"/>
      <c r="CP173" s="218" t="n"/>
      <c r="CQ173" s="218" t="n"/>
      <c r="CR173" s="218" t="n"/>
      <c r="CS173" s="218" t="n"/>
      <c r="CT173" s="218" t="n"/>
      <c r="CU173" s="146" t="n">
        <v>7267</v>
      </c>
      <c r="CV173" s="146" t="inlineStr">
        <is>
          <t>GODOY HERRERA LAURA FILOMENA</t>
        </is>
      </c>
      <c r="CW173" s="218" t="n"/>
      <c r="CX173" s="218" t="n"/>
      <c r="CY173" s="218" t="n"/>
      <c r="CZ173" s="218" t="n"/>
      <c r="DA173" s="218" t="n"/>
      <c r="DB173" s="218" t="n"/>
      <c r="DC173" s="218" t="n"/>
    </row>
    <row r="174">
      <c r="A174" s="218" t="n"/>
      <c r="B174" s="218" t="n"/>
      <c r="C174" s="8" t="n"/>
      <c r="D174" s="218" t="n"/>
      <c r="E174" s="218" t="n"/>
      <c r="F174" s="218" t="n"/>
      <c r="G174" s="218" t="n"/>
      <c r="H174" s="218" t="n"/>
      <c r="I174" s="218" t="n"/>
      <c r="J174" s="218" t="n"/>
      <c r="K174" s="218" t="n"/>
      <c r="L174" s="218" t="n"/>
      <c r="M174" s="218" t="n"/>
      <c r="N174" s="218" t="n"/>
      <c r="O174" s="218" t="n"/>
      <c r="Q174" s="146" t="inlineStr">
        <is>
          <t>INTERCAM GRUPO FINANCIERO</t>
        </is>
      </c>
      <c r="R174" s="146" t="n"/>
      <c r="S174" s="146" t="n"/>
      <c r="T174" s="146" t="n"/>
      <c r="U174" s="146" t="n"/>
      <c r="V174" s="146" t="n"/>
      <c r="W174" s="146" t="n"/>
      <c r="X174" s="146" t="n"/>
      <c r="Y174" s="146" t="n"/>
      <c r="Z174" s="146" t="n"/>
      <c r="AA174" s="146" t="n"/>
      <c r="AB174" s="146" t="n"/>
      <c r="AC174" s="146" t="n"/>
      <c r="AD174" s="146" t="n"/>
      <c r="AE174" s="146" t="n"/>
      <c r="AF174" s="146" t="n"/>
      <c r="AG174" s="146" t="n"/>
      <c r="AH174" s="146" t="n"/>
      <c r="AI174" s="146" t="n"/>
      <c r="AJ174" s="146" t="n"/>
      <c r="AK174" s="146" t="n"/>
      <c r="AL174" s="146" t="n"/>
      <c r="AM174" s="146" t="n"/>
      <c r="AN174" s="146" t="n"/>
      <c r="AO174" s="146" t="n"/>
      <c r="AP174" s="146" t="n"/>
      <c r="AS174" s="218" t="n"/>
      <c r="AT174" s="218" t="n"/>
      <c r="AU174" s="218" t="n"/>
      <c r="AV174" s="218" t="n"/>
      <c r="AW174" s="218" t="n"/>
      <c r="AX174" s="218" t="n"/>
      <c r="AY174" s="218" t="n"/>
      <c r="AZ174" s="218" t="n"/>
      <c r="BA174" s="218" t="n"/>
      <c r="BB174" s="218" t="n"/>
      <c r="BC174" s="218" t="n"/>
      <c r="BD174" s="218" t="n"/>
      <c r="BE174" s="218" t="n"/>
      <c r="BF174" s="218" t="n"/>
      <c r="BG174" s="218" t="n"/>
      <c r="BH174" s="218" t="n"/>
      <c r="BI174" s="218" t="n"/>
      <c r="BJ174" s="146" t="n">
        <v>80</v>
      </c>
      <c r="BK174" s="146" t="inlineStr">
        <is>
          <t>SERVICIOS DE FUMIGACION AGRICOLA</t>
        </is>
      </c>
      <c r="BL174" s="146" t="n"/>
      <c r="BM174" s="146" t="n"/>
      <c r="BN174" s="146" t="n"/>
      <c r="BO174" s="146" t="n"/>
      <c r="BP174" s="146" t="n"/>
      <c r="BQ174" s="146" t="n"/>
      <c r="BR174" s="146" t="n"/>
      <c r="BS174" s="146" t="n"/>
      <c r="BT174" s="146" t="n"/>
      <c r="BU174" s="218" t="n"/>
      <c r="BV174" s="218" t="n"/>
      <c r="BW174" s="218" t="n"/>
      <c r="BX174" s="218" t="n"/>
      <c r="BY174" s="218" t="n"/>
      <c r="BZ174" s="218" t="n"/>
      <c r="CA174" s="218" t="n"/>
      <c r="CB174" s="218" t="n"/>
      <c r="CC174" s="218" t="n"/>
      <c r="CD174" s="218" t="n"/>
      <c r="CE174" s="218" t="n"/>
      <c r="CF174" s="218" t="n"/>
      <c r="CG174" s="218" t="n"/>
      <c r="CH174" s="218" t="n"/>
      <c r="CI174" s="218" t="n"/>
      <c r="CJ174" s="218" t="n"/>
      <c r="CK174" s="218" t="n"/>
      <c r="CL174" s="218" t="n"/>
      <c r="CM174" s="218" t="n"/>
      <c r="CN174" s="218" t="n"/>
      <c r="CO174" s="218" t="n"/>
      <c r="CP174" s="218" t="n"/>
      <c r="CQ174" s="218" t="n"/>
      <c r="CR174" s="218" t="n"/>
      <c r="CS174" s="218" t="n"/>
      <c r="CT174" s="218" t="n"/>
      <c r="CU174" s="146" t="n">
        <v>7409</v>
      </c>
      <c r="CV174" s="146" t="inlineStr">
        <is>
          <t>SANDOVAL VALADEZ LAURA CRISTINA</t>
        </is>
      </c>
      <c r="CW174" s="218" t="n"/>
      <c r="CX174" s="218" t="n"/>
      <c r="CY174" s="218" t="n"/>
      <c r="CZ174" s="218" t="n"/>
      <c r="DA174" s="218" t="n"/>
      <c r="DB174" s="218" t="n"/>
      <c r="DC174" s="218" t="n"/>
    </row>
    <row r="175">
      <c r="A175" s="218" t="n"/>
      <c r="B175" s="218" t="n"/>
      <c r="C175" s="218" t="n"/>
      <c r="D175" s="218" t="n"/>
      <c r="E175" s="218" t="n"/>
      <c r="F175" s="218" t="n"/>
      <c r="G175" s="218" t="n"/>
      <c r="H175" s="218" t="n"/>
      <c r="I175" s="218" t="n"/>
      <c r="J175" s="218" t="n"/>
      <c r="K175" s="218" t="n"/>
      <c r="L175" s="218" t="n"/>
      <c r="M175" s="218" t="n"/>
      <c r="N175" s="218" t="n"/>
      <c r="O175" s="218" t="n"/>
      <c r="Q175" s="146" t="inlineStr">
        <is>
          <t>MUFG BANK MEXICO, S.A. INSTIT BANCA MULTIPLE</t>
        </is>
      </c>
      <c r="R175" s="146" t="n"/>
      <c r="S175" s="146" t="n"/>
      <c r="T175" s="146" t="n"/>
      <c r="U175" s="146" t="n"/>
      <c r="V175" s="146" t="n"/>
      <c r="W175" s="146" t="n"/>
      <c r="X175" s="146" t="n"/>
      <c r="Y175" s="146" t="n"/>
      <c r="Z175" s="146" t="n"/>
      <c r="AA175" s="146" t="n"/>
      <c r="AB175" s="146" t="n"/>
      <c r="AC175" s="146" t="n"/>
      <c r="AD175" s="146" t="n"/>
      <c r="AE175" s="146" t="n"/>
      <c r="AF175" s="146" t="n"/>
      <c r="AG175" s="146" t="n"/>
      <c r="AH175" s="146" t="n"/>
      <c r="AI175" s="146" t="n"/>
      <c r="AJ175" s="146" t="n"/>
      <c r="AK175" s="146" t="n"/>
      <c r="AL175" s="146" t="n"/>
      <c r="AM175" s="146" t="n"/>
      <c r="AN175" s="146" t="n"/>
      <c r="AO175" s="146" t="n"/>
      <c r="AP175" s="146" t="n"/>
      <c r="AS175" s="218" t="n"/>
      <c r="AT175" s="218" t="n"/>
      <c r="AU175" s="218" t="n"/>
      <c r="AV175" s="218" t="n"/>
      <c r="AW175" s="218" t="n"/>
      <c r="AX175" s="218" t="n"/>
      <c r="AY175" s="218" t="n"/>
      <c r="AZ175" s="218" t="n"/>
      <c r="BA175" s="218" t="n"/>
      <c r="BB175" s="218" t="n"/>
      <c r="BC175" s="218" t="n"/>
      <c r="BD175" s="218" t="n"/>
      <c r="BE175" s="218" t="n"/>
      <c r="BF175" s="218" t="n"/>
      <c r="BG175" s="218" t="n"/>
      <c r="BH175" s="218" t="n"/>
      <c r="BI175" s="218" t="n"/>
      <c r="BJ175" s="146" t="n">
        <v>81</v>
      </c>
      <c r="BK175" s="146" t="inlineStr">
        <is>
          <t>DESPEPITE DE ALGODON</t>
        </is>
      </c>
      <c r="BL175" s="146" t="n"/>
      <c r="BM175" s="146" t="n"/>
      <c r="BN175" s="146" t="n"/>
      <c r="BO175" s="146" t="n"/>
      <c r="BP175" s="146" t="n"/>
      <c r="BQ175" s="146" t="n"/>
      <c r="BR175" s="146" t="n"/>
      <c r="BS175" s="146" t="n"/>
      <c r="BT175" s="146" t="n"/>
      <c r="BU175" s="218" t="n"/>
      <c r="BV175" s="218" t="n"/>
      <c r="BW175" s="218" t="n"/>
      <c r="BX175" s="218" t="n"/>
      <c r="BY175" s="218" t="n"/>
      <c r="BZ175" s="218" t="n"/>
      <c r="CA175" s="218" t="n"/>
      <c r="CB175" s="218" t="n"/>
      <c r="CC175" s="218" t="n"/>
      <c r="CD175" s="218" t="n"/>
      <c r="CE175" s="218" t="n"/>
      <c r="CF175" s="218" t="n"/>
      <c r="CG175" s="218" t="n"/>
      <c r="CH175" s="218" t="n"/>
      <c r="CI175" s="218" t="n"/>
      <c r="CJ175" s="218" t="n"/>
      <c r="CK175" s="218" t="n"/>
      <c r="CL175" s="218" t="n"/>
      <c r="CM175" s="218" t="n"/>
      <c r="CN175" s="218" t="n"/>
      <c r="CO175" s="218" t="n"/>
      <c r="CP175" s="218" t="n"/>
      <c r="CQ175" s="218" t="n"/>
      <c r="CR175" s="218" t="n"/>
      <c r="CS175" s="218" t="n"/>
      <c r="CT175" s="218" t="n"/>
      <c r="CU175" s="146" t="n">
        <v>7563</v>
      </c>
      <c r="CV175" s="146" t="inlineStr">
        <is>
          <t>GARCIA GUEVARA JORGE ALBERTO</t>
        </is>
      </c>
      <c r="CW175" s="218" t="n"/>
      <c r="CX175" s="218" t="n"/>
      <c r="CY175" s="218" t="n"/>
      <c r="CZ175" s="218" t="n"/>
      <c r="DA175" s="218" t="n"/>
      <c r="DB175" s="218" t="n"/>
      <c r="DC175" s="218" t="n"/>
    </row>
    <row r="176">
      <c r="A176" s="218" t="n"/>
      <c r="B176" s="218" t="n"/>
      <c r="C176" s="145" t="inlineStr">
        <is>
          <t>Conceptos p/ Cont Interno</t>
        </is>
      </c>
      <c r="D176" s="146" t="n"/>
      <c r="E176" s="146" t="n"/>
      <c r="F176" s="146" t="n"/>
      <c r="G176" s="146" t="n"/>
      <c r="H176" s="146" t="n"/>
      <c r="I176" s="146" t="n"/>
      <c r="J176" s="218" t="n"/>
      <c r="K176" s="218" t="n"/>
      <c r="L176" s="218" t="n"/>
      <c r="M176" s="218" t="n"/>
      <c r="N176" s="218" t="n"/>
      <c r="O176" s="218" t="n"/>
      <c r="Q176" s="146" t="inlineStr">
        <is>
          <t>PAGO EN LA TESOFE</t>
        </is>
      </c>
      <c r="R176" s="146" t="n"/>
      <c r="S176" s="146" t="n"/>
      <c r="T176" s="146" t="n"/>
      <c r="U176" s="146" t="n"/>
      <c r="V176" s="146" t="n"/>
      <c r="W176" s="146" t="n"/>
      <c r="X176" s="146" t="n"/>
      <c r="Y176" s="146" t="n"/>
      <c r="Z176" s="146" t="n"/>
      <c r="AA176" s="146" t="n"/>
      <c r="AB176" s="146" t="n"/>
      <c r="AC176" s="146" t="n"/>
      <c r="AD176" s="146" t="n"/>
      <c r="AE176" s="146" t="n"/>
      <c r="AF176" s="146" t="n"/>
      <c r="AG176" s="146" t="n"/>
      <c r="AH176" s="146" t="n"/>
      <c r="AI176" s="146" t="n"/>
      <c r="AJ176" s="146" t="n"/>
      <c r="AK176" s="146" t="n"/>
      <c r="AL176" s="146" t="n"/>
      <c r="AM176" s="146" t="n"/>
      <c r="AN176" s="146" t="n"/>
      <c r="AO176" s="146" t="n"/>
      <c r="AP176" s="146" t="n"/>
      <c r="AS176" s="218" t="n"/>
      <c r="AT176" s="218" t="n"/>
      <c r="AU176" s="218" t="n"/>
      <c r="AV176" s="218" t="n"/>
      <c r="AW176" s="218" t="n"/>
      <c r="AX176" s="218" t="n"/>
      <c r="AY176" s="218" t="n"/>
      <c r="AZ176" s="218" t="n"/>
      <c r="BA176" s="218" t="n"/>
      <c r="BB176" s="218" t="n"/>
      <c r="BC176" s="218" t="n"/>
      <c r="BD176" s="218" t="n"/>
      <c r="BE176" s="218" t="n"/>
      <c r="BF176" s="218" t="n"/>
      <c r="BG176" s="218" t="n"/>
      <c r="BH176" s="218" t="n"/>
      <c r="BI176" s="218" t="n"/>
      <c r="BJ176" s="146" t="n">
        <v>82</v>
      </c>
      <c r="BK176" s="146" t="inlineStr">
        <is>
          <t>BENEFICIO DE PRODUCTOS AGRICOLAS</t>
        </is>
      </c>
      <c r="BL176" s="146" t="n"/>
      <c r="BM176" s="146" t="n"/>
      <c r="BN176" s="146" t="n"/>
      <c r="BO176" s="146" t="n"/>
      <c r="BP176" s="146" t="n"/>
      <c r="BQ176" s="146" t="n"/>
      <c r="BR176" s="146" t="n"/>
      <c r="BS176" s="146" t="n"/>
      <c r="BT176" s="146" t="n"/>
      <c r="BU176" s="218" t="n"/>
      <c r="BV176" s="218" t="n"/>
      <c r="BW176" s="218" t="n"/>
      <c r="BX176" s="218" t="n"/>
      <c r="BY176" s="218" t="n"/>
      <c r="BZ176" s="218" t="n"/>
      <c r="CA176" s="218" t="n"/>
      <c r="CB176" s="218" t="n"/>
      <c r="CC176" s="218" t="n"/>
      <c r="CD176" s="218" t="n"/>
      <c r="CE176" s="218" t="n"/>
      <c r="CF176" s="218" t="n"/>
      <c r="CG176" s="218" t="n"/>
      <c r="CH176" s="218" t="n"/>
      <c r="CI176" s="218" t="n"/>
      <c r="CJ176" s="218" t="n"/>
      <c r="CK176" s="218" t="n"/>
      <c r="CL176" s="218" t="n"/>
      <c r="CM176" s="218" t="n"/>
      <c r="CN176" s="218" t="n"/>
      <c r="CO176" s="218" t="n"/>
      <c r="CP176" s="218" t="n"/>
      <c r="CQ176" s="218" t="n"/>
      <c r="CR176" s="218" t="n"/>
      <c r="CS176" s="218" t="n"/>
      <c r="CT176" s="218" t="n"/>
      <c r="CU176" s="146" t="n">
        <v>7604</v>
      </c>
      <c r="CV176" s="146" t="inlineStr">
        <is>
          <t>ALCANTAR AYALA SAUL</t>
        </is>
      </c>
      <c r="CW176" s="218" t="n"/>
      <c r="CX176" s="218" t="n"/>
      <c r="CY176" s="218" t="n"/>
      <c r="CZ176" s="218" t="n"/>
      <c r="DA176" s="218" t="n"/>
      <c r="DB176" s="218" t="n"/>
      <c r="DC176" s="218" t="n"/>
    </row>
    <row r="177">
      <c r="A177" s="218" t="n"/>
      <c r="B177" s="218" t="n"/>
      <c r="C177" s="146" t="inlineStr">
        <is>
          <t>ISR</t>
        </is>
      </c>
      <c r="D177" s="146" t="n"/>
      <c r="E177" s="146" t="n"/>
      <c r="F177" s="146" t="n"/>
      <c r="G177" s="146" t="n"/>
      <c r="H177" s="146" t="n"/>
      <c r="I177" s="146" t="n"/>
      <c r="J177" s="218" t="n"/>
      <c r="K177" s="218" t="n"/>
      <c r="L177" s="218" t="n"/>
      <c r="M177" s="218" t="n"/>
      <c r="N177" s="218" t="n"/>
      <c r="O177" s="218" t="n"/>
      <c r="Q177" s="146" t="inlineStr">
        <is>
          <t>BANCO BANCREA, S.A., INSTITUCION DE BANCA MULTIPLE</t>
        </is>
      </c>
      <c r="R177" s="146" t="n"/>
      <c r="S177" s="146" t="n"/>
      <c r="T177" s="146" t="n"/>
      <c r="U177" s="146" t="n"/>
      <c r="V177" s="146" t="n"/>
      <c r="W177" s="146" t="n"/>
      <c r="X177" s="146" t="n"/>
      <c r="Y177" s="146" t="n"/>
      <c r="Z177" s="146" t="n"/>
      <c r="AA177" s="146" t="n"/>
      <c r="AB177" s="146" t="n"/>
      <c r="AC177" s="146" t="n"/>
      <c r="AD177" s="146" t="n"/>
      <c r="AE177" s="146" t="n"/>
      <c r="AF177" s="146" t="n"/>
      <c r="AG177" s="146" t="n"/>
      <c r="AH177" s="146" t="n"/>
      <c r="AI177" s="146" t="n"/>
      <c r="AJ177" s="146" t="n"/>
      <c r="AK177" s="146" t="n"/>
      <c r="AL177" s="146" t="n"/>
      <c r="AM177" s="146" t="n"/>
      <c r="AN177" s="146" t="n"/>
      <c r="AO177" s="146" t="n"/>
      <c r="AP177" s="146" t="n"/>
      <c r="AS177" s="218" t="n"/>
      <c r="AT177" s="218" t="n"/>
      <c r="AU177" s="218" t="n"/>
      <c r="AV177" s="218" t="n"/>
      <c r="AW177" s="218" t="n"/>
      <c r="AX177" s="218" t="n"/>
      <c r="AY177" s="218" t="n"/>
      <c r="AZ177" s="218" t="n"/>
      <c r="BA177" s="218" t="n"/>
      <c r="BB177" s="218" t="n"/>
      <c r="BC177" s="218" t="n"/>
      <c r="BD177" s="218" t="n"/>
      <c r="BE177" s="218" t="n"/>
      <c r="BF177" s="218" t="n"/>
      <c r="BG177" s="218" t="n"/>
      <c r="BH177" s="218" t="n"/>
      <c r="BI177" s="218" t="n"/>
      <c r="BJ177" s="146" t="n">
        <v>83</v>
      </c>
      <c r="BK177" s="146" t="inlineStr">
        <is>
          <t>OTROS SERVICIOS RELACIONADOS CON LA AGRICULTURA</t>
        </is>
      </c>
      <c r="BL177" s="146" t="n"/>
      <c r="BM177" s="146" t="n"/>
      <c r="BN177" s="146" t="n"/>
      <c r="BO177" s="146" t="n"/>
      <c r="BP177" s="146" t="n"/>
      <c r="BQ177" s="146" t="n"/>
      <c r="BR177" s="146" t="n"/>
      <c r="BS177" s="146" t="n"/>
      <c r="BT177" s="146" t="n"/>
      <c r="BU177" s="218" t="n"/>
      <c r="BV177" s="218" t="n"/>
      <c r="BW177" s="218" t="n"/>
      <c r="BX177" s="218" t="n"/>
      <c r="BY177" s="218" t="n"/>
      <c r="BZ177" s="218" t="n"/>
      <c r="CA177" s="218" t="n"/>
      <c r="CB177" s="218" t="n"/>
      <c r="CC177" s="218" t="n"/>
      <c r="CD177" s="218" t="n"/>
      <c r="CE177" s="218" t="n"/>
      <c r="CF177" s="218" t="n"/>
      <c r="CG177" s="218" t="n"/>
      <c r="CH177" s="218" t="n"/>
      <c r="CI177" s="218" t="n"/>
      <c r="CJ177" s="218" t="n"/>
      <c r="CK177" s="218" t="n"/>
      <c r="CL177" s="218" t="n"/>
      <c r="CM177" s="218" t="n"/>
      <c r="CN177" s="218" t="n"/>
      <c r="CO177" s="218" t="n"/>
      <c r="CP177" s="218" t="n"/>
      <c r="CQ177" s="218" t="n"/>
      <c r="CR177" s="218" t="n"/>
      <c r="CS177" s="218" t="n"/>
      <c r="CT177" s="218" t="n"/>
      <c r="CU177" s="146" t="n">
        <v>7838</v>
      </c>
      <c r="CV177" s="146" t="inlineStr">
        <is>
          <t xml:space="preserve">MONTES RODRÍGUEZ MARÍA SUGEY </t>
        </is>
      </c>
      <c r="CW177" s="218" t="n"/>
      <c r="CX177" s="218" t="n"/>
      <c r="CY177" s="218" t="n"/>
      <c r="CZ177" s="218" t="n"/>
      <c r="DA177" s="218" t="n"/>
      <c r="DB177" s="218" t="n"/>
      <c r="DC177" s="218" t="n"/>
    </row>
    <row r="178">
      <c r="A178" s="218" t="n"/>
      <c r="B178" s="218" t="n"/>
      <c r="C178" s="146" t="inlineStr">
        <is>
          <t>IVA</t>
        </is>
      </c>
      <c r="D178" s="146" t="n"/>
      <c r="E178" s="146" t="n"/>
      <c r="F178" s="146" t="n"/>
      <c r="G178" s="146" t="n"/>
      <c r="H178" s="146" t="n"/>
      <c r="I178" s="146" t="n"/>
      <c r="J178" s="218" t="n"/>
      <c r="K178" s="218" t="n"/>
      <c r="L178" s="218" t="n"/>
      <c r="M178" s="218" t="n"/>
      <c r="N178" s="218" t="n"/>
      <c r="O178" s="218" t="n"/>
      <c r="Q178" s="146" t="inlineStr">
        <is>
          <t>BANCO ACTINVER, S.A. DE C.V.</t>
        </is>
      </c>
      <c r="R178" s="146" t="n"/>
      <c r="S178" s="146" t="n"/>
      <c r="T178" s="146" t="n"/>
      <c r="U178" s="146" t="n"/>
      <c r="V178" s="146" t="n"/>
      <c r="W178" s="146" t="n"/>
      <c r="X178" s="146" t="n"/>
      <c r="Y178" s="146" t="n"/>
      <c r="Z178" s="146" t="n"/>
      <c r="AA178" s="146" t="n"/>
      <c r="AB178" s="146" t="n"/>
      <c r="AC178" s="146" t="n"/>
      <c r="AD178" s="146" t="n"/>
      <c r="AE178" s="146" t="n"/>
      <c r="AF178" s="146" t="n"/>
      <c r="AG178" s="146" t="n"/>
      <c r="AH178" s="146" t="n"/>
      <c r="AI178" s="146" t="n"/>
      <c r="AJ178" s="146" t="n"/>
      <c r="AK178" s="146" t="n"/>
      <c r="AL178" s="146" t="n"/>
      <c r="AM178" s="146" t="n"/>
      <c r="AN178" s="146" t="n"/>
      <c r="AO178" s="146" t="n"/>
      <c r="AP178" s="146" t="n"/>
      <c r="AS178" s="218" t="n"/>
      <c r="AT178" s="218" t="n"/>
      <c r="AU178" s="218" t="n"/>
      <c r="AV178" s="218" t="n"/>
      <c r="AW178" s="218" t="n"/>
      <c r="AX178" s="218" t="n"/>
      <c r="AY178" s="218" t="n"/>
      <c r="AZ178" s="218" t="n"/>
      <c r="BA178" s="218" t="n"/>
      <c r="BB178" s="218" t="n"/>
      <c r="BC178" s="218" t="n"/>
      <c r="BD178" s="218" t="n"/>
      <c r="BE178" s="218" t="n"/>
      <c r="BF178" s="218" t="n"/>
      <c r="BG178" s="218" t="n"/>
      <c r="BH178" s="218" t="n"/>
      <c r="BI178" s="218" t="n"/>
      <c r="BJ178" s="146" t="n">
        <v>84</v>
      </c>
      <c r="BK178" s="146" t="inlineStr">
        <is>
          <t>ADMINISTRACION DE EMPRESAS O NEGOCIOS AGRICOLAS</t>
        </is>
      </c>
      <c r="BL178" s="146" t="n"/>
      <c r="BM178" s="146" t="n"/>
      <c r="BN178" s="146" t="n"/>
      <c r="BO178" s="146" t="n"/>
      <c r="BP178" s="146" t="n"/>
      <c r="BQ178" s="146" t="n"/>
      <c r="BR178" s="146" t="n"/>
      <c r="BS178" s="146" t="n"/>
      <c r="BT178" s="146" t="n"/>
      <c r="BU178" s="218" t="n"/>
      <c r="BV178" s="218" t="n"/>
      <c r="BW178" s="218" t="n"/>
      <c r="BX178" s="218" t="n"/>
      <c r="BY178" s="218" t="n"/>
      <c r="BZ178" s="218" t="n"/>
      <c r="CA178" s="218" t="n"/>
      <c r="CB178" s="218" t="n"/>
      <c r="CC178" s="218" t="n"/>
      <c r="CD178" s="218" t="n"/>
      <c r="CE178" s="218" t="n"/>
      <c r="CF178" s="218" t="n"/>
      <c r="CG178" s="218" t="n"/>
      <c r="CH178" s="218" t="n"/>
      <c r="CI178" s="218" t="n"/>
      <c r="CJ178" s="218" t="n"/>
      <c r="CK178" s="218" t="n"/>
      <c r="CL178" s="218" t="n"/>
      <c r="CM178" s="218" t="n"/>
      <c r="CN178" s="218" t="n"/>
      <c r="CO178" s="218" t="n"/>
      <c r="CP178" s="218" t="n"/>
      <c r="CQ178" s="218" t="n"/>
      <c r="CR178" s="218" t="n"/>
      <c r="CS178" s="218" t="n"/>
      <c r="CT178" s="218" t="n"/>
      <c r="CU178" s="146" t="n">
        <v>7839</v>
      </c>
      <c r="CV178" s="146" t="inlineStr">
        <is>
          <t xml:space="preserve">ULLOA CARRILLO MARGARITA </t>
        </is>
      </c>
      <c r="CW178" s="218" t="n"/>
      <c r="CX178" s="218" t="n"/>
      <c r="CY178" s="218" t="n"/>
      <c r="CZ178" s="218" t="n"/>
      <c r="DA178" s="218" t="n"/>
      <c r="DB178" s="218" t="n"/>
      <c r="DC178" s="218" t="n"/>
    </row>
    <row r="179">
      <c r="A179" s="218" t="n"/>
      <c r="B179" s="218" t="n"/>
      <c r="C179" s="146" t="inlineStr">
        <is>
          <t>IEPS</t>
        </is>
      </c>
      <c r="D179" s="146" t="n"/>
      <c r="E179" s="146" t="n"/>
      <c r="F179" s="146" t="n"/>
      <c r="G179" s="146" t="n"/>
      <c r="H179" s="146" t="n"/>
      <c r="I179" s="146" t="n"/>
      <c r="J179" s="218" t="n"/>
      <c r="K179" s="218" t="n"/>
      <c r="L179" s="218" t="n"/>
      <c r="M179" s="218" t="n"/>
      <c r="N179" s="218" t="n"/>
      <c r="O179" s="218" t="n"/>
      <c r="Q179" s="146" t="inlineStr">
        <is>
          <t>CBM BANCO, A.A INSTITUCION DE BANCA MULTIPLE</t>
        </is>
      </c>
      <c r="R179" s="146" t="n"/>
      <c r="S179" s="146" t="n"/>
      <c r="T179" s="146" t="n"/>
      <c r="U179" s="146" t="n"/>
      <c r="V179" s="146" t="n"/>
      <c r="W179" s="146" t="n"/>
      <c r="X179" s="146" t="n"/>
      <c r="Y179" s="146" t="n"/>
      <c r="Z179" s="146" t="n"/>
      <c r="AA179" s="146" t="n"/>
      <c r="AB179" s="146" t="n"/>
      <c r="AC179" s="146" t="n"/>
      <c r="AD179" s="146" t="n"/>
      <c r="AE179" s="146" t="n"/>
      <c r="AF179" s="146" t="n"/>
      <c r="AG179" s="146" t="n"/>
      <c r="AH179" s="146" t="n"/>
      <c r="AI179" s="146" t="n"/>
      <c r="AJ179" s="146" t="n"/>
      <c r="AK179" s="146" t="n"/>
      <c r="AL179" s="146" t="n"/>
      <c r="AM179" s="146" t="n"/>
      <c r="AN179" s="146" t="n"/>
      <c r="AO179" s="146" t="n"/>
      <c r="AP179" s="146" t="n"/>
      <c r="AS179" s="218" t="n"/>
      <c r="AT179" s="218" t="n"/>
      <c r="AU179" s="218" t="n"/>
      <c r="AV179" s="218" t="n"/>
      <c r="AW179" s="218" t="n"/>
      <c r="AX179" s="218" t="n"/>
      <c r="AY179" s="218" t="n"/>
      <c r="AZ179" s="218" t="n"/>
      <c r="BA179" s="218" t="n"/>
      <c r="BB179" s="218" t="n"/>
      <c r="BC179" s="218" t="n"/>
      <c r="BD179" s="218" t="n"/>
      <c r="BE179" s="218" t="n"/>
      <c r="BF179" s="218" t="n"/>
      <c r="BG179" s="218" t="n"/>
      <c r="BH179" s="218" t="n"/>
      <c r="BI179" s="218" t="n"/>
      <c r="BJ179" s="146" t="n">
        <v>85</v>
      </c>
      <c r="BK179" s="146" t="inlineStr">
        <is>
          <t>SERVICIOS RELACIONADOS CON LA GANADERIA</t>
        </is>
      </c>
      <c r="BL179" s="146" t="n"/>
      <c r="BM179" s="146" t="n"/>
      <c r="BN179" s="146" t="n"/>
      <c r="BO179" s="146" t="n"/>
      <c r="BP179" s="146" t="n"/>
      <c r="BQ179" s="146" t="n"/>
      <c r="BR179" s="146" t="n"/>
      <c r="BS179" s="146" t="n"/>
      <c r="BT179" s="146" t="n"/>
      <c r="BU179" s="218" t="n"/>
      <c r="BV179" s="218" t="n"/>
      <c r="BW179" s="218" t="n"/>
      <c r="BX179" s="218" t="n"/>
      <c r="BY179" s="218" t="n"/>
      <c r="BZ179" s="218" t="n"/>
      <c r="CA179" s="218" t="n"/>
      <c r="CB179" s="218" t="n"/>
      <c r="CC179" s="218" t="n"/>
      <c r="CD179" s="218" t="n"/>
      <c r="CE179" s="218" t="n"/>
      <c r="CF179" s="218" t="n"/>
      <c r="CG179" s="218" t="n"/>
      <c r="CH179" s="218" t="n"/>
      <c r="CI179" s="218" t="n"/>
      <c r="CJ179" s="218" t="n"/>
      <c r="CK179" s="218" t="n"/>
      <c r="CL179" s="218" t="n"/>
      <c r="CM179" s="218" t="n"/>
      <c r="CN179" s="218" t="n"/>
      <c r="CO179" s="218" t="n"/>
      <c r="CP179" s="218" t="n"/>
      <c r="CQ179" s="218" t="n"/>
      <c r="CR179" s="218" t="n"/>
      <c r="CS179" s="218" t="n"/>
      <c r="CT179" s="218" t="n"/>
      <c r="CU179" s="146" t="n">
        <v>7840</v>
      </c>
      <c r="CV179" s="146" t="inlineStr">
        <is>
          <t xml:space="preserve">MANZO ESQUEDA IVONNE KARINA </t>
        </is>
      </c>
      <c r="CW179" s="218" t="n"/>
      <c r="CX179" s="218" t="n"/>
      <c r="CY179" s="218" t="n"/>
      <c r="CZ179" s="218" t="n"/>
      <c r="DA179" s="218" t="n"/>
      <c r="DB179" s="218" t="n"/>
      <c r="DC179" s="218" t="n"/>
    </row>
    <row r="180">
      <c r="A180" s="218" t="n"/>
      <c r="B180" s="218" t="n"/>
      <c r="C180" s="146" t="inlineStr">
        <is>
          <t>ACT</t>
        </is>
      </c>
      <c r="D180" s="146" t="n"/>
      <c r="E180" s="146" t="n"/>
      <c r="F180" s="146" t="n"/>
      <c r="G180" s="146" t="n"/>
      <c r="H180" s="146" t="n"/>
      <c r="I180" s="146" t="n"/>
      <c r="J180" s="218" t="n"/>
      <c r="K180" s="218" t="n"/>
      <c r="L180" s="218" t="n"/>
      <c r="M180" s="218" t="n"/>
      <c r="N180" s="218" t="n"/>
      <c r="O180" s="218" t="n"/>
      <c r="Q180" s="146" t="inlineStr">
        <is>
          <t>BANCO AUTOFIN MEXICO, S.A. DE C.V.</t>
        </is>
      </c>
      <c r="R180" s="146" t="n"/>
      <c r="S180" s="146" t="n"/>
      <c r="T180" s="146" t="n"/>
      <c r="U180" s="146" t="n"/>
      <c r="V180" s="146" t="n"/>
      <c r="W180" s="146" t="n"/>
      <c r="X180" s="146" t="n"/>
      <c r="Y180" s="146" t="n"/>
      <c r="Z180" s="146" t="n"/>
      <c r="AA180" s="146" t="n"/>
      <c r="AB180" s="146" t="n"/>
      <c r="AC180" s="146" t="n"/>
      <c r="AD180" s="146" t="n"/>
      <c r="AE180" s="146" t="n"/>
      <c r="AF180" s="146" t="n"/>
      <c r="AG180" s="146" t="n"/>
      <c r="AH180" s="146" t="n"/>
      <c r="AI180" s="146" t="n"/>
      <c r="AJ180" s="146" t="n"/>
      <c r="AK180" s="146" t="n"/>
      <c r="AL180" s="146" t="n"/>
      <c r="AM180" s="146" t="n"/>
      <c r="AN180" s="146" t="n"/>
      <c r="AO180" s="146" t="n"/>
      <c r="AP180" s="146" t="n"/>
      <c r="AS180" s="218" t="n"/>
      <c r="AT180" s="218" t="n"/>
      <c r="AU180" s="218" t="n"/>
      <c r="AV180" s="218" t="n"/>
      <c r="AW180" s="218" t="n"/>
      <c r="AX180" s="218" t="n"/>
      <c r="AY180" s="218" t="n"/>
      <c r="AZ180" s="218" t="n"/>
      <c r="BA180" s="218" t="n"/>
      <c r="BB180" s="218" t="n"/>
      <c r="BC180" s="218" t="n"/>
      <c r="BD180" s="218" t="n"/>
      <c r="BE180" s="218" t="n"/>
      <c r="BF180" s="218" t="n"/>
      <c r="BG180" s="218" t="n"/>
      <c r="BH180" s="218" t="n"/>
      <c r="BI180" s="218" t="n"/>
      <c r="BJ180" s="146" t="n">
        <v>86</v>
      </c>
      <c r="BK180" s="146" t="inlineStr">
        <is>
          <t>ADMINISTRACION DE EMPRESAS O NEGOCIOS GANADEROS</t>
        </is>
      </c>
      <c r="BL180" s="146" t="n"/>
      <c r="BM180" s="146" t="n"/>
      <c r="BN180" s="146" t="n"/>
      <c r="BO180" s="146" t="n"/>
      <c r="BP180" s="146" t="n"/>
      <c r="BQ180" s="146" t="n"/>
      <c r="BR180" s="146" t="n"/>
      <c r="BS180" s="146" t="n"/>
      <c r="BT180" s="146" t="n"/>
      <c r="BU180" s="218" t="n"/>
      <c r="BV180" s="218" t="n"/>
      <c r="BW180" s="218" t="n"/>
      <c r="BX180" s="218" t="n"/>
      <c r="BY180" s="218" t="n"/>
      <c r="BZ180" s="218" t="n"/>
      <c r="CA180" s="218" t="n"/>
      <c r="CB180" s="218" t="n"/>
      <c r="CC180" s="218" t="n"/>
      <c r="CD180" s="218" t="n"/>
      <c r="CE180" s="218" t="n"/>
      <c r="CF180" s="218" t="n"/>
      <c r="CG180" s="218" t="n"/>
      <c r="CH180" s="218" t="n"/>
      <c r="CI180" s="218" t="n"/>
      <c r="CJ180" s="218" t="n"/>
      <c r="CK180" s="218" t="n"/>
      <c r="CL180" s="218" t="n"/>
      <c r="CM180" s="218" t="n"/>
      <c r="CN180" s="218" t="n"/>
      <c r="CO180" s="218" t="n"/>
      <c r="CP180" s="218" t="n"/>
      <c r="CQ180" s="218" t="n"/>
      <c r="CR180" s="218" t="n"/>
      <c r="CS180" s="218" t="n"/>
      <c r="CT180" s="218" t="n"/>
      <c r="CU180" s="146" t="n">
        <v>7842</v>
      </c>
      <c r="CV180" s="146" t="inlineStr">
        <is>
          <t xml:space="preserve">GARCÍA SOTO PAULO CESAR </t>
        </is>
      </c>
      <c r="CW180" s="218" t="n"/>
      <c r="CX180" s="218" t="n"/>
      <c r="CY180" s="218" t="n"/>
      <c r="CZ180" s="218" t="n"/>
      <c r="DA180" s="218" t="n"/>
      <c r="DB180" s="218" t="n"/>
      <c r="DC180" s="218" t="n"/>
    </row>
    <row r="181">
      <c r="A181" s="218" t="n"/>
      <c r="B181" s="218" t="n"/>
      <c r="C181" s="146" t="inlineStr">
        <is>
          <t>REC</t>
        </is>
      </c>
      <c r="D181" s="146" t="n"/>
      <c r="E181" s="146" t="n"/>
      <c r="F181" s="146" t="n"/>
      <c r="G181" s="146" t="n"/>
      <c r="H181" s="146" t="n"/>
      <c r="I181" s="146" t="n"/>
      <c r="J181" s="218" t="n"/>
      <c r="K181" s="218" t="n"/>
      <c r="L181" s="218" t="n"/>
      <c r="M181" s="218" t="n"/>
      <c r="N181" s="218" t="n"/>
      <c r="O181" s="218" t="n"/>
      <c r="Q181" s="146" t="inlineStr">
        <is>
          <t>BANCO DEL BIENESTAR, S.A.</t>
        </is>
      </c>
      <c r="R181" s="146" t="n"/>
      <c r="S181" s="146" t="n"/>
      <c r="T181" s="146" t="n"/>
      <c r="U181" s="146" t="n"/>
      <c r="V181" s="146" t="n"/>
      <c r="W181" s="146" t="n"/>
      <c r="X181" s="146" t="n"/>
      <c r="Y181" s="146" t="n"/>
      <c r="Z181" s="146" t="n"/>
      <c r="AA181" s="146" t="n"/>
      <c r="AB181" s="146" t="n"/>
      <c r="AC181" s="146" t="n"/>
      <c r="AD181" s="146" t="n"/>
      <c r="AE181" s="146" t="n"/>
      <c r="AF181" s="146" t="n"/>
      <c r="AG181" s="146" t="n"/>
      <c r="AH181" s="146" t="n"/>
      <c r="AI181" s="146" t="n"/>
      <c r="AJ181" s="146" t="n"/>
      <c r="AK181" s="146" t="n"/>
      <c r="AL181" s="146" t="n"/>
      <c r="AM181" s="146" t="n"/>
      <c r="AN181" s="146" t="n"/>
      <c r="AO181" s="146" t="n"/>
      <c r="AP181" s="146" t="n"/>
      <c r="AS181" s="218" t="n"/>
      <c r="AT181" s="218" t="n"/>
      <c r="AU181" s="218" t="n"/>
      <c r="AV181" s="218" t="n"/>
      <c r="AW181" s="218" t="n"/>
      <c r="AX181" s="218" t="n"/>
      <c r="AY181" s="218" t="n"/>
      <c r="AZ181" s="218" t="n"/>
      <c r="BA181" s="218" t="n"/>
      <c r="BB181" s="218" t="n"/>
      <c r="BC181" s="218" t="n"/>
      <c r="BD181" s="218" t="n"/>
      <c r="BE181" s="218" t="n"/>
      <c r="BF181" s="218" t="n"/>
      <c r="BG181" s="218" t="n"/>
      <c r="BH181" s="218" t="n"/>
      <c r="BI181" s="218" t="n"/>
      <c r="BJ181" s="146" t="n">
        <v>88</v>
      </c>
      <c r="BK181" s="146" t="inlineStr">
        <is>
          <t>ADMINISTRACION DE EMPRESAS O NEGOCIOS FORESTALES</t>
        </is>
      </c>
      <c r="BL181" s="146" t="n"/>
      <c r="BM181" s="146" t="n"/>
      <c r="BN181" s="146" t="n"/>
      <c r="BO181" s="146" t="n"/>
      <c r="BP181" s="146" t="n"/>
      <c r="BQ181" s="146" t="n"/>
      <c r="BR181" s="146" t="n"/>
      <c r="BS181" s="146" t="n"/>
      <c r="BT181" s="146" t="n"/>
      <c r="BU181" s="218" t="n"/>
      <c r="BV181" s="218" t="n"/>
      <c r="BW181" s="218" t="n"/>
      <c r="BX181" s="218" t="n"/>
      <c r="BY181" s="218" t="n"/>
      <c r="BZ181" s="218" t="n"/>
      <c r="CA181" s="218" t="n"/>
      <c r="CB181" s="218" t="n"/>
      <c r="CC181" s="218" t="n"/>
      <c r="CD181" s="218" t="n"/>
      <c r="CE181" s="218" t="n"/>
      <c r="CF181" s="218" t="n"/>
      <c r="CG181" s="218" t="n"/>
      <c r="CH181" s="218" t="n"/>
      <c r="CI181" s="218" t="n"/>
      <c r="CJ181" s="218" t="n"/>
      <c r="CK181" s="218" t="n"/>
      <c r="CL181" s="218" t="n"/>
      <c r="CM181" s="218" t="n"/>
      <c r="CN181" s="218" t="n"/>
      <c r="CO181" s="218" t="n"/>
      <c r="CP181" s="218" t="n"/>
      <c r="CQ181" s="218" t="n"/>
      <c r="CR181" s="218" t="n"/>
      <c r="CS181" s="218" t="n"/>
      <c r="CT181" s="218" t="n"/>
      <c r="CU181" s="146" t="n">
        <v>7843</v>
      </c>
      <c r="CV181" s="146" t="inlineStr">
        <is>
          <t>VILLALOBOS VILLALOBOS AMERICA</t>
        </is>
      </c>
      <c r="CW181" s="218" t="n"/>
      <c r="CX181" s="218" t="n"/>
      <c r="CY181" s="218" t="n"/>
      <c r="CZ181" s="218" t="n"/>
      <c r="DA181" s="218" t="n"/>
      <c r="DB181" s="218" t="n"/>
      <c r="DC181" s="218" t="n"/>
    </row>
    <row r="182">
      <c r="A182" s="218" t="n"/>
      <c r="B182" s="218" t="n"/>
      <c r="C182" s="146" t="inlineStr">
        <is>
          <t>MUL</t>
        </is>
      </c>
      <c r="D182" s="146" t="n"/>
      <c r="E182" s="146" t="n"/>
      <c r="F182" s="146" t="n"/>
      <c r="G182" s="146" t="n"/>
      <c r="H182" s="146" t="n"/>
      <c r="I182" s="146" t="n"/>
      <c r="J182" s="218" t="n"/>
      <c r="K182" s="218" t="n"/>
      <c r="L182" s="218" t="n"/>
      <c r="M182" s="218" t="n"/>
      <c r="N182" s="218" t="n"/>
      <c r="O182" s="218" t="n"/>
      <c r="Q182" s="146" t="inlineStr">
        <is>
          <t>KPTL MEXICO BANK, S.A. INSTITUCION DE BANCA MULTIPLE</t>
        </is>
      </c>
      <c r="R182" s="146" t="n"/>
      <c r="S182" s="146" t="n"/>
      <c r="T182" s="146" t="n"/>
      <c r="U182" s="146" t="n"/>
      <c r="V182" s="146" t="n"/>
      <c r="W182" s="146" t="n"/>
      <c r="X182" s="146" t="n"/>
      <c r="Y182" s="146" t="n"/>
      <c r="Z182" s="146" t="n"/>
      <c r="AA182" s="146" t="n"/>
      <c r="AB182" s="146" t="n"/>
      <c r="AC182" s="146" t="n"/>
      <c r="AD182" s="146" t="n"/>
      <c r="AE182" s="146" t="n"/>
      <c r="AF182" s="146" t="n"/>
      <c r="AG182" s="146" t="n"/>
      <c r="AH182" s="146" t="n"/>
      <c r="AI182" s="146" t="n"/>
      <c r="AJ182" s="146" t="n"/>
      <c r="AK182" s="146" t="n"/>
      <c r="AL182" s="146" t="n"/>
      <c r="AM182" s="146" t="n"/>
      <c r="AN182" s="146" t="n"/>
      <c r="AO182" s="146" t="n"/>
      <c r="AP182" s="146" t="n"/>
      <c r="AS182" s="218" t="n"/>
      <c r="AT182" s="218" t="n"/>
      <c r="AU182" s="218" t="n"/>
      <c r="AV182" s="218" t="n"/>
      <c r="AW182" s="218" t="n"/>
      <c r="AX182" s="218" t="n"/>
      <c r="AY182" s="218" t="n"/>
      <c r="AZ182" s="218" t="n"/>
      <c r="BA182" s="218" t="n"/>
      <c r="BB182" s="218" t="n"/>
      <c r="BC182" s="218" t="n"/>
      <c r="BD182" s="218" t="n"/>
      <c r="BE182" s="218" t="n"/>
      <c r="BF182" s="218" t="n"/>
      <c r="BG182" s="218" t="n"/>
      <c r="BH182" s="218" t="n"/>
      <c r="BI182" s="218" t="n"/>
      <c r="BJ182" s="146" t="n">
        <v>89</v>
      </c>
      <c r="BK182" s="146" t="inlineStr">
        <is>
          <t>EXTRACCION DE PETROLEO CRUDO Y A LA EXTRACCION DE HIDROCARBUROS CRUDOS EN ESTADO GASEOSO (GAS NATURAL)</t>
        </is>
      </c>
      <c r="BL182" s="146" t="n"/>
      <c r="BM182" s="146" t="n"/>
      <c r="BN182" s="146" t="n"/>
      <c r="BO182" s="146" t="n"/>
      <c r="BP182" s="146" t="n"/>
      <c r="BQ182" s="146" t="n"/>
      <c r="BR182" s="146" t="n"/>
      <c r="BS182" s="146" t="n"/>
      <c r="BT182" s="146" t="n"/>
      <c r="BU182" s="218" t="n"/>
      <c r="BV182" s="218" t="n"/>
      <c r="BW182" s="218" t="n"/>
      <c r="BX182" s="218" t="n"/>
      <c r="BY182" s="218" t="n"/>
      <c r="BZ182" s="218" t="n"/>
      <c r="CA182" s="218" t="n"/>
      <c r="CB182" s="218" t="n"/>
      <c r="CC182" s="218" t="n"/>
      <c r="CD182" s="218" t="n"/>
      <c r="CE182" s="218" t="n"/>
      <c r="CF182" s="218" t="n"/>
      <c r="CG182" s="218" t="n"/>
      <c r="CH182" s="218" t="n"/>
      <c r="CI182" s="218" t="n"/>
      <c r="CJ182" s="218" t="n"/>
      <c r="CK182" s="218" t="n"/>
      <c r="CL182" s="218" t="n"/>
      <c r="CM182" s="218" t="n"/>
      <c r="CN182" s="218" t="n"/>
      <c r="CO182" s="218" t="n"/>
      <c r="CP182" s="218" t="n"/>
      <c r="CQ182" s="218" t="n"/>
      <c r="CR182" s="218" t="n"/>
      <c r="CS182" s="218" t="n"/>
      <c r="CT182" s="218" t="n"/>
      <c r="CU182" s="146" t="n">
        <v>7845</v>
      </c>
      <c r="CV182" s="146" t="inlineStr">
        <is>
          <t xml:space="preserve">ESPINOZA COLCHADO EDGAR ALEJANDRO </t>
        </is>
      </c>
      <c r="CW182" s="218" t="n"/>
      <c r="CX182" s="218" t="n"/>
      <c r="CY182" s="218" t="n"/>
      <c r="CZ182" s="218" t="n"/>
      <c r="DA182" s="218" t="n"/>
      <c r="DB182" s="218" t="n"/>
      <c r="DC182" s="218" t="n"/>
    </row>
    <row r="183">
      <c r="A183" s="218" t="n"/>
      <c r="B183" s="218" t="n"/>
      <c r="C183" s="218" t="n"/>
      <c r="D183" s="218" t="n"/>
      <c r="E183" s="218" t="n"/>
      <c r="F183" s="218" t="n"/>
      <c r="G183" s="218" t="n"/>
      <c r="H183" s="218" t="n"/>
      <c r="I183" s="218" t="n"/>
      <c r="J183" s="218" t="n"/>
      <c r="K183" s="218" t="n"/>
      <c r="L183" s="218" t="n"/>
      <c r="M183" s="218" t="n"/>
      <c r="N183" s="218" t="n"/>
      <c r="O183" s="218" t="n"/>
      <c r="Q183" s="146" t="inlineStr">
        <is>
          <t>BANKAOOL, S.A. INSTITUCION DE BANCA MULTIPLE</t>
        </is>
      </c>
      <c r="R183" s="146" t="n"/>
      <c r="S183" s="146" t="n"/>
      <c r="T183" s="146" t="n"/>
      <c r="U183" s="146" t="n"/>
      <c r="V183" s="146" t="n"/>
      <c r="W183" s="146" t="n"/>
      <c r="X183" s="146" t="n"/>
      <c r="Y183" s="146" t="n"/>
      <c r="Z183" s="146" t="n"/>
      <c r="AA183" s="146" t="n"/>
      <c r="AB183" s="146" t="n"/>
      <c r="AC183" s="146" t="n"/>
      <c r="AD183" s="146" t="n"/>
      <c r="AE183" s="146" t="n"/>
      <c r="AF183" s="146" t="n"/>
      <c r="AG183" s="146" t="n"/>
      <c r="AH183" s="146" t="n"/>
      <c r="AI183" s="146" t="n"/>
      <c r="AJ183" s="146" t="n"/>
      <c r="AK183" s="146" t="n"/>
      <c r="AL183" s="146" t="n"/>
      <c r="AM183" s="146" t="n"/>
      <c r="AN183" s="146" t="n"/>
      <c r="AO183" s="146" t="n"/>
      <c r="AP183" s="146" t="n"/>
      <c r="AS183" s="218" t="n"/>
      <c r="AT183" s="218" t="n"/>
      <c r="AU183" s="218" t="n"/>
      <c r="AV183" s="218" t="n"/>
      <c r="AW183" s="218" t="n"/>
      <c r="AX183" s="218" t="n"/>
      <c r="AY183" s="218" t="n"/>
      <c r="AZ183" s="218" t="n"/>
      <c r="BA183" s="218" t="n"/>
      <c r="BB183" s="218" t="n"/>
      <c r="BC183" s="218" t="n"/>
      <c r="BD183" s="218" t="n"/>
      <c r="BE183" s="218" t="n"/>
      <c r="BF183" s="218" t="n"/>
      <c r="BG183" s="218" t="n"/>
      <c r="BH183" s="218" t="n"/>
      <c r="BI183" s="218" t="n"/>
      <c r="BJ183" s="146" t="n">
        <v>90</v>
      </c>
      <c r="BK183" s="146" t="inlineStr">
        <is>
          <t>MINERIA DE CARBON MINERAL</t>
        </is>
      </c>
      <c r="BL183" s="146" t="n"/>
      <c r="BM183" s="146" t="n"/>
      <c r="BN183" s="146" t="n"/>
      <c r="BO183" s="146" t="n"/>
      <c r="BP183" s="146" t="n"/>
      <c r="BQ183" s="146" t="n"/>
      <c r="BR183" s="146" t="n"/>
      <c r="BS183" s="146" t="n"/>
      <c r="BT183" s="146" t="n"/>
      <c r="BU183" s="218" t="n"/>
      <c r="BV183" s="218" t="n"/>
      <c r="BW183" s="218" t="n"/>
      <c r="BX183" s="218" t="n"/>
      <c r="BY183" s="218" t="n"/>
      <c r="BZ183" s="218" t="n"/>
      <c r="CA183" s="218" t="n"/>
      <c r="CB183" s="218" t="n"/>
      <c r="CC183" s="218" t="n"/>
      <c r="CD183" s="218" t="n"/>
      <c r="CE183" s="218" t="n"/>
      <c r="CF183" s="218" t="n"/>
      <c r="CG183" s="218" t="n"/>
      <c r="CH183" s="218" t="n"/>
      <c r="CI183" s="218" t="n"/>
      <c r="CJ183" s="218" t="n"/>
      <c r="CK183" s="218" t="n"/>
      <c r="CL183" s="218" t="n"/>
      <c r="CM183" s="218" t="n"/>
      <c r="CN183" s="218" t="n"/>
      <c r="CO183" s="218" t="n"/>
      <c r="CP183" s="218" t="n"/>
      <c r="CQ183" s="218" t="n"/>
      <c r="CR183" s="218" t="n"/>
      <c r="CS183" s="218" t="n"/>
      <c r="CT183" s="218" t="n"/>
      <c r="CU183" s="146" t="n">
        <v>8034</v>
      </c>
      <c r="CV183" s="146" t="inlineStr">
        <is>
          <t>TORRE AGUILAR MARIA ALEJANDRA DE LA</t>
        </is>
      </c>
      <c r="CW183" s="218" t="n"/>
      <c r="CX183" s="218" t="n"/>
      <c r="CY183" s="218" t="n"/>
      <c r="CZ183" s="218" t="n"/>
      <c r="DA183" s="218" t="n"/>
      <c r="DB183" s="218" t="n"/>
      <c r="DC183" s="218" t="n"/>
    </row>
    <row r="184">
      <c r="A184" s="218" t="n"/>
      <c r="B184" s="218" t="n"/>
      <c r="C184" s="218" t="n"/>
      <c r="D184" s="218" t="n"/>
      <c r="E184" s="218" t="n"/>
      <c r="F184" s="218" t="n"/>
      <c r="G184" s="218" t="n"/>
      <c r="H184" s="218" t="n"/>
      <c r="I184" s="218" t="n"/>
      <c r="J184" s="218" t="n"/>
      <c r="K184" s="218" t="n"/>
      <c r="L184" s="218" t="n"/>
      <c r="M184" s="218" t="n"/>
      <c r="N184" s="218" t="n"/>
      <c r="O184" s="218" t="n"/>
      <c r="P184" s="218" t="n"/>
      <c r="Q184" s="218" t="n"/>
      <c r="R184" s="218" t="n"/>
      <c r="S184" s="218" t="n"/>
      <c r="T184" s="218" t="n"/>
      <c r="U184" s="218" t="n"/>
      <c r="V184" s="218" t="n"/>
      <c r="W184" s="218" t="n"/>
      <c r="X184" s="218" t="n"/>
      <c r="Y184" s="218" t="n"/>
      <c r="Z184" s="218" t="n"/>
      <c r="AA184" s="218" t="n"/>
      <c r="AB184" s="218" t="n"/>
      <c r="AC184" s="218" t="n"/>
      <c r="AD184" s="218" t="n"/>
      <c r="AE184" s="218" t="n"/>
      <c r="AF184" s="218" t="n"/>
      <c r="AG184" s="218" t="n"/>
      <c r="AH184" s="218" t="n"/>
      <c r="AI184" s="218" t="n"/>
      <c r="AJ184" s="218" t="n"/>
      <c r="AK184" s="218" t="n"/>
      <c r="AL184" s="218" t="n"/>
      <c r="AM184" s="218" t="n"/>
      <c r="AN184" s="218" t="n"/>
      <c r="AO184" s="218" t="n"/>
      <c r="AP184" s="218" t="n"/>
      <c r="AQ184" s="218" t="n"/>
      <c r="AS184" s="218" t="n"/>
      <c r="AT184" s="218" t="n"/>
      <c r="AU184" s="218" t="n"/>
      <c r="AV184" s="218" t="n"/>
      <c r="AW184" s="218" t="n"/>
      <c r="AX184" s="218" t="n"/>
      <c r="AY184" s="218" t="n"/>
      <c r="AZ184" s="218" t="n"/>
      <c r="BA184" s="218" t="n"/>
      <c r="BB184" s="218" t="n"/>
      <c r="BC184" s="218" t="n"/>
      <c r="BD184" s="218" t="n"/>
      <c r="BE184" s="218" t="n"/>
      <c r="BF184" s="218" t="n"/>
      <c r="BG184" s="218" t="n"/>
      <c r="BH184" s="218" t="n"/>
      <c r="BI184" s="218" t="n"/>
      <c r="BJ184" s="146" t="n">
        <v>91</v>
      </c>
      <c r="BK184" s="146" t="inlineStr">
        <is>
          <t>MINERIA DE HIERRO</t>
        </is>
      </c>
      <c r="BL184" s="146" t="n"/>
      <c r="BM184" s="146" t="n"/>
      <c r="BN184" s="146" t="n"/>
      <c r="BO184" s="146" t="n"/>
      <c r="BP184" s="146" t="n"/>
      <c r="BQ184" s="146" t="n"/>
      <c r="BR184" s="146" t="n"/>
      <c r="BS184" s="146" t="n"/>
      <c r="BT184" s="146" t="n"/>
      <c r="BU184" s="218" t="n"/>
      <c r="BV184" s="218" t="n"/>
      <c r="BW184" s="218" t="n"/>
      <c r="BX184" s="218" t="n"/>
      <c r="BY184" s="218" t="n"/>
      <c r="BZ184" s="218" t="n"/>
      <c r="CA184" s="218" t="n"/>
      <c r="CB184" s="218" t="n"/>
      <c r="CC184" s="218" t="n"/>
      <c r="CD184" s="218" t="n"/>
      <c r="CE184" s="218" t="n"/>
      <c r="CF184" s="218" t="n"/>
      <c r="CG184" s="218" t="n"/>
      <c r="CH184" s="218" t="n"/>
      <c r="CI184" s="218" t="n"/>
      <c r="CJ184" s="218" t="n"/>
      <c r="CK184" s="218" t="n"/>
      <c r="CL184" s="218" t="n"/>
      <c r="CM184" s="218" t="n"/>
      <c r="CN184" s="218" t="n"/>
      <c r="CO184" s="218" t="n"/>
      <c r="CP184" s="218" t="n"/>
      <c r="CQ184" s="218" t="n"/>
      <c r="CR184" s="218" t="n"/>
      <c r="CS184" s="218" t="n"/>
      <c r="CT184" s="218" t="n"/>
      <c r="CU184" s="146" t="n">
        <v>8044</v>
      </c>
      <c r="CV184" s="146" t="inlineStr">
        <is>
          <t>ADOÑO RAMIREZ MARIANA</t>
        </is>
      </c>
      <c r="CW184" s="218" t="n"/>
      <c r="CX184" s="218" t="n"/>
      <c r="CY184" s="218" t="n"/>
      <c r="CZ184" s="218" t="n"/>
      <c r="DA184" s="218" t="n"/>
      <c r="DB184" s="218" t="n"/>
      <c r="DC184" s="218" t="n"/>
    </row>
    <row r="185">
      <c r="A185" s="218" t="n"/>
      <c r="B185" s="218" t="n"/>
      <c r="C185" s="218" t="n"/>
      <c r="D185" s="218" t="n"/>
      <c r="E185" s="218" t="n"/>
      <c r="F185" s="218" t="n"/>
      <c r="G185" s="218" t="n"/>
      <c r="H185" s="218" t="n"/>
      <c r="I185" s="218" t="n"/>
      <c r="J185" s="218" t="n"/>
      <c r="K185" s="218" t="n"/>
      <c r="L185" s="218" t="n"/>
      <c r="M185" s="218" t="n"/>
      <c r="N185" s="218" t="n"/>
      <c r="O185" s="218" t="n"/>
      <c r="P185" s="218" t="n"/>
      <c r="Q185" s="218" t="n"/>
      <c r="R185" s="218" t="n"/>
      <c r="S185" s="218" t="n"/>
      <c r="T185" s="218" t="n"/>
      <c r="U185" s="218" t="n"/>
      <c r="V185" s="218" t="n"/>
      <c r="W185" s="218" t="n"/>
      <c r="X185" s="218" t="n"/>
      <c r="Y185" s="218" t="n"/>
      <c r="Z185" s="218" t="n"/>
      <c r="AA185" s="218" t="n"/>
      <c r="AB185" s="218" t="n"/>
      <c r="AC185" s="218" t="n"/>
      <c r="AD185" s="218" t="n"/>
      <c r="AE185" s="218" t="n"/>
      <c r="AF185" s="218" t="n"/>
      <c r="AG185" s="218" t="n"/>
      <c r="AH185" s="218" t="n"/>
      <c r="AI185" s="218" t="n"/>
      <c r="AJ185" s="218" t="n"/>
      <c r="AK185" s="218" t="n"/>
      <c r="AL185" s="218" t="n"/>
      <c r="AM185" s="218" t="n"/>
      <c r="AN185" s="218" t="n"/>
      <c r="AO185" s="218" t="n"/>
      <c r="AP185" s="218" t="n"/>
      <c r="AQ185" s="218" t="n"/>
      <c r="AS185" s="218" t="n"/>
      <c r="AT185" s="218" t="n"/>
      <c r="AU185" s="218" t="n"/>
      <c r="AV185" s="218" t="n"/>
      <c r="AW185" s="218" t="n"/>
      <c r="AX185" s="218" t="n"/>
      <c r="AY185" s="218" t="n"/>
      <c r="AZ185" s="218" t="n"/>
      <c r="BA185" s="218" t="n"/>
      <c r="BB185" s="218" t="n"/>
      <c r="BC185" s="218" t="n"/>
      <c r="BD185" s="218" t="n"/>
      <c r="BE185" s="218" t="n"/>
      <c r="BF185" s="218" t="n"/>
      <c r="BG185" s="218" t="n"/>
      <c r="BH185" s="218" t="n"/>
      <c r="BI185" s="218" t="n"/>
      <c r="BJ185" s="146" t="n">
        <v>92</v>
      </c>
      <c r="BK185" s="146" t="inlineStr">
        <is>
          <t>MINERIA DE ORO</t>
        </is>
      </c>
      <c r="BL185" s="146" t="n"/>
      <c r="BM185" s="146" t="n"/>
      <c r="BN185" s="146" t="n"/>
      <c r="BO185" s="146" t="n"/>
      <c r="BP185" s="146" t="n"/>
      <c r="BQ185" s="146" t="n"/>
      <c r="BR185" s="146" t="n"/>
      <c r="BS185" s="146" t="n"/>
      <c r="BT185" s="146" t="n"/>
      <c r="BU185" s="218" t="n"/>
      <c r="BV185" s="218" t="n"/>
      <c r="BW185" s="218" t="n"/>
      <c r="BX185" s="218" t="n"/>
      <c r="BY185" s="218" t="n"/>
      <c r="BZ185" s="218" t="n"/>
      <c r="CA185" s="218" t="n"/>
      <c r="CB185" s="218" t="n"/>
      <c r="CC185" s="218" t="n"/>
      <c r="CD185" s="218" t="n"/>
      <c r="CE185" s="218" t="n"/>
      <c r="CF185" s="218" t="n"/>
      <c r="CG185" s="218" t="n"/>
      <c r="CH185" s="218" t="n"/>
      <c r="CI185" s="218" t="n"/>
      <c r="CJ185" s="218" t="n"/>
      <c r="CK185" s="218" t="n"/>
      <c r="CL185" s="218" t="n"/>
      <c r="CM185" s="218" t="n"/>
      <c r="CN185" s="218" t="n"/>
      <c r="CO185" s="218" t="n"/>
      <c r="CP185" s="218" t="n"/>
      <c r="CQ185" s="218" t="n"/>
      <c r="CR185" s="218" t="n"/>
      <c r="CS185" s="218" t="n"/>
      <c r="CT185" s="218" t="n"/>
      <c r="CU185" s="146" t="n">
        <v>8115</v>
      </c>
      <c r="CV185" s="146" t="inlineStr">
        <is>
          <t>CANDELARIO NAVA BRENDA CAROLINA</t>
        </is>
      </c>
      <c r="CW185" s="218" t="n"/>
      <c r="CX185" s="218" t="n"/>
      <c r="CY185" s="218" t="n"/>
      <c r="CZ185" s="218" t="n"/>
      <c r="DA185" s="218" t="n"/>
      <c r="DB185" s="218" t="n"/>
      <c r="DC185" s="218" t="n"/>
    </row>
    <row r="186">
      <c r="A186" s="218" t="n"/>
      <c r="B186" s="218" t="n"/>
      <c r="C186" s="218" t="n"/>
      <c r="D186" s="218" t="n"/>
      <c r="E186" s="218" t="n"/>
      <c r="F186" s="218" t="n"/>
      <c r="G186" s="218" t="n"/>
      <c r="H186" s="218" t="n"/>
      <c r="I186" s="218" t="n"/>
      <c r="J186" s="218" t="n"/>
      <c r="K186" s="218" t="n"/>
      <c r="L186" s="218" t="n"/>
      <c r="M186" s="218" t="n"/>
      <c r="N186" s="218" t="n"/>
      <c r="O186" s="218" t="n"/>
      <c r="P186" s="218" t="n"/>
      <c r="Q186" s="218" t="n"/>
      <c r="R186" s="218" t="n"/>
      <c r="S186" s="218" t="n"/>
      <c r="T186" s="218" t="n"/>
      <c r="U186" s="218" t="n"/>
      <c r="V186" s="218" t="n"/>
      <c r="W186" s="218" t="n"/>
      <c r="X186" s="218" t="n"/>
      <c r="Y186" s="218" t="n"/>
      <c r="Z186" s="218" t="n"/>
      <c r="AA186" s="218" t="n"/>
      <c r="AB186" s="218" t="n"/>
      <c r="AC186" s="218" t="n"/>
      <c r="AD186" s="218" t="n"/>
      <c r="AE186" s="218" t="n"/>
      <c r="AF186" s="218" t="n"/>
      <c r="AG186" s="218" t="n"/>
      <c r="AH186" s="218" t="n"/>
      <c r="AI186" s="218" t="n"/>
      <c r="AJ186" s="218" t="n"/>
      <c r="AK186" s="218" t="n"/>
      <c r="AL186" s="218" t="n"/>
      <c r="AM186" s="218" t="n"/>
      <c r="AN186" s="218" t="n"/>
      <c r="AO186" s="218" t="n"/>
      <c r="AP186" s="218" t="n"/>
      <c r="AQ186" s="218" t="n"/>
      <c r="AS186" s="218" t="n"/>
      <c r="AT186" s="218" t="n"/>
      <c r="AU186" s="218" t="n"/>
      <c r="AV186" s="218" t="n"/>
      <c r="AW186" s="218" t="n"/>
      <c r="AX186" s="218" t="n"/>
      <c r="AY186" s="218" t="n"/>
      <c r="AZ186" s="218" t="n"/>
      <c r="BA186" s="218" t="n"/>
      <c r="BB186" s="218" t="n"/>
      <c r="BC186" s="218" t="n"/>
      <c r="BD186" s="218" t="n"/>
      <c r="BE186" s="218" t="n"/>
      <c r="BF186" s="218" t="n"/>
      <c r="BG186" s="218" t="n"/>
      <c r="BH186" s="218" t="n"/>
      <c r="BI186" s="218" t="n"/>
      <c r="BJ186" s="146" t="n">
        <v>93</v>
      </c>
      <c r="BK186" s="146" t="inlineStr">
        <is>
          <t>MINERIA DE PLATA</t>
        </is>
      </c>
      <c r="BL186" s="146" t="n"/>
      <c r="BM186" s="146" t="n"/>
      <c r="BN186" s="146" t="n"/>
      <c r="BO186" s="146" t="n"/>
      <c r="BP186" s="146" t="n"/>
      <c r="BQ186" s="146" t="n"/>
      <c r="BR186" s="146" t="n"/>
      <c r="BS186" s="146" t="n"/>
      <c r="BT186" s="146" t="n"/>
      <c r="BU186" s="218" t="n"/>
      <c r="BV186" s="218" t="n"/>
      <c r="BW186" s="218" t="n"/>
      <c r="BX186" s="218" t="n"/>
      <c r="BY186" s="218" t="n"/>
      <c r="BZ186" s="218" t="n"/>
      <c r="CA186" s="218" t="n"/>
      <c r="CB186" s="218" t="n"/>
      <c r="CC186" s="218" t="n"/>
      <c r="CD186" s="218" t="n"/>
      <c r="CE186" s="218" t="n"/>
      <c r="CF186" s="218" t="n"/>
      <c r="CG186" s="218" t="n"/>
      <c r="CH186" s="218" t="n"/>
      <c r="CI186" s="218" t="n"/>
      <c r="CJ186" s="218" t="n"/>
      <c r="CK186" s="218" t="n"/>
      <c r="CL186" s="218" t="n"/>
      <c r="CM186" s="218" t="n"/>
      <c r="CN186" s="218" t="n"/>
      <c r="CO186" s="218" t="n"/>
      <c r="CP186" s="218" t="n"/>
      <c r="CQ186" s="218" t="n"/>
      <c r="CR186" s="218" t="n"/>
      <c r="CS186" s="218" t="n"/>
      <c r="CT186" s="218" t="n"/>
      <c r="CU186" s="146" t="n">
        <v>8116</v>
      </c>
      <c r="CV186" s="146" t="inlineStr">
        <is>
          <t>TELLES RIVERA ANDRES</t>
        </is>
      </c>
      <c r="CW186" s="218" t="n"/>
      <c r="CX186" s="218" t="n"/>
      <c r="CY186" s="218" t="n"/>
      <c r="CZ186" s="218" t="n"/>
      <c r="DA186" s="218" t="n"/>
      <c r="DB186" s="218" t="n"/>
      <c r="DC186" s="218" t="n"/>
    </row>
    <row r="187">
      <c r="A187" s="218" t="n"/>
      <c r="B187" s="218" t="n"/>
      <c r="C187" s="218" t="n"/>
      <c r="D187" s="218" t="n"/>
      <c r="E187" s="218" t="n"/>
      <c r="F187" s="218" t="n"/>
      <c r="G187" s="218" t="n"/>
      <c r="H187" s="218" t="n"/>
      <c r="I187" s="218" t="n"/>
      <c r="J187" s="218" t="n"/>
      <c r="K187" s="218" t="n"/>
      <c r="L187" s="218" t="n"/>
      <c r="M187" s="218" t="n"/>
      <c r="N187" s="218" t="n"/>
      <c r="O187" s="218" t="n"/>
      <c r="P187" s="218" t="n"/>
      <c r="Q187" s="218" t="n"/>
      <c r="R187" s="218" t="n"/>
      <c r="S187" s="218" t="n"/>
      <c r="T187" s="218" t="n"/>
      <c r="U187" s="218" t="n"/>
      <c r="V187" s="218" t="n"/>
      <c r="W187" s="218" t="n"/>
      <c r="X187" s="218" t="n"/>
      <c r="Y187" s="218" t="n"/>
      <c r="Z187" s="218" t="n"/>
      <c r="AA187" s="218" t="n"/>
      <c r="AB187" s="218" t="n"/>
      <c r="AC187" s="218" t="n"/>
      <c r="AD187" s="218" t="n"/>
      <c r="AE187" s="218" t="n"/>
      <c r="AF187" s="218" t="n"/>
      <c r="AG187" s="218" t="n"/>
      <c r="AH187" s="218" t="n"/>
      <c r="AI187" s="218" t="n"/>
      <c r="AJ187" s="218" t="n"/>
      <c r="AK187" s="218" t="n"/>
      <c r="AL187" s="218" t="n"/>
      <c r="AM187" s="218" t="n"/>
      <c r="AN187" s="218" t="n"/>
      <c r="AO187" s="218" t="n"/>
      <c r="AP187" s="218" t="n"/>
      <c r="AQ187" s="218" t="n"/>
      <c r="AS187" s="218" t="n"/>
      <c r="AT187" s="218" t="n"/>
      <c r="AU187" s="218" t="n"/>
      <c r="AV187" s="218" t="n"/>
      <c r="AW187" s="218" t="n"/>
      <c r="AX187" s="218" t="n"/>
      <c r="AY187" s="218" t="n"/>
      <c r="AZ187" s="218" t="n"/>
      <c r="BA187" s="218" t="n"/>
      <c r="BB187" s="218" t="n"/>
      <c r="BC187" s="218" t="n"/>
      <c r="BD187" s="218" t="n"/>
      <c r="BE187" s="218" t="n"/>
      <c r="BF187" s="218" t="n"/>
      <c r="BG187" s="218" t="n"/>
      <c r="BH187" s="218" t="n"/>
      <c r="BI187" s="218" t="n"/>
      <c r="BJ187" s="146" t="n">
        <v>94</v>
      </c>
      <c r="BK187" s="146" t="inlineStr">
        <is>
          <t>MINERIA DE COBRE Y NIQUEL</t>
        </is>
      </c>
      <c r="BL187" s="146" t="n"/>
      <c r="BM187" s="146" t="n"/>
      <c r="BN187" s="146" t="n"/>
      <c r="BO187" s="146" t="n"/>
      <c r="BP187" s="146" t="n"/>
      <c r="BQ187" s="146" t="n"/>
      <c r="BR187" s="146" t="n"/>
      <c r="BS187" s="146" t="n"/>
      <c r="BT187" s="146" t="n"/>
      <c r="BU187" s="218" t="n"/>
      <c r="BV187" s="218" t="n"/>
      <c r="BW187" s="218" t="n"/>
      <c r="BX187" s="218" t="n"/>
      <c r="BY187" s="218" t="n"/>
      <c r="BZ187" s="218" t="n"/>
      <c r="CA187" s="218" t="n"/>
      <c r="CB187" s="218" t="n"/>
      <c r="CC187" s="218" t="n"/>
      <c r="CD187" s="218" t="n"/>
      <c r="CE187" s="218" t="n"/>
      <c r="CF187" s="218" t="n"/>
      <c r="CG187" s="218" t="n"/>
      <c r="CH187" s="218" t="n"/>
      <c r="CI187" s="218" t="n"/>
      <c r="CJ187" s="218" t="n"/>
      <c r="CK187" s="218" t="n"/>
      <c r="CL187" s="218" t="n"/>
      <c r="CM187" s="218" t="n"/>
      <c r="CN187" s="218" t="n"/>
      <c r="CO187" s="218" t="n"/>
      <c r="CP187" s="218" t="n"/>
      <c r="CQ187" s="218" t="n"/>
      <c r="CR187" s="218" t="n"/>
      <c r="CS187" s="218" t="n"/>
      <c r="CT187" s="218" t="n"/>
      <c r="CU187" s="218" t="n">
        <v>8117</v>
      </c>
      <c r="CV187" s="218" t="inlineStr">
        <is>
          <t>BUENROSTRO CISNEROS TERESA</t>
        </is>
      </c>
      <c r="CW187" s="218" t="n"/>
      <c r="CX187" s="218" t="n"/>
      <c r="CY187" s="218" t="n"/>
      <c r="CZ187" s="218" t="n"/>
      <c r="DA187" s="218" t="n"/>
      <c r="DB187" s="218" t="n"/>
      <c r="DC187" s="218" t="n"/>
    </row>
    <row r="188">
      <c r="A188" s="218" t="n"/>
      <c r="B188" s="218" t="n"/>
      <c r="C188" s="218" t="n"/>
      <c r="D188" s="218" t="n"/>
      <c r="E188" s="218" t="n"/>
      <c r="F188" s="218" t="n"/>
      <c r="G188" s="218" t="n"/>
      <c r="H188" s="218" t="n"/>
      <c r="I188" s="218" t="n"/>
      <c r="J188" s="218" t="n"/>
      <c r="K188" s="218" t="n"/>
      <c r="L188" s="218" t="n"/>
      <c r="M188" s="218" t="n"/>
      <c r="N188" s="218" t="n"/>
      <c r="O188" s="218" t="n"/>
      <c r="AS188" s="218" t="n"/>
      <c r="AT188" s="218" t="n"/>
      <c r="AU188" s="218" t="n"/>
      <c r="AV188" s="218" t="n"/>
      <c r="AW188" s="218" t="n"/>
      <c r="AX188" s="218" t="n"/>
      <c r="AY188" s="218" t="n"/>
      <c r="AZ188" s="218" t="n"/>
      <c r="BA188" s="218" t="n"/>
      <c r="BB188" s="218" t="n"/>
      <c r="BC188" s="218" t="n"/>
      <c r="BD188" s="218" t="n"/>
      <c r="BE188" s="218" t="n"/>
      <c r="BF188" s="218" t="n"/>
      <c r="BG188" s="218" t="n"/>
      <c r="BH188" s="218" t="n"/>
      <c r="BI188" s="218" t="n"/>
      <c r="BJ188" s="146" t="n">
        <v>95</v>
      </c>
      <c r="BK188" s="146" t="inlineStr">
        <is>
          <t>MINERIA DE PLOMO Y ZINC</t>
        </is>
      </c>
      <c r="BL188" s="146" t="n"/>
      <c r="BM188" s="146" t="n"/>
      <c r="BN188" s="146" t="n"/>
      <c r="BO188" s="146" t="n"/>
      <c r="BP188" s="146" t="n"/>
      <c r="BQ188" s="146" t="n"/>
      <c r="BR188" s="146" t="n"/>
      <c r="BS188" s="146" t="n"/>
      <c r="BT188" s="146" t="n"/>
      <c r="BU188" s="218" t="n"/>
      <c r="BV188" s="218" t="n"/>
      <c r="BW188" s="218" t="n"/>
      <c r="BX188" s="218" t="n"/>
      <c r="BY188" s="218" t="n"/>
      <c r="BZ188" s="218" t="n"/>
      <c r="CA188" s="218" t="n"/>
      <c r="CB188" s="218" t="n"/>
      <c r="CC188" s="218" t="n"/>
      <c r="CD188" s="218" t="n"/>
      <c r="CE188" s="218" t="n"/>
      <c r="CF188" s="218" t="n"/>
      <c r="CG188" s="218" t="n"/>
      <c r="CH188" s="218" t="n"/>
      <c r="CI188" s="218" t="n"/>
      <c r="CJ188" s="218" t="n"/>
      <c r="CK188" s="218" t="n"/>
      <c r="CL188" s="218" t="n"/>
      <c r="CM188" s="218" t="n"/>
      <c r="CN188" s="218" t="n"/>
      <c r="CO188" s="218" t="n"/>
      <c r="CP188" s="218" t="n"/>
      <c r="CQ188" s="218" t="n"/>
      <c r="CR188" s="218" t="n"/>
      <c r="CS188" s="218" t="n"/>
      <c r="CT188" s="218" t="n"/>
      <c r="CU188" s="146" t="n">
        <v>8125</v>
      </c>
      <c r="CV188" s="146" t="inlineStr">
        <is>
          <t>MEZA BERNAL DIEGO GIOVANI</t>
        </is>
      </c>
      <c r="CW188" s="218" t="n"/>
      <c r="CX188" s="218" t="n"/>
      <c r="CY188" s="218" t="n"/>
      <c r="CZ188" s="218" t="n"/>
      <c r="DA188" s="218" t="n"/>
      <c r="DB188" s="218" t="n"/>
      <c r="DC188" s="218" t="n"/>
    </row>
    <row r="189">
      <c r="A189" s="218" t="n"/>
      <c r="B189" s="218" t="n"/>
      <c r="C189" s="218" t="n"/>
      <c r="D189" s="218" t="n"/>
      <c r="E189" s="218" t="n"/>
      <c r="F189" s="218" t="n"/>
      <c r="G189" s="218" t="n"/>
      <c r="H189" s="218" t="n"/>
      <c r="I189" s="218" t="n"/>
      <c r="J189" s="218" t="n"/>
      <c r="K189" s="218" t="n"/>
      <c r="L189" s="218" t="n"/>
      <c r="M189" s="218" t="n"/>
      <c r="N189" s="218" t="n"/>
      <c r="O189" s="218" t="n"/>
      <c r="AS189" s="218" t="n"/>
      <c r="AT189" s="218" t="n"/>
      <c r="AU189" s="218" t="n"/>
      <c r="AV189" s="218" t="n"/>
      <c r="AW189" s="218" t="n"/>
      <c r="AX189" s="218" t="n"/>
      <c r="AY189" s="218" t="n"/>
      <c r="AZ189" s="218" t="n"/>
      <c r="BA189" s="218" t="n"/>
      <c r="BB189" s="218" t="n"/>
      <c r="BC189" s="218" t="n"/>
      <c r="BD189" s="218" t="n"/>
      <c r="BE189" s="218" t="n"/>
      <c r="BF189" s="218" t="n"/>
      <c r="BG189" s="218" t="n"/>
      <c r="BH189" s="218" t="n"/>
      <c r="BI189" s="218" t="n"/>
      <c r="BJ189" s="146" t="n">
        <v>98</v>
      </c>
      <c r="BK189" s="146" t="inlineStr">
        <is>
          <t>MINERIA DE URANIO Y MINERALES RADIACTIVOS</t>
        </is>
      </c>
      <c r="BL189" s="146" t="n"/>
      <c r="BM189" s="146" t="n"/>
      <c r="BN189" s="146" t="n"/>
      <c r="BO189" s="146" t="n"/>
      <c r="BP189" s="146" t="n"/>
      <c r="BQ189" s="146" t="n"/>
      <c r="BR189" s="146" t="n"/>
      <c r="BS189" s="146" t="n"/>
      <c r="BT189" s="146" t="n"/>
      <c r="BU189" s="218" t="n"/>
      <c r="BV189" s="218" t="n"/>
      <c r="BW189" s="218" t="n"/>
      <c r="BX189" s="218" t="n"/>
      <c r="BY189" s="218" t="n"/>
      <c r="BZ189" s="218" t="n"/>
      <c r="CA189" s="218" t="n"/>
      <c r="CB189" s="218" t="n"/>
      <c r="CC189" s="218" t="n"/>
      <c r="CD189" s="218" t="n"/>
      <c r="CE189" s="218" t="n"/>
      <c r="CF189" s="218" t="n"/>
      <c r="CG189" s="218" t="n"/>
      <c r="CH189" s="218" t="n"/>
      <c r="CI189" s="218" t="n"/>
      <c r="CJ189" s="218" t="n"/>
      <c r="CK189" s="218" t="n"/>
      <c r="CL189" s="218" t="n"/>
      <c r="CM189" s="218" t="n"/>
      <c r="CN189" s="218" t="n"/>
      <c r="CO189" s="218" t="n"/>
      <c r="CP189" s="218" t="n"/>
      <c r="CQ189" s="218" t="n"/>
      <c r="CR189" s="218" t="n"/>
      <c r="CS189" s="218" t="n"/>
      <c r="CT189" s="218" t="n"/>
      <c r="CU189" s="146" t="n">
        <v>8126</v>
      </c>
      <c r="CV189" s="146" t="inlineStr">
        <is>
          <t>LOPEZ REYNOSO VERONICA</t>
        </is>
      </c>
      <c r="CW189" s="218" t="n"/>
      <c r="CX189" s="218" t="n"/>
      <c r="CY189" s="218" t="n"/>
      <c r="CZ189" s="218" t="n"/>
      <c r="DA189" s="218" t="n"/>
      <c r="DB189" s="218" t="n"/>
      <c r="DC189" s="218" t="n"/>
    </row>
    <row r="190">
      <c r="A190" s="218" t="n"/>
      <c r="B190" s="218" t="n"/>
      <c r="C190" s="218" t="n"/>
      <c r="D190" s="218" t="n"/>
      <c r="E190" s="218" t="n"/>
      <c r="F190" s="218" t="n"/>
      <c r="G190" s="218" t="n"/>
      <c r="H190" s="218" t="n"/>
      <c r="I190" s="218" t="n"/>
      <c r="J190" s="218" t="n"/>
      <c r="K190" s="218" t="n"/>
      <c r="L190" s="218" t="n"/>
      <c r="M190" s="218" t="n"/>
      <c r="N190" s="218" t="n"/>
      <c r="O190" s="218" t="n"/>
      <c r="P190" s="145" t="inlineStr">
        <is>
          <t>No.</t>
        </is>
      </c>
      <c r="Q190" s="145" t="inlineStr">
        <is>
          <t>Clasificación de Cifras Cobradas</t>
        </is>
      </c>
      <c r="R190" s="146" t="n"/>
      <c r="S190" s="146" t="n"/>
      <c r="T190" s="146" t="n"/>
      <c r="U190" s="146" t="n"/>
      <c r="V190" s="146" t="n"/>
      <c r="W190" s="146" t="n"/>
      <c r="X190" s="146" t="n"/>
      <c r="Y190" s="146" t="n"/>
      <c r="Z190" s="146" t="n"/>
      <c r="AA190" s="146" t="n"/>
      <c r="AB190" s="146" t="n"/>
      <c r="AC190" s="146" t="n"/>
      <c r="AD190" s="146" t="n"/>
      <c r="AE190" s="146" t="n"/>
      <c r="AF190" s="146" t="n"/>
      <c r="AG190" s="146" t="n"/>
      <c r="AH190" s="146" t="n"/>
      <c r="AI190" s="146" t="n"/>
      <c r="AJ190" s="146" t="n"/>
      <c r="AK190" s="146" t="n"/>
      <c r="AL190" s="146" t="n"/>
      <c r="AM190" s="146" t="n"/>
      <c r="AN190" s="146" t="n"/>
      <c r="AO190" s="146" t="n"/>
      <c r="AP190" s="146" t="n"/>
      <c r="AQ190" s="146" t="n"/>
      <c r="AR190" s="146" t="n"/>
      <c r="AS190" s="218" t="n"/>
      <c r="AT190" s="218" t="n"/>
      <c r="AU190" s="218" t="n"/>
      <c r="AV190" s="218" t="n"/>
      <c r="AW190" s="218" t="n"/>
      <c r="AX190" s="218" t="n"/>
      <c r="AY190" s="218" t="n"/>
      <c r="AZ190" s="218" t="n"/>
      <c r="BA190" s="218" t="n"/>
      <c r="BB190" s="218" t="n"/>
      <c r="BC190" s="218" t="n"/>
      <c r="BD190" s="218" t="n"/>
      <c r="BE190" s="218" t="n"/>
      <c r="BF190" s="218" t="n"/>
      <c r="BG190" s="218" t="n"/>
      <c r="BH190" s="218" t="n"/>
      <c r="BI190" s="218" t="n"/>
      <c r="BJ190" s="146" t="n">
        <v>99</v>
      </c>
      <c r="BK190" s="146" t="inlineStr">
        <is>
          <t>MINERIA DE OTROS MINERALES METALICOS</t>
        </is>
      </c>
      <c r="BL190" s="146" t="n"/>
      <c r="BM190" s="146" t="n"/>
      <c r="BN190" s="146" t="n"/>
      <c r="BO190" s="146" t="n"/>
      <c r="BP190" s="146" t="n"/>
      <c r="BQ190" s="146" t="n"/>
      <c r="BR190" s="146" t="n"/>
      <c r="BS190" s="146" t="n"/>
      <c r="BT190" s="146" t="n"/>
      <c r="BU190" s="218" t="n"/>
      <c r="BV190" s="218" t="n"/>
      <c r="BW190" s="218" t="n"/>
      <c r="BX190" s="218" t="n"/>
      <c r="BY190" s="218" t="n"/>
      <c r="BZ190" s="218" t="n"/>
      <c r="CA190" s="218" t="n"/>
      <c r="CB190" s="218" t="n"/>
      <c r="CC190" s="218" t="n"/>
      <c r="CD190" s="218" t="n"/>
      <c r="CE190" s="218" t="n"/>
      <c r="CF190" s="218" t="n"/>
      <c r="CG190" s="218" t="n"/>
      <c r="CH190" s="218" t="n"/>
      <c r="CI190" s="218" t="n"/>
      <c r="CJ190" s="218" t="n"/>
      <c r="CK190" s="218" t="n"/>
      <c r="CL190" s="218" t="n"/>
      <c r="CM190" s="218" t="n"/>
      <c r="CN190" s="218" t="n"/>
      <c r="CO190" s="218" t="n"/>
      <c r="CP190" s="218" t="n"/>
      <c r="CQ190" s="218" t="n"/>
      <c r="CR190" s="218" t="n"/>
      <c r="CS190" s="218" t="n"/>
      <c r="CT190" s="218" t="n"/>
      <c r="CU190" s="146" t="n">
        <v>8150</v>
      </c>
      <c r="CV190" s="146" t="inlineStr">
        <is>
          <t>BALTAZAR MENDIOLA BLAS FERNANDO</t>
        </is>
      </c>
      <c r="CW190" s="218" t="n"/>
      <c r="CX190" s="218" t="n"/>
      <c r="CY190" s="218" t="n"/>
      <c r="CZ190" s="218" t="n"/>
      <c r="DA190" s="218" t="n"/>
      <c r="DB190" s="218" t="n"/>
      <c r="DC190" s="218" t="n"/>
    </row>
    <row r="191">
      <c r="A191" s="218" t="n"/>
      <c r="B191" s="218" t="n"/>
      <c r="J191" s="218" t="n"/>
      <c r="K191" s="218" t="n"/>
      <c r="L191" s="218" t="n"/>
      <c r="M191" s="218" t="n"/>
      <c r="N191" s="218" t="n"/>
      <c r="O191" s="218" t="n"/>
      <c r="P191" s="154" t="n">
        <v>1</v>
      </c>
      <c r="Q191" s="146" t="inlineStr">
        <is>
          <t>AUTOCORRECCION TOTAL</t>
        </is>
      </c>
      <c r="R191" s="146" t="n"/>
      <c r="S191" s="146" t="n"/>
      <c r="T191" s="146" t="n"/>
      <c r="U191" s="146" t="n"/>
      <c r="V191" s="146" t="n"/>
      <c r="W191" s="146" t="n"/>
      <c r="X191" s="146" t="n"/>
      <c r="Y191" s="146" t="n"/>
      <c r="Z191" s="146" t="n"/>
      <c r="AA191" s="146" t="n"/>
      <c r="AB191" s="146" t="n"/>
      <c r="AC191" s="146" t="n"/>
      <c r="AD191" s="146" t="n"/>
      <c r="AE191" s="146" t="n"/>
      <c r="AF191" s="146" t="n"/>
      <c r="AG191" s="146" t="n"/>
      <c r="AH191" s="146" t="n"/>
      <c r="AI191" s="146" t="n"/>
      <c r="AJ191" s="146" t="n"/>
      <c r="AK191" s="146" t="n"/>
      <c r="AL191" s="146" t="n"/>
      <c r="AM191" s="146" t="n"/>
      <c r="AN191" s="146" t="n"/>
      <c r="AO191" s="146" t="n"/>
      <c r="AP191" s="146" t="n"/>
      <c r="AQ191" s="146" t="n"/>
      <c r="AR191" s="146" t="n"/>
      <c r="AS191" s="218" t="n"/>
      <c r="AT191" s="218" t="n"/>
      <c r="AU191" s="218" t="n"/>
      <c r="AV191" s="218" t="n"/>
      <c r="AW191" s="218" t="n"/>
      <c r="AX191" s="218" t="n"/>
      <c r="AY191" s="218" t="n"/>
      <c r="AZ191" s="218" t="n"/>
      <c r="BA191" s="218" t="n"/>
      <c r="BB191" s="218" t="n"/>
      <c r="BC191" s="218" t="n"/>
      <c r="BD191" s="218" t="n"/>
      <c r="BE191" s="218" t="n"/>
      <c r="BF191" s="218" t="n"/>
      <c r="BG191" s="218" t="n"/>
      <c r="BH191" s="218" t="n"/>
      <c r="BI191" s="218" t="n"/>
      <c r="BJ191" s="146" t="n">
        <v>100</v>
      </c>
      <c r="BK191" s="146" t="inlineStr">
        <is>
          <t>MINERIA DE PIEDRA DE CAL</t>
        </is>
      </c>
      <c r="BL191" s="146" t="n"/>
      <c r="BM191" s="146" t="n"/>
      <c r="BN191" s="146" t="n"/>
      <c r="BO191" s="146" t="n"/>
      <c r="BP191" s="146" t="n"/>
      <c r="BQ191" s="146" t="n"/>
      <c r="BR191" s="146" t="n"/>
      <c r="BS191" s="146" t="n"/>
      <c r="BT191" s="146" t="n"/>
      <c r="BU191" s="218" t="n"/>
      <c r="BV191" s="218" t="n"/>
      <c r="BW191" s="218" t="n"/>
      <c r="BX191" s="218" t="n"/>
      <c r="BY191" s="218" t="n"/>
      <c r="BZ191" s="218" t="n"/>
      <c r="CA191" s="218" t="n"/>
      <c r="CB191" s="218" t="n"/>
      <c r="CC191" s="218" t="n"/>
      <c r="CD191" s="218" t="n"/>
      <c r="CE191" s="218" t="n"/>
      <c r="CF191" s="218" t="n"/>
      <c r="CG191" s="218" t="n"/>
      <c r="CH191" s="218" t="n"/>
      <c r="CI191" s="218" t="n"/>
      <c r="CJ191" s="218" t="n"/>
      <c r="CK191" s="218" t="n"/>
      <c r="CL191" s="218" t="n"/>
      <c r="CM191" s="218" t="n"/>
      <c r="CN191" s="218" t="n"/>
      <c r="CO191" s="218" t="n"/>
      <c r="CP191" s="218" t="n"/>
      <c r="CQ191" s="218" t="n"/>
      <c r="CR191" s="218" t="n"/>
      <c r="CS191" s="218" t="n"/>
      <c r="CT191" s="218" t="n"/>
      <c r="CU191" s="146" t="n">
        <v>8150</v>
      </c>
      <c r="CV191" s="146" t="inlineStr">
        <is>
          <t>MATAMOROS PÉREZ GABRIELA</t>
        </is>
      </c>
      <c r="CW191" s="218" t="n"/>
      <c r="CX191" s="218" t="n"/>
      <c r="CY191" s="218" t="n"/>
      <c r="CZ191" s="218" t="n"/>
      <c r="DA191" s="218" t="n"/>
      <c r="DB191" s="218" t="n"/>
      <c r="DC191" s="218" t="n"/>
    </row>
    <row r="192">
      <c r="A192" s="218" t="n"/>
      <c r="B192" s="218" t="n"/>
      <c r="J192" s="218" t="n"/>
      <c r="K192" s="218" t="n"/>
      <c r="L192" s="218" t="n"/>
      <c r="M192" s="218" t="n"/>
      <c r="N192" s="218" t="n"/>
      <c r="O192" s="218" t="n"/>
      <c r="P192" s="154" t="n">
        <v>2</v>
      </c>
      <c r="Q192" s="146" t="inlineStr">
        <is>
          <t>AUTOCORRECCION PARCIAL (EJERCICIO O PERIODO E IMPUESTOS REVISADOS)</t>
        </is>
      </c>
      <c r="R192" s="146" t="n"/>
      <c r="S192" s="146" t="n"/>
      <c r="T192" s="146" t="n"/>
      <c r="U192" s="146" t="n"/>
      <c r="V192" s="146" t="n"/>
      <c r="W192" s="146" t="n"/>
      <c r="X192" s="146" t="n"/>
      <c r="Y192" s="146" t="n"/>
      <c r="Z192" s="146" t="n"/>
      <c r="AA192" s="146" t="n"/>
      <c r="AB192" s="146" t="n"/>
      <c r="AC192" s="146" t="n"/>
      <c r="AD192" s="146" t="n"/>
      <c r="AE192" s="146" t="n"/>
      <c r="AF192" s="146" t="n"/>
      <c r="AG192" s="146" t="n"/>
      <c r="AH192" s="146" t="n"/>
      <c r="AI192" s="146" t="n"/>
      <c r="AJ192" s="146" t="n"/>
      <c r="AK192" s="146" t="n"/>
      <c r="AL192" s="146" t="n"/>
      <c r="AM192" s="146" t="n"/>
      <c r="AN192" s="146" t="n"/>
      <c r="AO192" s="146" t="n"/>
      <c r="AP192" s="146" t="n"/>
      <c r="AQ192" s="146" t="n"/>
      <c r="AR192" s="146" t="n"/>
      <c r="AS192" s="218" t="n"/>
      <c r="AT192" s="218" t="n"/>
      <c r="AU192" s="218" t="n"/>
      <c r="AV192" s="218" t="n"/>
      <c r="AW192" s="218" t="n"/>
      <c r="AX192" s="218" t="n"/>
      <c r="AY192" s="218" t="n"/>
      <c r="AZ192" s="218" t="n"/>
      <c r="BA192" s="218" t="n"/>
      <c r="BB192" s="218" t="n"/>
      <c r="BC192" s="218" t="n"/>
      <c r="BD192" s="218" t="n"/>
      <c r="BE192" s="218" t="n"/>
      <c r="BF192" s="218" t="n"/>
      <c r="BG192" s="218" t="n"/>
      <c r="BH192" s="218" t="n"/>
      <c r="BI192" s="218" t="n"/>
      <c r="BJ192" s="146" t="n">
        <v>101</v>
      </c>
      <c r="BK192" s="146" t="inlineStr">
        <is>
          <t>MINERIA DE MARMOL</t>
        </is>
      </c>
      <c r="BL192" s="146" t="n"/>
      <c r="BM192" s="146" t="n"/>
      <c r="BN192" s="146" t="n"/>
      <c r="BO192" s="146" t="n"/>
      <c r="BP192" s="146" t="n"/>
      <c r="BQ192" s="146" t="n"/>
      <c r="BR192" s="146" t="n"/>
      <c r="BS192" s="146" t="n"/>
      <c r="BT192" s="146" t="n"/>
      <c r="BU192" s="218" t="n"/>
      <c r="BV192" s="218" t="n"/>
      <c r="BW192" s="218" t="n"/>
      <c r="BX192" s="218" t="n"/>
      <c r="BY192" s="218" t="n"/>
      <c r="BZ192" s="218" t="n"/>
      <c r="CA192" s="218" t="n"/>
      <c r="CB192" s="218" t="n"/>
      <c r="CC192" s="218" t="n"/>
      <c r="CD192" s="218" t="n"/>
      <c r="CE192" s="218" t="n"/>
      <c r="CF192" s="218" t="n"/>
      <c r="CG192" s="218" t="n"/>
      <c r="CH192" s="218" t="n"/>
      <c r="CI192" s="218" t="n"/>
      <c r="CJ192" s="218" t="n"/>
      <c r="CK192" s="218" t="n"/>
      <c r="CL192" s="218" t="n"/>
      <c r="CM192" s="218" t="n"/>
      <c r="CN192" s="218" t="n"/>
      <c r="CO192" s="218" t="n"/>
      <c r="CP192" s="218" t="n"/>
      <c r="CQ192" s="218" t="n"/>
      <c r="CR192" s="218" t="n"/>
      <c r="CS192" s="218" t="n"/>
      <c r="CT192" s="218" t="n"/>
      <c r="CU192" s="146" t="n">
        <v>8151</v>
      </c>
      <c r="CV192" s="146" t="inlineStr">
        <is>
          <t xml:space="preserve">BUENO DEL REAL NORMA ANGELICA </t>
        </is>
      </c>
      <c r="CW192" s="218" t="n"/>
      <c r="CX192" s="218" t="n"/>
      <c r="CY192" s="218" t="n"/>
      <c r="CZ192" s="218" t="n"/>
      <c r="DA192" s="218" t="n"/>
      <c r="DB192" s="218" t="n"/>
      <c r="DC192" s="218" t="n"/>
    </row>
    <row r="193">
      <c r="A193" s="218" t="n"/>
      <c r="B193" s="218" t="n"/>
      <c r="J193" s="218" t="n"/>
      <c r="K193" s="218" t="n"/>
      <c r="L193" s="218" t="n"/>
      <c r="M193" s="218" t="n"/>
      <c r="N193" s="218" t="n"/>
      <c r="O193" s="218" t="n"/>
      <c r="P193" s="154" t="n">
        <v>3</v>
      </c>
      <c r="Q193" s="146" t="inlineStr">
        <is>
          <t>DERIVADAS DE LIQUIDACION</t>
        </is>
      </c>
      <c r="R193" s="146" t="n"/>
      <c r="S193" s="146" t="n"/>
      <c r="T193" s="146" t="n"/>
      <c r="U193" s="146" t="n"/>
      <c r="V193" s="146" t="n"/>
      <c r="W193" s="146" t="n"/>
      <c r="X193" s="146" t="n"/>
      <c r="Y193" s="146" t="n"/>
      <c r="Z193" s="146" t="n"/>
      <c r="AA193" s="146" t="n"/>
      <c r="AB193" s="146" t="n"/>
      <c r="AC193" s="146" t="n"/>
      <c r="AD193" s="146" t="n"/>
      <c r="AE193" s="146" t="n"/>
      <c r="AF193" s="146" t="n"/>
      <c r="AG193" s="146" t="n"/>
      <c r="AH193" s="146" t="n"/>
      <c r="AI193" s="146" t="n"/>
      <c r="AJ193" s="146" t="n"/>
      <c r="AK193" s="146" t="n"/>
      <c r="AL193" s="146" t="n"/>
      <c r="AM193" s="146" t="n"/>
      <c r="AN193" s="146" t="n"/>
      <c r="AO193" s="146" t="n"/>
      <c r="AP193" s="146" t="n"/>
      <c r="AQ193" s="146" t="n"/>
      <c r="AR193" s="146" t="n"/>
      <c r="AS193" s="218" t="n"/>
      <c r="AT193" s="218" t="n"/>
      <c r="AU193" s="218" t="n"/>
      <c r="AV193" s="218" t="n"/>
      <c r="AW193" s="218" t="n"/>
      <c r="AX193" s="218" t="n"/>
      <c r="AY193" s="218" t="n"/>
      <c r="AZ193" s="218" t="n"/>
      <c r="BA193" s="218" t="n"/>
      <c r="BB193" s="218" t="n"/>
      <c r="BC193" s="218" t="n"/>
      <c r="BD193" s="218" t="n"/>
      <c r="BE193" s="218" t="n"/>
      <c r="BF193" s="218" t="n"/>
      <c r="BG193" s="218" t="n"/>
      <c r="BH193" s="218" t="n"/>
      <c r="BI193" s="218" t="n"/>
      <c r="BJ193" s="146" t="n">
        <v>102</v>
      </c>
      <c r="BK193" s="146" t="inlineStr">
        <is>
          <t>MINERIA DE OTRAS PIEDRAS DIMENSIONADAS</t>
        </is>
      </c>
      <c r="BL193" s="146" t="n"/>
      <c r="BM193" s="146" t="n"/>
      <c r="BN193" s="146" t="n"/>
      <c r="BO193" s="146" t="n"/>
      <c r="BP193" s="146" t="n"/>
      <c r="BQ193" s="146" t="n"/>
      <c r="BR193" s="146" t="n"/>
      <c r="BS193" s="146" t="n"/>
      <c r="BT193" s="146" t="n"/>
      <c r="BU193" s="218" t="n"/>
      <c r="BV193" s="218" t="n"/>
      <c r="BW193" s="218" t="n"/>
      <c r="BX193" s="218" t="n"/>
      <c r="BY193" s="218" t="n"/>
      <c r="BZ193" s="218" t="n"/>
      <c r="CA193" s="218" t="n"/>
      <c r="CB193" s="218" t="n"/>
      <c r="CC193" s="218" t="n"/>
      <c r="CD193" s="218" t="n"/>
      <c r="CE193" s="218" t="n"/>
      <c r="CF193" s="218" t="n"/>
      <c r="CG193" s="218" t="n"/>
      <c r="CH193" s="218" t="n"/>
      <c r="CI193" s="218" t="n"/>
      <c r="CJ193" s="218" t="n"/>
      <c r="CK193" s="218" t="n"/>
      <c r="CL193" s="218" t="n"/>
      <c r="CM193" s="218" t="n"/>
      <c r="CN193" s="218" t="n"/>
      <c r="CO193" s="218" t="n"/>
      <c r="CP193" s="218" t="n"/>
      <c r="CQ193" s="218" t="n"/>
      <c r="CR193" s="218" t="n"/>
      <c r="CS193" s="218" t="n"/>
      <c r="CT193" s="218" t="n"/>
      <c r="CU193" s="146" t="n">
        <v>8152</v>
      </c>
      <c r="CV193" s="146" t="inlineStr">
        <is>
          <t xml:space="preserve">MONROY VIVANCO CELIA </t>
        </is>
      </c>
      <c r="CW193" s="218" t="n"/>
      <c r="CX193" s="218" t="n"/>
      <c r="CY193" s="218" t="n"/>
      <c r="CZ193" s="218" t="n"/>
      <c r="DA193" s="218" t="n"/>
      <c r="DB193" s="218" t="n"/>
      <c r="DC193" s="218" t="n"/>
    </row>
    <row r="194">
      <c r="A194" s="218" t="n"/>
      <c r="B194" s="218" t="n"/>
      <c r="C194" s="218" t="n"/>
      <c r="D194" s="218" t="n"/>
      <c r="E194" s="218" t="n"/>
      <c r="F194" s="218" t="n"/>
      <c r="G194" s="218" t="n"/>
      <c r="H194" s="218" t="n"/>
      <c r="I194" s="218" t="n"/>
      <c r="J194" s="218" t="n"/>
      <c r="K194" s="218" t="n"/>
      <c r="L194" s="218" t="n"/>
      <c r="M194" s="218" t="n"/>
      <c r="N194" s="218" t="n"/>
      <c r="O194" s="218" t="n"/>
      <c r="P194" s="154" t="n">
        <v>4</v>
      </c>
      <c r="Q194" s="146" t="inlineStr">
        <is>
          <t>PAGOS EN PARCIALIDADES  (CONVENIO ANTES DE LA TERMINACION)</t>
        </is>
      </c>
      <c r="R194" s="146" t="n"/>
      <c r="S194" s="146" t="n"/>
      <c r="T194" s="146" t="n"/>
      <c r="U194" s="146" t="n"/>
      <c r="V194" s="146" t="n"/>
      <c r="W194" s="146" t="n"/>
      <c r="X194" s="146" t="n"/>
      <c r="Y194" s="146" t="n"/>
      <c r="Z194" s="146" t="n"/>
      <c r="AA194" s="146" t="n"/>
      <c r="AB194" s="146" t="n"/>
      <c r="AC194" s="146" t="n"/>
      <c r="AD194" s="146" t="n"/>
      <c r="AE194" s="146" t="n"/>
      <c r="AF194" s="146" t="n"/>
      <c r="AG194" s="146" t="n"/>
      <c r="AH194" s="146" t="n"/>
      <c r="AI194" s="146" t="n"/>
      <c r="AJ194" s="146" t="n"/>
      <c r="AK194" s="146" t="n"/>
      <c r="AL194" s="146" t="n"/>
      <c r="AM194" s="146" t="n"/>
      <c r="AN194" s="146" t="n"/>
      <c r="AO194" s="146" t="n"/>
      <c r="AP194" s="146" t="n"/>
      <c r="AQ194" s="146" t="n"/>
      <c r="AR194" s="146" t="n"/>
      <c r="AS194" s="218" t="n"/>
      <c r="AT194" s="218" t="n"/>
      <c r="AU194" s="218" t="n"/>
      <c r="AV194" s="218" t="n"/>
      <c r="AW194" s="218" t="n"/>
      <c r="AX194" s="218" t="n"/>
      <c r="AY194" s="218" t="n"/>
      <c r="AZ194" s="218" t="n"/>
      <c r="BA194" s="218" t="n"/>
      <c r="BB194" s="218" t="n"/>
      <c r="BC194" s="218" t="n"/>
      <c r="BD194" s="218" t="n"/>
      <c r="BE194" s="218" t="n"/>
      <c r="BF194" s="218" t="n"/>
      <c r="BG194" s="218" t="n"/>
      <c r="BH194" s="218" t="n"/>
      <c r="BI194" s="218" t="n"/>
      <c r="BJ194" s="146" t="n">
        <v>103</v>
      </c>
      <c r="BK194" s="146" t="inlineStr">
        <is>
          <t>MINERIA DE ARENA Y GRAVA PARA LA CONSTRUCCION</t>
        </is>
      </c>
      <c r="BL194" s="146" t="n"/>
      <c r="BM194" s="146" t="n"/>
      <c r="BN194" s="146" t="n"/>
      <c r="BO194" s="146" t="n"/>
      <c r="BP194" s="146" t="n"/>
      <c r="BQ194" s="146" t="n"/>
      <c r="BR194" s="146" t="n"/>
      <c r="BS194" s="146" t="n"/>
      <c r="BT194" s="146" t="n"/>
      <c r="BU194" s="218" t="n"/>
      <c r="BV194" s="218" t="n"/>
      <c r="BW194" s="218" t="n"/>
      <c r="BX194" s="218" t="n"/>
      <c r="BY194" s="218" t="n"/>
      <c r="BZ194" s="218" t="n"/>
      <c r="CA194" s="218" t="n"/>
      <c r="CB194" s="218" t="n"/>
      <c r="CC194" s="218" t="n"/>
      <c r="CD194" s="218" t="n"/>
      <c r="CE194" s="218" t="n"/>
      <c r="CF194" s="218" t="n"/>
      <c r="CG194" s="218" t="n"/>
      <c r="CH194" s="218" t="n"/>
      <c r="CI194" s="218" t="n"/>
      <c r="CJ194" s="218" t="n"/>
      <c r="CK194" s="218" t="n"/>
      <c r="CL194" s="218" t="n"/>
      <c r="CM194" s="218" t="n"/>
      <c r="CN194" s="218" t="n"/>
      <c r="CO194" s="218" t="n"/>
      <c r="CP194" s="218" t="n"/>
      <c r="CQ194" s="218" t="n"/>
      <c r="CR194" s="218" t="n"/>
      <c r="CS194" s="218" t="n"/>
      <c r="CT194" s="218" t="n"/>
      <c r="CU194" s="146" t="n">
        <v>8165</v>
      </c>
      <c r="CV194" s="146" t="inlineStr">
        <is>
          <t>PEREZ GUTIERREZ MELISA ISABEL</t>
        </is>
      </c>
      <c r="CW194" s="218" t="n"/>
      <c r="CX194" s="218" t="n"/>
      <c r="CY194" s="218" t="n"/>
      <c r="CZ194" s="218" t="n"/>
      <c r="DA194" s="218" t="n"/>
      <c r="DB194" s="218" t="n"/>
      <c r="DC194" s="218" t="n"/>
    </row>
    <row r="195">
      <c r="A195" s="218" t="n"/>
      <c r="B195" s="218" t="n"/>
      <c r="C195" s="218" t="n"/>
      <c r="D195" s="218" t="n"/>
      <c r="E195" s="218" t="n"/>
      <c r="F195" s="218" t="n"/>
      <c r="G195" s="218" t="n"/>
      <c r="H195" s="218" t="n"/>
      <c r="I195" s="218" t="n"/>
      <c r="J195" s="218" t="n"/>
      <c r="K195" s="218" t="n"/>
      <c r="L195" s="218" t="n"/>
      <c r="M195" s="218" t="n"/>
      <c r="N195" s="218" t="n"/>
      <c r="O195" s="218" t="n"/>
      <c r="P195" s="154" t="n">
        <v>5</v>
      </c>
      <c r="Q195" s="146" t="inlineStr">
        <is>
          <t>PAGOS A INICIATIVA DEL CONTRIB. EJERCICIO O PERIODO REVISADO (OTROS IMPTOS)</t>
        </is>
      </c>
      <c r="R195" s="146" t="n"/>
      <c r="S195" s="146" t="n"/>
      <c r="T195" s="146" t="n"/>
      <c r="U195" s="146" t="n"/>
      <c r="V195" s="146" t="n"/>
      <c r="W195" s="146" t="n"/>
      <c r="X195" s="146" t="n"/>
      <c r="Y195" s="146" t="n"/>
      <c r="Z195" s="146" t="n"/>
      <c r="AA195" s="146" t="n"/>
      <c r="AB195" s="146" t="n"/>
      <c r="AC195" s="146" t="n"/>
      <c r="AD195" s="146" t="n"/>
      <c r="AE195" s="146" t="n"/>
      <c r="AF195" s="146" t="n"/>
      <c r="AG195" s="146" t="n"/>
      <c r="AH195" s="146" t="n"/>
      <c r="AI195" s="146" t="n"/>
      <c r="AJ195" s="146" t="n"/>
      <c r="AK195" s="146" t="n"/>
      <c r="AL195" s="146" t="n"/>
      <c r="AM195" s="146" t="n"/>
      <c r="AN195" s="146" t="n"/>
      <c r="AO195" s="146" t="n"/>
      <c r="AP195" s="146" t="n"/>
      <c r="AQ195" s="146" t="n"/>
      <c r="AR195" s="146" t="n"/>
      <c r="AS195" s="218" t="n"/>
      <c r="AT195" s="218" t="n"/>
      <c r="AU195" s="218" t="n"/>
      <c r="AV195" s="218" t="n"/>
      <c r="AW195" s="218" t="n"/>
      <c r="AX195" s="218" t="n"/>
      <c r="AY195" s="218" t="n"/>
      <c r="AZ195" s="218" t="n"/>
      <c r="BA195" s="218" t="n"/>
      <c r="BB195" s="218" t="n"/>
      <c r="BC195" s="218" t="n"/>
      <c r="BD195" s="218" t="n"/>
      <c r="BE195" s="218" t="n"/>
      <c r="BF195" s="218" t="n"/>
      <c r="BG195" s="218" t="n"/>
      <c r="BH195" s="218" t="n"/>
      <c r="BI195" s="218" t="n"/>
      <c r="BJ195" s="146" t="n">
        <v>104</v>
      </c>
      <c r="BK195" s="146" t="inlineStr">
        <is>
          <t>MINERIA DE TEZONTLE Y TEPETATE</t>
        </is>
      </c>
      <c r="BL195" s="146" t="n"/>
      <c r="BM195" s="146" t="n"/>
      <c r="BN195" s="146" t="n"/>
      <c r="BO195" s="146" t="n"/>
      <c r="BP195" s="146" t="n"/>
      <c r="BQ195" s="146" t="n"/>
      <c r="BR195" s="146" t="n"/>
      <c r="BS195" s="146" t="n"/>
      <c r="BT195" s="146" t="n"/>
      <c r="BU195" s="218" t="n"/>
      <c r="BV195" s="218" t="n"/>
      <c r="BW195" s="218" t="n"/>
      <c r="BX195" s="218" t="n"/>
      <c r="BY195" s="218" t="n"/>
      <c r="BZ195" s="218" t="n"/>
      <c r="CA195" s="218" t="n"/>
      <c r="CB195" s="218" t="n"/>
      <c r="CC195" s="218" t="n"/>
      <c r="CD195" s="218" t="n"/>
      <c r="CE195" s="218" t="n"/>
      <c r="CF195" s="218" t="n"/>
      <c r="CG195" s="218" t="n"/>
      <c r="CH195" s="218" t="n"/>
      <c r="CI195" s="218" t="n"/>
      <c r="CJ195" s="218" t="n"/>
      <c r="CK195" s="218" t="n"/>
      <c r="CL195" s="218" t="n"/>
      <c r="CM195" s="218" t="n"/>
      <c r="CN195" s="218" t="n"/>
      <c r="CO195" s="218" t="n"/>
      <c r="CP195" s="218" t="n"/>
      <c r="CQ195" s="218" t="n"/>
      <c r="CR195" s="218" t="n"/>
      <c r="CS195" s="218" t="n"/>
      <c r="CT195" s="218" t="n"/>
      <c r="CU195" s="146" t="n">
        <v>8166</v>
      </c>
      <c r="CV195" s="146" t="inlineStr">
        <is>
          <t>MUÑOZ HERNANDEZ GLORIA ELIZABETH</t>
        </is>
      </c>
      <c r="CW195" s="218" t="n"/>
      <c r="CX195" s="218" t="n"/>
      <c r="CY195" s="218" t="n"/>
      <c r="CZ195" s="218" t="n"/>
      <c r="DA195" s="218" t="n"/>
      <c r="DB195" s="218" t="n"/>
      <c r="DC195" s="218" t="n"/>
    </row>
    <row r="196">
      <c r="A196" s="218" t="n"/>
      <c r="B196" s="218" t="n"/>
      <c r="C196" s="218" t="n"/>
      <c r="D196" s="218" t="n"/>
      <c r="E196" s="218" t="n"/>
      <c r="F196" s="218" t="n"/>
      <c r="G196" s="218" t="n"/>
      <c r="H196" s="218" t="n"/>
      <c r="I196" s="218" t="n"/>
      <c r="J196" s="218" t="n"/>
      <c r="K196" s="218" t="n"/>
      <c r="L196" s="218" t="n"/>
      <c r="M196" s="218" t="n"/>
      <c r="N196" s="218" t="n"/>
      <c r="O196" s="218" t="n"/>
      <c r="P196" s="154" t="n">
        <v>6</v>
      </c>
      <c r="Q196" s="146" t="inlineStr">
        <is>
          <t>PAGOS POR DIFERENCIA EN ACTUALIZACION DEL CREDITO FISCAL</t>
        </is>
      </c>
      <c r="R196" s="146" t="n"/>
      <c r="S196" s="146" t="n"/>
      <c r="T196" s="146" t="n"/>
      <c r="U196" s="146" t="n"/>
      <c r="V196" s="146" t="n"/>
      <c r="W196" s="146" t="n"/>
      <c r="X196" s="146" t="n"/>
      <c r="Y196" s="146" t="n"/>
      <c r="Z196" s="146" t="n"/>
      <c r="AA196" s="146" t="n"/>
      <c r="AB196" s="146" t="n"/>
      <c r="AC196" s="146" t="n"/>
      <c r="AD196" s="146" t="n"/>
      <c r="AE196" s="146" t="n"/>
      <c r="AF196" s="146" t="n"/>
      <c r="AG196" s="146" t="n"/>
      <c r="AH196" s="146" t="n"/>
      <c r="AI196" s="146" t="n"/>
      <c r="AJ196" s="146" t="n"/>
      <c r="AK196" s="146" t="n"/>
      <c r="AL196" s="146" t="n"/>
      <c r="AM196" s="146" t="n"/>
      <c r="AN196" s="146" t="n"/>
      <c r="AO196" s="146" t="n"/>
      <c r="AP196" s="146" t="n"/>
      <c r="AQ196" s="146" t="n"/>
      <c r="AR196" s="146" t="n"/>
      <c r="AS196" s="218" t="n"/>
      <c r="AT196" s="218" t="n"/>
      <c r="AU196" s="218" t="n"/>
      <c r="AV196" s="218" t="n"/>
      <c r="AW196" s="218" t="n"/>
      <c r="AX196" s="218" t="n"/>
      <c r="AY196" s="218" t="n"/>
      <c r="AZ196" s="218" t="n"/>
      <c r="BA196" s="218" t="n"/>
      <c r="BB196" s="218" t="n"/>
      <c r="BC196" s="218" t="n"/>
      <c r="BD196" s="218" t="n"/>
      <c r="BE196" s="218" t="n"/>
      <c r="BF196" s="218" t="n"/>
      <c r="BG196" s="218" t="n"/>
      <c r="BH196" s="218" t="n"/>
      <c r="BI196" s="218" t="n"/>
      <c r="BJ196" s="146" t="n">
        <v>105</v>
      </c>
      <c r="BK196" s="146" t="inlineStr">
        <is>
          <t>MINERIA DE FELDESPATO</t>
        </is>
      </c>
      <c r="BL196" s="146" t="n"/>
      <c r="BM196" s="146" t="n"/>
      <c r="BN196" s="146" t="n"/>
      <c r="BO196" s="146" t="n"/>
      <c r="BP196" s="146" t="n"/>
      <c r="BQ196" s="146" t="n"/>
      <c r="BR196" s="146" t="n"/>
      <c r="BS196" s="146" t="n"/>
      <c r="BT196" s="146" t="n"/>
      <c r="BU196" s="218" t="n"/>
      <c r="BV196" s="218" t="n"/>
      <c r="BW196" s="218" t="n"/>
      <c r="BX196" s="218" t="n"/>
      <c r="BY196" s="218" t="n"/>
      <c r="BZ196" s="218" t="n"/>
      <c r="CA196" s="218" t="n"/>
      <c r="CB196" s="218" t="n"/>
      <c r="CC196" s="218" t="n"/>
      <c r="CD196" s="218" t="n"/>
      <c r="CE196" s="218" t="n"/>
      <c r="CF196" s="218" t="n"/>
      <c r="CG196" s="218" t="n"/>
      <c r="CH196" s="218" t="n"/>
      <c r="CI196" s="218" t="n"/>
      <c r="CJ196" s="218" t="n"/>
      <c r="CK196" s="218" t="n"/>
      <c r="CL196" s="218" t="n"/>
      <c r="CM196" s="218" t="n"/>
      <c r="CN196" s="218" t="n"/>
      <c r="CO196" s="218" t="n"/>
      <c r="CP196" s="218" t="n"/>
      <c r="CQ196" s="218" t="n"/>
      <c r="CR196" s="218" t="n"/>
      <c r="CS196" s="218" t="n"/>
      <c r="CT196" s="218" t="n"/>
      <c r="CU196" s="146" t="n">
        <v>8167</v>
      </c>
      <c r="CV196" s="146" t="inlineStr">
        <is>
          <t>HERNANDEZ SANCHEZ CARMEN PATRICIA</t>
        </is>
      </c>
      <c r="CW196" s="218" t="n"/>
      <c r="CX196" s="218" t="n"/>
      <c r="CY196" s="218" t="n"/>
      <c r="CZ196" s="218" t="n"/>
      <c r="DA196" s="218" t="n"/>
      <c r="DB196" s="218" t="n"/>
      <c r="DC196" s="218" t="n"/>
    </row>
    <row r="197">
      <c r="A197" s="218" t="n"/>
      <c r="B197" s="218" t="n"/>
      <c r="C197" s="218" t="n"/>
      <c r="D197" s="218" t="n"/>
      <c r="E197" s="218" t="n"/>
      <c r="F197" s="218" t="n"/>
      <c r="G197" s="218" t="n"/>
      <c r="H197" s="218" t="n"/>
      <c r="I197" s="218" t="n"/>
      <c r="J197" s="218" t="n"/>
      <c r="K197" s="218" t="n"/>
      <c r="L197" s="218" t="n"/>
      <c r="M197" s="218" t="n"/>
      <c r="N197" s="218" t="n"/>
      <c r="O197" s="218" t="n"/>
      <c r="P197" s="154" t="n">
        <v>7</v>
      </c>
      <c r="Q197" s="146" t="inlineStr">
        <is>
          <t>PAGOS A INICIATIVA DEL CONTRIB. POR EJERCICIOS ANTER. O POSTER. AL REVISADO</t>
        </is>
      </c>
      <c r="R197" s="146" t="n"/>
      <c r="S197" s="146" t="n"/>
      <c r="T197" s="146" t="n"/>
      <c r="U197" s="146" t="n"/>
      <c r="V197" s="146" t="n"/>
      <c r="W197" s="146" t="n"/>
      <c r="X197" s="146" t="n"/>
      <c r="Y197" s="146" t="n"/>
      <c r="Z197" s="146" t="n"/>
      <c r="AA197" s="146" t="n"/>
      <c r="AB197" s="146" t="n"/>
      <c r="AC197" s="146" t="n"/>
      <c r="AD197" s="146" t="n"/>
      <c r="AE197" s="146" t="n"/>
      <c r="AF197" s="146" t="n"/>
      <c r="AG197" s="146" t="n"/>
      <c r="AH197" s="146" t="n"/>
      <c r="AI197" s="146" t="n"/>
      <c r="AJ197" s="146" t="n"/>
      <c r="AK197" s="146" t="n"/>
      <c r="AL197" s="146" t="n"/>
      <c r="AM197" s="146" t="n"/>
      <c r="AN197" s="146" t="n"/>
      <c r="AO197" s="146" t="n"/>
      <c r="AP197" s="146" t="n"/>
      <c r="AQ197" s="146" t="n"/>
      <c r="AR197" s="146" t="n"/>
      <c r="AS197" s="218" t="n"/>
      <c r="AT197" s="218" t="n"/>
      <c r="AU197" s="218" t="n"/>
      <c r="AV197" s="218" t="n"/>
      <c r="AW197" s="218" t="n"/>
      <c r="AX197" s="218" t="n"/>
      <c r="AY197" s="218" t="n"/>
      <c r="AZ197" s="218" t="n"/>
      <c r="BA197" s="218" t="n"/>
      <c r="BB197" s="218" t="n"/>
      <c r="BC197" s="218" t="n"/>
      <c r="BD197" s="218" t="n"/>
      <c r="BE197" s="218" t="n"/>
      <c r="BF197" s="218" t="n"/>
      <c r="BG197" s="218" t="n"/>
      <c r="BH197" s="218" t="n"/>
      <c r="BI197" s="218" t="n"/>
      <c r="BJ197" s="146" t="n">
        <v>106</v>
      </c>
      <c r="BK197" s="146" t="inlineStr">
        <is>
          <t>MINERIA DE SILICE</t>
        </is>
      </c>
      <c r="BL197" s="146" t="n"/>
      <c r="BM197" s="146" t="n"/>
      <c r="BN197" s="146" t="n"/>
      <c r="BO197" s="146" t="n"/>
      <c r="BP197" s="146" t="n"/>
      <c r="BQ197" s="146" t="n"/>
      <c r="BR197" s="146" t="n"/>
      <c r="BS197" s="146" t="n"/>
      <c r="BT197" s="146" t="n"/>
      <c r="BU197" s="218" t="n"/>
      <c r="BV197" s="218" t="n"/>
      <c r="BW197" s="218" t="n"/>
      <c r="BX197" s="218" t="n"/>
      <c r="BY197" s="218" t="n"/>
      <c r="BZ197" s="218" t="n"/>
      <c r="CA197" s="218" t="n"/>
      <c r="CB197" s="218" t="n"/>
      <c r="CC197" s="218" t="n"/>
      <c r="CD197" s="218" t="n"/>
      <c r="CE197" s="218" t="n"/>
      <c r="CF197" s="218" t="n"/>
      <c r="CG197" s="218" t="n"/>
      <c r="CH197" s="218" t="n"/>
      <c r="CI197" s="218" t="n"/>
      <c r="CJ197" s="218" t="n"/>
      <c r="CK197" s="218" t="n"/>
      <c r="CL197" s="218" t="n"/>
      <c r="CM197" s="218" t="n"/>
      <c r="CN197" s="218" t="n"/>
      <c r="CO197" s="218" t="n"/>
      <c r="CP197" s="218" t="n"/>
      <c r="CQ197" s="218" t="n"/>
      <c r="CR197" s="218" t="n"/>
      <c r="CS197" s="218" t="n"/>
      <c r="CT197" s="218" t="n"/>
      <c r="CU197" s="146" t="n">
        <v>8178</v>
      </c>
      <c r="CV197" s="146" t="inlineStr">
        <is>
          <t xml:space="preserve">TRUJILLO GARCIA JAIR ISRAEL </t>
        </is>
      </c>
      <c r="CW197" s="218" t="n"/>
      <c r="CX197" s="218" t="n"/>
      <c r="CY197" s="218" t="n"/>
      <c r="CZ197" s="218" t="n"/>
      <c r="DA197" s="218" t="n"/>
      <c r="DB197" s="218" t="n"/>
      <c r="DC197" s="218" t="n"/>
    </row>
    <row r="198">
      <c r="A198" s="218" t="n"/>
      <c r="B198" s="218" t="n"/>
      <c r="C198" s="218" t="n"/>
      <c r="D198" s="218" t="n"/>
      <c r="E198" s="218" t="n"/>
      <c r="F198" s="218" t="n"/>
      <c r="G198" s="218" t="n"/>
      <c r="H198" s="218" t="n"/>
      <c r="I198" s="218" t="n"/>
      <c r="J198" s="218" t="n"/>
      <c r="K198" s="218" t="n"/>
      <c r="L198" s="218" t="n"/>
      <c r="M198" s="218" t="n"/>
      <c r="N198" s="218" t="n"/>
      <c r="O198" s="218" t="n"/>
      <c r="P198" s="154" t="n">
        <v>8</v>
      </c>
      <c r="Q198" s="146" t="inlineStr">
        <is>
          <t>PAGO EL MISMO DIA DE LA NOTIFICACION DEL CITATORIO O DEL ACTO</t>
        </is>
      </c>
      <c r="R198" s="146" t="n"/>
      <c r="S198" s="146" t="n"/>
      <c r="T198" s="146" t="n"/>
      <c r="U198" s="146" t="n"/>
      <c r="V198" s="146" t="n"/>
      <c r="W198" s="146" t="n"/>
      <c r="X198" s="146" t="n"/>
      <c r="Y198" s="146" t="n"/>
      <c r="Z198" s="146" t="n"/>
      <c r="AA198" s="146" t="n"/>
      <c r="AB198" s="146" t="n"/>
      <c r="AC198" s="146" t="n"/>
      <c r="AD198" s="146" t="n"/>
      <c r="AE198" s="146" t="n"/>
      <c r="AF198" s="146" t="n"/>
      <c r="AG198" s="146" t="n"/>
      <c r="AH198" s="146" t="n"/>
      <c r="AI198" s="146" t="n"/>
      <c r="AJ198" s="146" t="n"/>
      <c r="AK198" s="146" t="n"/>
      <c r="AL198" s="146" t="n"/>
      <c r="AM198" s="146" t="n"/>
      <c r="AN198" s="146" t="n"/>
      <c r="AO198" s="146" t="n"/>
      <c r="AP198" s="146" t="n"/>
      <c r="AQ198" s="146" t="n"/>
      <c r="AR198" s="146" t="n"/>
      <c r="AS198" s="218" t="n"/>
      <c r="AT198" s="218" t="n"/>
      <c r="AU198" s="218" t="n"/>
      <c r="AV198" s="218" t="n"/>
      <c r="AW198" s="218" t="n"/>
      <c r="AX198" s="218" t="n"/>
      <c r="AY198" s="218" t="n"/>
      <c r="AZ198" s="218" t="n"/>
      <c r="BA198" s="218" t="n"/>
      <c r="BB198" s="218" t="n"/>
      <c r="BC198" s="218" t="n"/>
      <c r="BD198" s="218" t="n"/>
      <c r="BE198" s="218" t="n"/>
      <c r="BF198" s="218" t="n"/>
      <c r="BG198" s="218" t="n"/>
      <c r="BH198" s="218" t="n"/>
      <c r="BI198" s="218" t="n"/>
      <c r="BJ198" s="146" t="n">
        <v>107</v>
      </c>
      <c r="BK198" s="146" t="inlineStr">
        <is>
          <t>MINERIA DE CAOLIN</t>
        </is>
      </c>
      <c r="BL198" s="146" t="n"/>
      <c r="BM198" s="146" t="n"/>
      <c r="BN198" s="146" t="n"/>
      <c r="BO198" s="146" t="n"/>
      <c r="BP198" s="146" t="n"/>
      <c r="BQ198" s="146" t="n"/>
      <c r="BR198" s="146" t="n"/>
      <c r="BS198" s="146" t="n"/>
      <c r="BT198" s="146" t="n"/>
      <c r="BU198" s="218" t="n"/>
      <c r="BV198" s="218" t="n"/>
      <c r="BW198" s="218" t="n"/>
      <c r="BX198" s="218" t="n"/>
      <c r="BY198" s="218" t="n"/>
      <c r="BZ198" s="218" t="n"/>
      <c r="CA198" s="218" t="n"/>
      <c r="CB198" s="218" t="n"/>
      <c r="CC198" s="218" t="n"/>
      <c r="CD198" s="218" t="n"/>
      <c r="CE198" s="218" t="n"/>
      <c r="CF198" s="218" t="n"/>
      <c r="CG198" s="218" t="n"/>
      <c r="CH198" s="218" t="n"/>
      <c r="CI198" s="218" t="n"/>
      <c r="CJ198" s="218" t="n"/>
      <c r="CK198" s="218" t="n"/>
      <c r="CL198" s="218" t="n"/>
      <c r="CM198" s="218" t="n"/>
      <c r="CN198" s="218" t="n"/>
      <c r="CO198" s="218" t="n"/>
      <c r="CP198" s="218" t="n"/>
      <c r="CQ198" s="218" t="n"/>
      <c r="CR198" s="218" t="n"/>
      <c r="CS198" s="218" t="n"/>
      <c r="CT198" s="218" t="n"/>
      <c r="CU198" s="146" t="n">
        <v>8216</v>
      </c>
      <c r="CV198" s="146" t="inlineStr">
        <is>
          <t xml:space="preserve">GONZALEZ GONZALEZ ANDREA </t>
        </is>
      </c>
      <c r="CW198" s="218" t="n"/>
      <c r="CX198" s="218" t="n"/>
      <c r="CY198" s="218" t="n"/>
      <c r="CZ198" s="218" t="n"/>
      <c r="DA198" s="218" t="n"/>
      <c r="DB198" s="218" t="n"/>
      <c r="DC198" s="218" t="n"/>
    </row>
    <row r="199">
      <c r="A199" s="218" t="n"/>
      <c r="B199" s="218" t="n"/>
      <c r="C199" s="218" t="n"/>
      <c r="D199" s="218" t="n"/>
      <c r="E199" s="218" t="n"/>
      <c r="F199" s="218" t="n"/>
      <c r="G199" s="218" t="n"/>
      <c r="H199" s="218" t="n"/>
      <c r="I199" s="218" t="n"/>
      <c r="J199" s="218" t="n"/>
      <c r="K199" s="218" t="n"/>
      <c r="L199" s="218" t="n"/>
      <c r="M199" s="218" t="n"/>
      <c r="N199" s="218" t="n"/>
      <c r="O199" s="218" t="n"/>
      <c r="P199" s="154" t="n">
        <v>9</v>
      </c>
      <c r="Q199" s="146" t="inlineStr">
        <is>
          <t>PAGO DERIVADO DE LA CUMPLIMENTACION DE FALLOS Y SENTENCIAS</t>
        </is>
      </c>
      <c r="R199" s="146" t="n"/>
      <c r="S199" s="146" t="n"/>
      <c r="T199" s="146" t="n"/>
      <c r="U199" s="146" t="n"/>
      <c r="V199" s="146" t="n"/>
      <c r="W199" s="146" t="n"/>
      <c r="X199" s="146" t="n"/>
      <c r="Y199" s="146" t="n"/>
      <c r="Z199" s="146" t="n"/>
      <c r="AA199" s="146" t="n"/>
      <c r="AB199" s="146" t="n"/>
      <c r="AC199" s="146" t="n"/>
      <c r="AD199" s="146" t="n"/>
      <c r="AE199" s="146" t="n"/>
      <c r="AF199" s="146" t="n"/>
      <c r="AG199" s="146" t="n"/>
      <c r="AH199" s="146" t="n"/>
      <c r="AI199" s="146" t="n"/>
      <c r="AJ199" s="146" t="n"/>
      <c r="AK199" s="146" t="n"/>
      <c r="AL199" s="146" t="n"/>
      <c r="AM199" s="146" t="n"/>
      <c r="AN199" s="146" t="n"/>
      <c r="AO199" s="146" t="n"/>
      <c r="AP199" s="146" t="n"/>
      <c r="AQ199" s="146" t="n"/>
      <c r="AR199" s="146" t="n"/>
      <c r="AS199" s="218" t="n"/>
      <c r="AT199" s="218" t="n"/>
      <c r="AU199" s="218" t="n"/>
      <c r="AV199" s="218" t="n"/>
      <c r="AW199" s="218" t="n"/>
      <c r="AX199" s="218" t="n"/>
      <c r="AY199" s="218" t="n"/>
      <c r="AZ199" s="218" t="n"/>
      <c r="BA199" s="218" t="n"/>
      <c r="BB199" s="218" t="n"/>
      <c r="BC199" s="218" t="n"/>
      <c r="BD199" s="218" t="n"/>
      <c r="BE199" s="218" t="n"/>
      <c r="BF199" s="218" t="n"/>
      <c r="BG199" s="218" t="n"/>
      <c r="BH199" s="218" t="n"/>
      <c r="BI199" s="218" t="n"/>
      <c r="BJ199" s="146" t="n">
        <v>108</v>
      </c>
      <c r="BK199" s="146" t="inlineStr">
        <is>
          <t>MINERIA DE OTRAS ARCILLAS Y OTROS MINERALES REFRACTARIOS</t>
        </is>
      </c>
      <c r="BL199" s="146" t="n"/>
      <c r="BM199" s="146" t="n"/>
      <c r="BN199" s="146" t="n"/>
      <c r="BO199" s="146" t="n"/>
      <c r="BP199" s="146" t="n"/>
      <c r="BQ199" s="146" t="n"/>
      <c r="BR199" s="146" t="n"/>
      <c r="BS199" s="146" t="n"/>
      <c r="BT199" s="146" t="n"/>
      <c r="BU199" s="218" t="n"/>
      <c r="BV199" s="218" t="n"/>
      <c r="BW199" s="218" t="n"/>
      <c r="BX199" s="218" t="n"/>
      <c r="BY199" s="218" t="n"/>
      <c r="BZ199" s="218" t="n"/>
      <c r="CA199" s="218" t="n"/>
      <c r="CB199" s="218" t="n"/>
      <c r="CC199" s="218" t="n"/>
      <c r="CD199" s="218" t="n"/>
      <c r="CE199" s="218" t="n"/>
      <c r="CF199" s="218" t="n"/>
      <c r="CG199" s="218" t="n"/>
      <c r="CH199" s="218" t="n"/>
      <c r="CI199" s="218" t="n"/>
      <c r="CJ199" s="218" t="n"/>
      <c r="CK199" s="218" t="n"/>
      <c r="CL199" s="218" t="n"/>
      <c r="CM199" s="218" t="n"/>
      <c r="CN199" s="218" t="n"/>
      <c r="CO199" s="218" t="n"/>
      <c r="CP199" s="218" t="n"/>
      <c r="CQ199" s="218" t="n"/>
      <c r="CR199" s="218" t="n"/>
      <c r="CS199" s="218" t="n"/>
      <c r="CT199" s="218" t="n"/>
      <c r="CU199" s="146" t="n">
        <v>9002</v>
      </c>
      <c r="CV199" s="146" t="inlineStr">
        <is>
          <t>VAZQUEZ ASCENCIO ISAISAS</t>
        </is>
      </c>
      <c r="CW199" s="218" t="n"/>
      <c r="CX199" s="218" t="n"/>
      <c r="CY199" s="218" t="n"/>
      <c r="CZ199" s="218" t="n"/>
      <c r="DA199" s="218" t="n"/>
      <c r="DB199" s="218" t="n"/>
      <c r="DC199" s="218" t="n"/>
    </row>
    <row r="200">
      <c r="A200" s="218" t="n"/>
      <c r="B200" s="218" t="n"/>
      <c r="C200" s="218" t="n"/>
      <c r="D200" s="218" t="n"/>
      <c r="E200" s="218" t="n"/>
      <c r="F200" s="218" t="n"/>
      <c r="G200" s="218" t="n"/>
      <c r="H200" s="218" t="n"/>
      <c r="I200" s="218" t="n"/>
      <c r="J200" s="218" t="n"/>
      <c r="K200" s="218" t="n"/>
      <c r="L200" s="218" t="n"/>
      <c r="M200" s="218" t="n"/>
      <c r="N200" s="218" t="n"/>
      <c r="O200" s="218" t="n"/>
      <c r="P200" s="154" t="n">
        <v>10</v>
      </c>
      <c r="Q200" s="146" t="inlineStr">
        <is>
          <t>PAGO DERIVADO DE DIFERENCIA DE IMPUESTOS DI's (MASIVO O GSI)</t>
        </is>
      </c>
      <c r="R200" s="146" t="n"/>
      <c r="S200" s="146" t="n"/>
      <c r="T200" s="146" t="n"/>
      <c r="U200" s="146" t="n"/>
      <c r="V200" s="146" t="n"/>
      <c r="W200" s="146" t="n"/>
      <c r="X200" s="146" t="n"/>
      <c r="Y200" s="146" t="n"/>
      <c r="Z200" s="146" t="n"/>
      <c r="AA200" s="146" t="n"/>
      <c r="AB200" s="146" t="n"/>
      <c r="AC200" s="146" t="n"/>
      <c r="AD200" s="146" t="n"/>
      <c r="AE200" s="146" t="n"/>
      <c r="AF200" s="146" t="n"/>
      <c r="AG200" s="146" t="n"/>
      <c r="AH200" s="146" t="n"/>
      <c r="AI200" s="146" t="n"/>
      <c r="AJ200" s="146" t="n"/>
      <c r="AK200" s="146" t="n"/>
      <c r="AL200" s="146" t="n"/>
      <c r="AM200" s="146" t="n"/>
      <c r="AN200" s="146" t="n"/>
      <c r="AO200" s="146" t="n"/>
      <c r="AP200" s="146" t="n"/>
      <c r="AQ200" s="146" t="n"/>
      <c r="AR200" s="146" t="n"/>
      <c r="AS200" s="218" t="n"/>
      <c r="AT200" s="218" t="n"/>
      <c r="AU200" s="218" t="n"/>
      <c r="AV200" s="218" t="n"/>
      <c r="AW200" s="218" t="n"/>
      <c r="AX200" s="218" t="n"/>
      <c r="AY200" s="218" t="n"/>
      <c r="AZ200" s="218" t="n"/>
      <c r="BA200" s="218" t="n"/>
      <c r="BB200" s="218" t="n"/>
      <c r="BC200" s="218" t="n"/>
      <c r="BD200" s="218" t="n"/>
      <c r="BE200" s="218" t="n"/>
      <c r="BF200" s="218" t="n"/>
      <c r="BG200" s="218" t="n"/>
      <c r="BH200" s="218" t="n"/>
      <c r="BI200" s="218" t="n"/>
      <c r="BJ200" s="146" t="n">
        <v>109</v>
      </c>
      <c r="BK200" s="146" t="inlineStr">
        <is>
          <t>EXTRACCION Y EXPLOTACION DE SAL</t>
        </is>
      </c>
      <c r="BL200" s="146" t="n"/>
      <c r="BM200" s="146" t="n"/>
      <c r="BN200" s="146" t="n"/>
      <c r="BO200" s="146" t="n"/>
      <c r="BP200" s="146" t="n"/>
      <c r="BQ200" s="146" t="n"/>
      <c r="BR200" s="146" t="n"/>
      <c r="BS200" s="146" t="n"/>
      <c r="BT200" s="146" t="n"/>
      <c r="BU200" s="218" t="n"/>
      <c r="BV200" s="218" t="n"/>
      <c r="BW200" s="218" t="n"/>
      <c r="BX200" s="218" t="n"/>
      <c r="BY200" s="218" t="n"/>
      <c r="BZ200" s="218" t="n"/>
      <c r="CA200" s="218" t="n"/>
      <c r="CB200" s="218" t="n"/>
      <c r="CC200" s="218" t="n"/>
      <c r="CD200" s="218" t="n"/>
      <c r="CE200" s="218" t="n"/>
      <c r="CF200" s="218" t="n"/>
      <c r="CG200" s="218" t="n"/>
      <c r="CH200" s="218" t="n"/>
      <c r="CI200" s="218" t="n"/>
      <c r="CJ200" s="218" t="n"/>
      <c r="CK200" s="218" t="n"/>
      <c r="CL200" s="218" t="n"/>
      <c r="CM200" s="218" t="n"/>
      <c r="CN200" s="218" t="n"/>
      <c r="CO200" s="218" t="n"/>
      <c r="CP200" s="218" t="n"/>
      <c r="CQ200" s="218" t="n"/>
      <c r="CR200" s="218" t="n"/>
      <c r="CS200" s="218" t="n"/>
      <c r="CT200" s="218" t="n"/>
      <c r="CU200" s="146" t="n">
        <v>9007</v>
      </c>
      <c r="CV200" s="146" t="inlineStr">
        <is>
          <t>GUTIERREZ RODRIGUEZ JOSE DE JESUS</t>
        </is>
      </c>
      <c r="CW200" s="218" t="n"/>
      <c r="CX200" s="218" t="n"/>
      <c r="CY200" s="218" t="n"/>
      <c r="CZ200" s="218" t="n"/>
      <c r="DA200" s="218" t="n"/>
      <c r="DB200" s="218" t="n"/>
      <c r="DC200" s="218" t="n"/>
    </row>
    <row r="201">
      <c r="A201" s="218" t="n"/>
      <c r="B201" s="218" t="n"/>
      <c r="C201" s="218" t="n"/>
      <c r="D201" s="218" t="n"/>
      <c r="E201" s="218" t="n"/>
      <c r="F201" s="218" t="n"/>
      <c r="G201" s="218" t="n"/>
      <c r="H201" s="218" t="n"/>
      <c r="I201" s="218" t="n"/>
      <c r="J201" s="218" t="n"/>
      <c r="K201" s="218" t="n"/>
      <c r="L201" s="218" t="n"/>
      <c r="M201" s="218" t="n"/>
      <c r="N201" s="218" t="n"/>
      <c r="O201" s="218" t="n"/>
      <c r="P201" s="154" t="n">
        <v>11</v>
      </c>
      <c r="Q201" s="146" t="inlineStr">
        <is>
          <t>PAGOS PROVISIONALES O MENS. A INICIATIVA CONTRIB. PERIODOS ANTER O POSTER</t>
        </is>
      </c>
      <c r="R201" s="146" t="n"/>
      <c r="S201" s="146" t="n"/>
      <c r="T201" s="146" t="n"/>
      <c r="U201" s="146" t="n"/>
      <c r="V201" s="146" t="n"/>
      <c r="W201" s="146" t="n"/>
      <c r="X201" s="146" t="n"/>
      <c r="Y201" s="146" t="n"/>
      <c r="Z201" s="146" t="n"/>
      <c r="AA201" s="146" t="n"/>
      <c r="AB201" s="146" t="n"/>
      <c r="AC201" s="146" t="n"/>
      <c r="AD201" s="146" t="n"/>
      <c r="AE201" s="146" t="n"/>
      <c r="AF201" s="146" t="n"/>
      <c r="AG201" s="146" t="n"/>
      <c r="AH201" s="146" t="n"/>
      <c r="AI201" s="146" t="n"/>
      <c r="AJ201" s="146" t="n"/>
      <c r="AK201" s="146" t="n"/>
      <c r="AL201" s="146" t="n"/>
      <c r="AM201" s="146" t="n"/>
      <c r="AN201" s="146" t="n"/>
      <c r="AO201" s="146" t="n"/>
      <c r="AP201" s="146" t="n"/>
      <c r="AQ201" s="146" t="n"/>
      <c r="AR201" s="146" t="n"/>
      <c r="AS201" s="218" t="n"/>
      <c r="AT201" s="218" t="n"/>
      <c r="AU201" s="218" t="n"/>
      <c r="AV201" s="218" t="n"/>
      <c r="AW201" s="218" t="n"/>
      <c r="AX201" s="218" t="n"/>
      <c r="AY201" s="218" t="n"/>
      <c r="AZ201" s="218" t="n"/>
      <c r="BA201" s="218" t="n"/>
      <c r="BB201" s="218" t="n"/>
      <c r="BC201" s="218" t="n"/>
      <c r="BD201" s="218" t="n"/>
      <c r="BE201" s="218" t="n"/>
      <c r="BF201" s="218" t="n"/>
      <c r="BG201" s="218" t="n"/>
      <c r="BH201" s="218" t="n"/>
      <c r="BI201" s="218" t="n"/>
      <c r="BJ201" s="146" t="n">
        <v>113</v>
      </c>
      <c r="BK201" s="146" t="inlineStr">
        <is>
          <t>MINERIA DE FLUORITA</t>
        </is>
      </c>
      <c r="BL201" s="146" t="n"/>
      <c r="BM201" s="146" t="n"/>
      <c r="BN201" s="146" t="n"/>
      <c r="BO201" s="146" t="n"/>
      <c r="BP201" s="146" t="n"/>
      <c r="BQ201" s="146" t="n"/>
      <c r="BR201" s="146" t="n"/>
      <c r="BS201" s="146" t="n"/>
      <c r="BT201" s="146" t="n"/>
      <c r="BU201" s="218" t="n"/>
      <c r="BV201" s="218" t="n"/>
      <c r="BW201" s="218" t="n"/>
      <c r="BX201" s="218" t="n"/>
      <c r="BY201" s="218" t="n"/>
      <c r="BZ201" s="218" t="n"/>
      <c r="CA201" s="218" t="n"/>
      <c r="CB201" s="218" t="n"/>
      <c r="CC201" s="218" t="n"/>
      <c r="CD201" s="218" t="n"/>
      <c r="CE201" s="218" t="n"/>
      <c r="CF201" s="218" t="n"/>
      <c r="CG201" s="218" t="n"/>
      <c r="CH201" s="218" t="n"/>
      <c r="CI201" s="218" t="n"/>
      <c r="CJ201" s="218" t="n"/>
      <c r="CK201" s="218" t="n"/>
      <c r="CL201" s="218" t="n"/>
      <c r="CM201" s="218" t="n"/>
      <c r="CN201" s="218" t="n"/>
      <c r="CO201" s="218" t="n"/>
      <c r="CP201" s="218" t="n"/>
      <c r="CQ201" s="218" t="n"/>
      <c r="CR201" s="218" t="n"/>
      <c r="CS201" s="218" t="n"/>
      <c r="CT201" s="218" t="n"/>
      <c r="CU201" s="146" t="n">
        <v>9015</v>
      </c>
      <c r="CV201" s="146" t="inlineStr">
        <is>
          <t>MORENO CERVANTES CLAUDIA PATRICIA</t>
        </is>
      </c>
      <c r="CW201" s="218" t="n"/>
      <c r="CX201" s="218" t="n"/>
      <c r="CY201" s="218" t="n"/>
      <c r="CZ201" s="218" t="n"/>
      <c r="DA201" s="218" t="n"/>
      <c r="DB201" s="218" t="n"/>
      <c r="DC201" s="218" t="n"/>
    </row>
    <row r="202">
      <c r="A202" s="218" t="n"/>
      <c r="B202" s="218" t="n"/>
      <c r="C202" s="218" t="n"/>
      <c r="D202" s="218" t="n"/>
      <c r="E202" s="218" t="n"/>
      <c r="F202" s="218" t="n"/>
      <c r="G202" s="218" t="n"/>
      <c r="H202" s="218" t="n"/>
      <c r="I202" s="218" t="n"/>
      <c r="J202" s="218" t="n"/>
      <c r="K202" s="218" t="n"/>
      <c r="L202" s="218" t="n"/>
      <c r="M202" s="218" t="n"/>
      <c r="N202" s="218" t="n"/>
      <c r="O202" s="218" t="n"/>
      <c r="P202" s="154" t="n">
        <v>12</v>
      </c>
      <c r="Q202" s="146" t="inlineStr">
        <is>
          <t>DERIVADAS DE REQUERIMIENTOS AL CPR</t>
        </is>
      </c>
      <c r="R202" s="146" t="n"/>
      <c r="S202" s="146" t="n"/>
      <c r="T202" s="146" t="n"/>
      <c r="U202" s="146" t="n"/>
      <c r="V202" s="146" t="n"/>
      <c r="W202" s="146" t="n"/>
      <c r="X202" s="146" t="n"/>
      <c r="Y202" s="146" t="n"/>
      <c r="Z202" s="146" t="n"/>
      <c r="AA202" s="146" t="n"/>
      <c r="AB202" s="146" t="n"/>
      <c r="AC202" s="146" t="n"/>
      <c r="AD202" s="146" t="n"/>
      <c r="AE202" s="146" t="n"/>
      <c r="AF202" s="146" t="n"/>
      <c r="AG202" s="146" t="n"/>
      <c r="AH202" s="146" t="n"/>
      <c r="AI202" s="146" t="n"/>
      <c r="AJ202" s="146" t="n"/>
      <c r="AK202" s="146" t="n"/>
      <c r="AL202" s="146" t="n"/>
      <c r="AM202" s="146" t="n"/>
      <c r="AN202" s="146" t="n"/>
      <c r="AO202" s="146" t="n"/>
      <c r="AP202" s="146" t="n"/>
      <c r="AQ202" s="146" t="n"/>
      <c r="AR202" s="146" t="n"/>
      <c r="AS202" s="218" t="n"/>
      <c r="AT202" s="218" t="n"/>
      <c r="AU202" s="218" t="n"/>
      <c r="AV202" s="218" t="n"/>
      <c r="AW202" s="218" t="n"/>
      <c r="AX202" s="218" t="n"/>
      <c r="AY202" s="218" t="n"/>
      <c r="AZ202" s="218" t="n"/>
      <c r="BA202" s="218" t="n"/>
      <c r="BB202" s="218" t="n"/>
      <c r="BC202" s="218" t="n"/>
      <c r="BD202" s="218" t="n"/>
      <c r="BE202" s="218" t="n"/>
      <c r="BF202" s="218" t="n"/>
      <c r="BG202" s="218" t="n"/>
      <c r="BH202" s="218" t="n"/>
      <c r="BI202" s="218" t="n"/>
      <c r="BJ202" s="146" t="n">
        <v>114</v>
      </c>
      <c r="BK202" s="146" t="inlineStr">
        <is>
          <t>MINERIA DE GRAFITO</t>
        </is>
      </c>
      <c r="BL202" s="146" t="n"/>
      <c r="BM202" s="146" t="n"/>
      <c r="BN202" s="146" t="n"/>
      <c r="BO202" s="146" t="n"/>
      <c r="BP202" s="146" t="n"/>
      <c r="BQ202" s="146" t="n"/>
      <c r="BR202" s="146" t="n"/>
      <c r="BS202" s="146" t="n"/>
      <c r="BT202" s="146" t="n"/>
      <c r="BU202" s="218" t="n"/>
      <c r="BV202" s="218" t="n"/>
      <c r="BW202" s="218" t="n"/>
      <c r="BX202" s="218" t="n"/>
      <c r="BY202" s="218" t="n"/>
      <c r="BZ202" s="218" t="n"/>
      <c r="CA202" s="218" t="n"/>
      <c r="CB202" s="218" t="n"/>
      <c r="CC202" s="218" t="n"/>
      <c r="CD202" s="218" t="n"/>
      <c r="CE202" s="218" t="n"/>
      <c r="CF202" s="218" t="n"/>
      <c r="CG202" s="218" t="n"/>
      <c r="CH202" s="218" t="n"/>
      <c r="CI202" s="218" t="n"/>
      <c r="CJ202" s="218" t="n"/>
      <c r="CK202" s="218" t="n"/>
      <c r="CL202" s="218" t="n"/>
      <c r="CM202" s="218" t="n"/>
      <c r="CN202" s="218" t="n"/>
      <c r="CO202" s="218" t="n"/>
      <c r="CP202" s="218" t="n"/>
      <c r="CQ202" s="218" t="n"/>
      <c r="CR202" s="218" t="n"/>
      <c r="CS202" s="218" t="n"/>
      <c r="CT202" s="218" t="n"/>
      <c r="CU202" s="146" t="n">
        <v>9028</v>
      </c>
      <c r="CV202" s="146" t="inlineStr">
        <is>
          <t>GARCIA CHAVEZ EDSON DANIEL</t>
        </is>
      </c>
      <c r="CW202" s="218" t="n"/>
      <c r="CX202" s="218" t="n"/>
      <c r="CY202" s="218" t="n"/>
      <c r="CZ202" s="218" t="n"/>
      <c r="DA202" s="218" t="n"/>
      <c r="DB202" s="218" t="n"/>
      <c r="DC202" s="218" t="n"/>
    </row>
    <row r="203">
      <c r="A203" s="218" t="n"/>
      <c r="B203" s="218" t="n"/>
      <c r="C203" s="218" t="n"/>
      <c r="D203" s="218" t="n"/>
      <c r="E203" s="218" t="n"/>
      <c r="F203" s="218" t="n"/>
      <c r="G203" s="218" t="n"/>
      <c r="H203" s="218" t="n"/>
      <c r="I203" s="218" t="n"/>
      <c r="J203" s="218" t="n"/>
      <c r="K203" s="218" t="n"/>
      <c r="L203" s="218" t="n"/>
      <c r="M203" s="218" t="n"/>
      <c r="N203" s="218" t="n"/>
      <c r="O203" s="218" t="n"/>
      <c r="P203" s="154" t="n">
        <v>13</v>
      </c>
      <c r="Q203" s="146" t="inlineStr">
        <is>
          <t>MULTAS PAGADAS DERIVADAS DE VECF Y RFC / DECLARACIONES Y AVISOS</t>
        </is>
      </c>
      <c r="R203" s="146" t="n"/>
      <c r="S203" s="146" t="n"/>
      <c r="T203" s="146" t="n"/>
      <c r="U203" s="146" t="n"/>
      <c r="V203" s="146" t="n"/>
      <c r="W203" s="146" t="n"/>
      <c r="X203" s="146" t="n"/>
      <c r="Y203" s="146" t="n"/>
      <c r="Z203" s="146" t="n"/>
      <c r="AA203" s="146" t="n"/>
      <c r="AB203" s="146" t="n"/>
      <c r="AC203" s="146" t="n"/>
      <c r="AD203" s="146" t="n"/>
      <c r="AE203" s="146" t="n"/>
      <c r="AF203" s="146" t="n"/>
      <c r="AG203" s="146" t="n"/>
      <c r="AH203" s="146" t="n"/>
      <c r="AI203" s="146" t="n"/>
      <c r="AJ203" s="146" t="n"/>
      <c r="AK203" s="146" t="n"/>
      <c r="AL203" s="146" t="n"/>
      <c r="AM203" s="146" t="n"/>
      <c r="AN203" s="146" t="n"/>
      <c r="AO203" s="146" t="n"/>
      <c r="AP203" s="146" t="n"/>
      <c r="AQ203" s="146" t="n"/>
      <c r="AR203" s="146" t="n"/>
      <c r="AS203" s="218" t="n"/>
      <c r="AT203" s="218" t="n"/>
      <c r="AU203" s="218" t="n"/>
      <c r="AV203" s="218" t="n"/>
      <c r="AW203" s="218" t="n"/>
      <c r="AX203" s="218" t="n"/>
      <c r="AY203" s="218" t="n"/>
      <c r="AZ203" s="218" t="n"/>
      <c r="BA203" s="218" t="n"/>
      <c r="BB203" s="218" t="n"/>
      <c r="BC203" s="218" t="n"/>
      <c r="BD203" s="218" t="n"/>
      <c r="BE203" s="218" t="n"/>
      <c r="BF203" s="218" t="n"/>
      <c r="BG203" s="218" t="n"/>
      <c r="BH203" s="218" t="n"/>
      <c r="BI203" s="218" t="n"/>
      <c r="BJ203" s="146" t="n">
        <v>115</v>
      </c>
      <c r="BK203" s="146" t="inlineStr">
        <is>
          <t>MINERIA DE AZUFRE</t>
        </is>
      </c>
      <c r="BL203" s="146" t="n"/>
      <c r="BM203" s="146" t="n"/>
      <c r="BN203" s="146" t="n"/>
      <c r="BO203" s="146" t="n"/>
      <c r="BP203" s="146" t="n"/>
      <c r="BQ203" s="146" t="n"/>
      <c r="BR203" s="146" t="n"/>
      <c r="BS203" s="146" t="n"/>
      <c r="BT203" s="146" t="n"/>
      <c r="BU203" s="218" t="n"/>
      <c r="BV203" s="218" t="n"/>
      <c r="BW203" s="218" t="n"/>
      <c r="BX203" s="218" t="n"/>
      <c r="BY203" s="218" t="n"/>
      <c r="BZ203" s="218" t="n"/>
      <c r="CA203" s="218" t="n"/>
      <c r="CB203" s="218" t="n"/>
      <c r="CC203" s="218" t="n"/>
      <c r="CD203" s="218" t="n"/>
      <c r="CE203" s="218" t="n"/>
      <c r="CF203" s="218" t="n"/>
      <c r="CG203" s="218" t="n"/>
      <c r="CH203" s="218" t="n"/>
      <c r="CI203" s="218" t="n"/>
      <c r="CJ203" s="218" t="n"/>
      <c r="CK203" s="218" t="n"/>
      <c r="CL203" s="218" t="n"/>
      <c r="CM203" s="218" t="n"/>
      <c r="CN203" s="218" t="n"/>
      <c r="CO203" s="218" t="n"/>
      <c r="CP203" s="218" t="n"/>
      <c r="CQ203" s="218" t="n"/>
      <c r="CR203" s="218" t="n"/>
      <c r="CS203" s="218" t="n"/>
      <c r="CT203" s="218" t="n"/>
      <c r="CU203" s="146" t="n">
        <v>9030</v>
      </c>
      <c r="CV203" s="146" t="inlineStr">
        <is>
          <t>ROMERO LUNA MARIA DEL CARMEN</t>
        </is>
      </c>
      <c r="CW203" s="218" t="n"/>
      <c r="CX203" s="218" t="n"/>
      <c r="CY203" s="218" t="n"/>
      <c r="CZ203" s="218" t="n"/>
      <c r="DA203" s="218" t="n"/>
      <c r="DB203" s="218" t="n"/>
      <c r="DC203" s="218" t="n"/>
    </row>
    <row r="204">
      <c r="A204" s="218" t="n"/>
      <c r="B204" s="218" t="n"/>
      <c r="C204" s="218" t="n"/>
      <c r="D204" s="218" t="n"/>
      <c r="E204" s="218" t="n"/>
      <c r="F204" s="218" t="n"/>
      <c r="G204" s="218" t="n"/>
      <c r="H204" s="218" t="n"/>
      <c r="I204" s="218" t="n"/>
      <c r="J204" s="218" t="n"/>
      <c r="K204" s="218" t="n"/>
      <c r="L204" s="218" t="n"/>
      <c r="M204" s="218" t="n"/>
      <c r="N204" s="218" t="n"/>
      <c r="O204" s="218" t="n"/>
      <c r="P204" s="154" t="n">
        <v>14</v>
      </c>
      <c r="Q204" s="146" t="inlineStr">
        <is>
          <t>PAGO DERIVADO DE CARTA INVITACION</t>
        </is>
      </c>
      <c r="R204" s="146" t="n"/>
      <c r="S204" s="146" t="n"/>
      <c r="T204" s="146" t="n"/>
      <c r="U204" s="146" t="n"/>
      <c r="V204" s="146" t="n"/>
      <c r="W204" s="146" t="n"/>
      <c r="X204" s="146" t="n"/>
      <c r="Y204" s="146" t="n"/>
      <c r="Z204" s="146" t="n"/>
      <c r="AA204" s="146" t="n"/>
      <c r="AB204" s="146" t="n"/>
      <c r="AC204" s="146" t="n"/>
      <c r="AD204" s="146" t="n"/>
      <c r="AE204" s="146" t="n"/>
      <c r="AF204" s="146" t="n"/>
      <c r="AG204" s="146" t="n"/>
      <c r="AH204" s="146" t="n"/>
      <c r="AI204" s="146" t="n"/>
      <c r="AJ204" s="146" t="n"/>
      <c r="AK204" s="146" t="n"/>
      <c r="AL204" s="146" t="n"/>
      <c r="AM204" s="146" t="n"/>
      <c r="AN204" s="146" t="n"/>
      <c r="AO204" s="146" t="n"/>
      <c r="AP204" s="146" t="n"/>
      <c r="AQ204" s="146" t="n"/>
      <c r="AR204" s="146" t="n"/>
      <c r="AS204" s="218" t="n"/>
      <c r="AT204" s="218" t="n"/>
      <c r="AU204" s="218" t="n"/>
      <c r="AV204" s="218" t="n"/>
      <c r="AW204" s="218" t="n"/>
      <c r="AX204" s="218" t="n"/>
      <c r="AY204" s="218" t="n"/>
      <c r="AZ204" s="218" t="n"/>
      <c r="BA204" s="218" t="n"/>
      <c r="BB204" s="218" t="n"/>
      <c r="BC204" s="218" t="n"/>
      <c r="BD204" s="218" t="n"/>
      <c r="BE204" s="218" t="n"/>
      <c r="BF204" s="218" t="n"/>
      <c r="BG204" s="218" t="n"/>
      <c r="BH204" s="218" t="n"/>
      <c r="BI204" s="218" t="n"/>
      <c r="BJ204" s="146" t="n">
        <v>116</v>
      </c>
      <c r="BK204" s="146" t="inlineStr">
        <is>
          <t>MINERIA DE MINERALES NO METALICOS PARA PRODUCTOS QUIMICOS</t>
        </is>
      </c>
      <c r="BL204" s="146" t="n"/>
      <c r="BM204" s="146" t="n"/>
      <c r="BN204" s="146" t="n"/>
      <c r="BO204" s="146" t="n"/>
      <c r="BP204" s="146" t="n"/>
      <c r="BQ204" s="146" t="n"/>
      <c r="BR204" s="146" t="n"/>
      <c r="BS204" s="146" t="n"/>
      <c r="BT204" s="146" t="n"/>
      <c r="BU204" s="218" t="n"/>
      <c r="BV204" s="218" t="n"/>
      <c r="BW204" s="218" t="n"/>
      <c r="BX204" s="218" t="n"/>
      <c r="BY204" s="218" t="n"/>
      <c r="BZ204" s="218" t="n"/>
      <c r="CA204" s="218" t="n"/>
      <c r="CB204" s="218" t="n"/>
      <c r="CC204" s="218" t="n"/>
      <c r="CD204" s="218" t="n"/>
      <c r="CE204" s="218" t="n"/>
      <c r="CF204" s="218" t="n"/>
      <c r="CG204" s="218" t="n"/>
      <c r="CH204" s="218" t="n"/>
      <c r="CI204" s="218" t="n"/>
      <c r="CJ204" s="218" t="n"/>
      <c r="CK204" s="218" t="n"/>
      <c r="CL204" s="218" t="n"/>
      <c r="CM204" s="218" t="n"/>
      <c r="CN204" s="218" t="n"/>
      <c r="CO204" s="218" t="n"/>
      <c r="CP204" s="218" t="n"/>
      <c r="CQ204" s="218" t="n"/>
      <c r="CR204" s="218" t="n"/>
      <c r="CS204" s="218" t="n"/>
      <c r="CT204" s="218" t="n"/>
      <c r="CU204" s="146" t="n">
        <v>9034</v>
      </c>
      <c r="CV204" s="146" t="inlineStr">
        <is>
          <t>SANCHEZ CHAVEZ ELIZABETH</t>
        </is>
      </c>
      <c r="CW204" s="218" t="n"/>
      <c r="CX204" s="218" t="n"/>
      <c r="CY204" s="218" t="n"/>
      <c r="CZ204" s="218" t="n"/>
      <c r="DA204" s="218" t="n"/>
      <c r="DB204" s="218" t="n"/>
      <c r="DC204" s="218" t="n"/>
    </row>
    <row r="205">
      <c r="A205" s="218" t="n"/>
      <c r="B205" s="218" t="n"/>
      <c r="C205" s="218" t="n"/>
      <c r="D205" s="218" t="n"/>
      <c r="E205" s="218" t="n"/>
      <c r="F205" s="218" t="n"/>
      <c r="G205" s="218" t="n"/>
      <c r="H205" s="218" t="n"/>
      <c r="I205" s="218" t="n"/>
      <c r="J205" s="218" t="n"/>
      <c r="K205" s="218" t="n"/>
      <c r="L205" s="218" t="n"/>
      <c r="M205" s="218" t="n"/>
      <c r="N205" s="218" t="n"/>
      <c r="O205" s="218" t="n"/>
      <c r="P205" s="154" t="n">
        <v>15</v>
      </c>
      <c r="Q205" s="146" t="inlineStr">
        <is>
          <t>PAGO DERIVADO DE COMPULSAS</t>
        </is>
      </c>
      <c r="R205" s="146" t="n"/>
      <c r="S205" s="146" t="n"/>
      <c r="T205" s="146" t="n"/>
      <c r="U205" s="146" t="n"/>
      <c r="V205" s="146" t="n"/>
      <c r="W205" s="146" t="n"/>
      <c r="X205" s="146" t="n"/>
      <c r="Y205" s="146" t="n"/>
      <c r="Z205" s="146" t="n"/>
      <c r="AA205" s="146" t="n"/>
      <c r="AB205" s="146" t="n"/>
      <c r="AC205" s="146" t="n"/>
      <c r="AD205" s="146" t="n"/>
      <c r="AE205" s="146" t="n"/>
      <c r="AF205" s="146" t="n"/>
      <c r="AG205" s="146" t="n"/>
      <c r="AH205" s="146" t="n"/>
      <c r="AI205" s="146" t="n"/>
      <c r="AJ205" s="146" t="n"/>
      <c r="AK205" s="146" t="n"/>
      <c r="AL205" s="146" t="n"/>
      <c r="AM205" s="146" t="n"/>
      <c r="AN205" s="146" t="n"/>
      <c r="AO205" s="146" t="n"/>
      <c r="AP205" s="146" t="n"/>
      <c r="AQ205" s="146" t="n"/>
      <c r="AR205" s="146" t="n"/>
      <c r="AS205" s="218" t="n"/>
      <c r="AT205" s="218" t="n"/>
      <c r="AU205" s="218" t="n"/>
      <c r="AV205" s="218" t="n"/>
      <c r="AW205" s="218" t="n"/>
      <c r="AX205" s="218" t="n"/>
      <c r="AY205" s="218" t="n"/>
      <c r="AZ205" s="218" t="n"/>
      <c r="BA205" s="218" t="n"/>
      <c r="BB205" s="218" t="n"/>
      <c r="BC205" s="218" t="n"/>
      <c r="BD205" s="218" t="n"/>
      <c r="BE205" s="218" t="n"/>
      <c r="BF205" s="218" t="n"/>
      <c r="BG205" s="218" t="n"/>
      <c r="BH205" s="218" t="n"/>
      <c r="BI205" s="218" t="n"/>
      <c r="BJ205" s="146" t="n">
        <v>117</v>
      </c>
      <c r="BK205" s="146" t="inlineStr">
        <is>
          <t>MINERIA DE OTROS MINERALES NO METALICOS</t>
        </is>
      </c>
      <c r="BL205" s="146" t="n"/>
      <c r="BM205" s="146" t="n"/>
      <c r="BN205" s="146" t="n"/>
      <c r="BO205" s="146" t="n"/>
      <c r="BP205" s="146" t="n"/>
      <c r="BQ205" s="146" t="n"/>
      <c r="BR205" s="146" t="n"/>
      <c r="BS205" s="146" t="n"/>
      <c r="BT205" s="146" t="n"/>
      <c r="BU205" s="218" t="n"/>
      <c r="BV205" s="218" t="n"/>
      <c r="BW205" s="218" t="n"/>
      <c r="BX205" s="218" t="n"/>
      <c r="BY205" s="218" t="n"/>
      <c r="BZ205" s="218" t="n"/>
      <c r="CA205" s="218" t="n"/>
      <c r="CB205" s="218" t="n"/>
      <c r="CC205" s="218" t="n"/>
      <c r="CD205" s="218" t="n"/>
      <c r="CE205" s="218" t="n"/>
      <c r="CF205" s="218" t="n"/>
      <c r="CG205" s="218" t="n"/>
      <c r="CH205" s="218" t="n"/>
      <c r="CI205" s="218" t="n"/>
      <c r="CJ205" s="218" t="n"/>
      <c r="CK205" s="218" t="n"/>
      <c r="CL205" s="218" t="n"/>
      <c r="CM205" s="218" t="n"/>
      <c r="CN205" s="218" t="n"/>
      <c r="CO205" s="218" t="n"/>
      <c r="CP205" s="218" t="n"/>
      <c r="CQ205" s="218" t="n"/>
      <c r="CR205" s="218" t="n"/>
      <c r="CS205" s="218" t="n"/>
      <c r="CT205" s="218" t="n"/>
      <c r="CU205" s="146" t="n">
        <v>9035</v>
      </c>
      <c r="CV205" s="146" t="inlineStr">
        <is>
          <t xml:space="preserve">DOMINGUEZ GONZALEZ DANIELA VIANEY </t>
        </is>
      </c>
      <c r="CW205" s="218" t="n"/>
      <c r="CX205" s="218" t="n"/>
      <c r="CY205" s="218" t="n"/>
      <c r="CZ205" s="218" t="n"/>
      <c r="DA205" s="218" t="n"/>
      <c r="DB205" s="218" t="n"/>
      <c r="DC205" s="218" t="n"/>
    </row>
    <row r="206">
      <c r="A206" s="218" t="n"/>
      <c r="B206" s="218" t="n"/>
      <c r="C206" s="218" t="n"/>
      <c r="D206" s="218" t="n"/>
      <c r="E206" s="218" t="n"/>
      <c r="F206" s="218" t="n"/>
      <c r="G206" s="218" t="n"/>
      <c r="H206" s="218" t="n"/>
      <c r="I206" s="218" t="n"/>
      <c r="J206" s="218" t="n"/>
      <c r="K206" s="218" t="n"/>
      <c r="L206" s="218" t="n"/>
      <c r="M206" s="218" t="n"/>
      <c r="N206" s="218" t="n"/>
      <c r="O206" s="218" t="n"/>
      <c r="P206" s="154" t="n">
        <v>16</v>
      </c>
      <c r="Q206" s="146" t="inlineStr">
        <is>
          <t>PAGO DERIVADO DE CASOS PENALES</t>
        </is>
      </c>
      <c r="R206" s="146" t="n"/>
      <c r="S206" s="146" t="n"/>
      <c r="T206" s="146" t="n"/>
      <c r="U206" s="146" t="n"/>
      <c r="V206" s="146" t="n"/>
      <c r="W206" s="146" t="n"/>
      <c r="X206" s="146" t="n"/>
      <c r="Y206" s="146" t="n"/>
      <c r="Z206" s="146" t="n"/>
      <c r="AA206" s="146" t="n"/>
      <c r="AB206" s="146" t="n"/>
      <c r="AC206" s="146" t="n"/>
      <c r="AD206" s="146" t="n"/>
      <c r="AE206" s="146" t="n"/>
      <c r="AF206" s="146" t="n"/>
      <c r="AG206" s="146" t="n"/>
      <c r="AH206" s="146" t="n"/>
      <c r="AI206" s="146" t="n"/>
      <c r="AJ206" s="146" t="n"/>
      <c r="AK206" s="146" t="n"/>
      <c r="AL206" s="146" t="n"/>
      <c r="AM206" s="146" t="n"/>
      <c r="AN206" s="146" t="n"/>
      <c r="AO206" s="146" t="n"/>
      <c r="AP206" s="146" t="n"/>
      <c r="AQ206" s="146" t="n"/>
      <c r="AR206" s="146" t="n"/>
      <c r="AS206" s="218" t="n"/>
      <c r="AT206" s="218" t="n"/>
      <c r="AU206" s="218" t="n"/>
      <c r="AV206" s="218" t="n"/>
      <c r="AW206" s="218" t="n"/>
      <c r="AX206" s="218" t="n"/>
      <c r="AY206" s="218" t="n"/>
      <c r="AZ206" s="218" t="n"/>
      <c r="BA206" s="218" t="n"/>
      <c r="BB206" s="218" t="n"/>
      <c r="BC206" s="218" t="n"/>
      <c r="BD206" s="218" t="n"/>
      <c r="BE206" s="218" t="n"/>
      <c r="BF206" s="218" t="n"/>
      <c r="BG206" s="218" t="n"/>
      <c r="BH206" s="218" t="n"/>
      <c r="BI206" s="218" t="n"/>
      <c r="BJ206" s="146" t="n">
        <v>118</v>
      </c>
      <c r="BK206" s="146" t="inlineStr">
        <is>
          <t>PERFORACION DE POZOS PETROLEROS Y DE GAS</t>
        </is>
      </c>
      <c r="BL206" s="146" t="n"/>
      <c r="BM206" s="146" t="n"/>
      <c r="BN206" s="146" t="n"/>
      <c r="BO206" s="146" t="n"/>
      <c r="BP206" s="146" t="n"/>
      <c r="BQ206" s="146" t="n"/>
      <c r="BR206" s="146" t="n"/>
      <c r="BS206" s="146" t="n"/>
      <c r="BT206" s="146" t="n"/>
      <c r="BU206" s="218" t="n"/>
      <c r="BV206" s="218" t="n"/>
      <c r="BW206" s="218" t="n"/>
      <c r="BX206" s="218" t="n"/>
      <c r="BY206" s="218" t="n"/>
      <c r="BZ206" s="218" t="n"/>
      <c r="CA206" s="218" t="n"/>
      <c r="CB206" s="218" t="n"/>
      <c r="CC206" s="218" t="n"/>
      <c r="CD206" s="218" t="n"/>
      <c r="CE206" s="218" t="n"/>
      <c r="CF206" s="218" t="n"/>
      <c r="CG206" s="218" t="n"/>
      <c r="CH206" s="218" t="n"/>
      <c r="CI206" s="218" t="n"/>
      <c r="CJ206" s="218" t="n"/>
      <c r="CK206" s="218" t="n"/>
      <c r="CL206" s="218" t="n"/>
      <c r="CM206" s="218" t="n"/>
      <c r="CN206" s="218" t="n"/>
      <c r="CO206" s="218" t="n"/>
      <c r="CP206" s="218" t="n"/>
      <c r="CQ206" s="218" t="n"/>
      <c r="CR206" s="218" t="n"/>
      <c r="CS206" s="218" t="n"/>
      <c r="CT206" s="218" t="n"/>
      <c r="CU206" s="146" t="n">
        <v>9037</v>
      </c>
      <c r="CV206" s="146" t="inlineStr">
        <is>
          <t>GONZÁLEZ PÉREZ APOLINAR</t>
        </is>
      </c>
      <c r="CW206" s="218" t="n"/>
      <c r="CX206" s="218" t="n"/>
      <c r="CY206" s="218" t="n"/>
      <c r="CZ206" s="218" t="n"/>
      <c r="DA206" s="218" t="n"/>
      <c r="DB206" s="218" t="n"/>
      <c r="DC206" s="218" t="n"/>
    </row>
    <row r="207">
      <c r="A207" s="218" t="n"/>
      <c r="B207" s="218" t="n"/>
      <c r="C207" s="218" t="n"/>
      <c r="D207" s="218" t="n"/>
      <c r="E207" s="218" t="n"/>
      <c r="F207" s="218" t="n"/>
      <c r="G207" s="218" t="n"/>
      <c r="H207" s="218" t="n"/>
      <c r="I207" s="218" t="n"/>
      <c r="J207" s="218" t="n"/>
      <c r="K207" s="218" t="n"/>
      <c r="L207" s="218" t="n"/>
      <c r="M207" s="218" t="n"/>
      <c r="N207" s="218" t="n"/>
      <c r="O207" s="218" t="n"/>
      <c r="P207" s="154" t="n">
        <v>17</v>
      </c>
      <c r="Q207" s="146" t="inlineStr">
        <is>
          <t>MULTA DE FORMA (SOLO CONCEPTO DE COBRO 34376)</t>
        </is>
      </c>
      <c r="R207" s="146" t="n"/>
      <c r="S207" s="146" t="n"/>
      <c r="T207" s="146" t="n"/>
      <c r="U207" s="146" t="n"/>
      <c r="V207" s="146" t="n"/>
      <c r="W207" s="146" t="n"/>
      <c r="X207" s="146" t="n"/>
      <c r="Y207" s="146" t="n"/>
      <c r="Z207" s="146" t="n"/>
      <c r="AA207" s="146" t="n"/>
      <c r="AB207" s="146" t="n"/>
      <c r="AC207" s="146" t="n"/>
      <c r="AD207" s="146" t="n"/>
      <c r="AE207" s="146" t="n"/>
      <c r="AF207" s="146" t="n"/>
      <c r="AG207" s="146" t="n"/>
      <c r="AH207" s="146" t="n"/>
      <c r="AI207" s="146" t="n"/>
      <c r="AJ207" s="146" t="n"/>
      <c r="AK207" s="146" t="n"/>
      <c r="AL207" s="146" t="n"/>
      <c r="AM207" s="146" t="n"/>
      <c r="AN207" s="146" t="n"/>
      <c r="AO207" s="146" t="n"/>
      <c r="AP207" s="146" t="n"/>
      <c r="AQ207" s="146" t="n"/>
      <c r="AR207" s="146" t="n"/>
      <c r="AS207" s="218" t="n"/>
      <c r="AT207" s="218" t="n"/>
      <c r="AU207" s="218" t="n"/>
      <c r="AV207" s="218" t="n"/>
      <c r="AW207" s="218" t="n"/>
      <c r="AX207" s="218" t="n"/>
      <c r="AY207" s="218" t="n"/>
      <c r="AZ207" s="218" t="n"/>
      <c r="BA207" s="218" t="n"/>
      <c r="BB207" s="218" t="n"/>
      <c r="BC207" s="218" t="n"/>
      <c r="BD207" s="218" t="n"/>
      <c r="BE207" s="218" t="n"/>
      <c r="BF207" s="218" t="n"/>
      <c r="BG207" s="218" t="n"/>
      <c r="BH207" s="218" t="n"/>
      <c r="BI207" s="218" t="n"/>
      <c r="BJ207" s="146" t="n">
        <v>119</v>
      </c>
      <c r="BK207" s="146" t="inlineStr">
        <is>
          <t>SERVICIOS DE EXPLOTACION O PROSPECCION MINERA Y DESMANTELAMIENTO DE TORRES DE PERFORACION</t>
        </is>
      </c>
      <c r="BL207" s="146" t="n"/>
      <c r="BM207" s="146" t="n"/>
      <c r="BN207" s="146" t="n"/>
      <c r="BO207" s="146" t="n"/>
      <c r="BP207" s="146" t="n"/>
      <c r="BQ207" s="146" t="n"/>
      <c r="BR207" s="146" t="n"/>
      <c r="BS207" s="146" t="n"/>
      <c r="BT207" s="146" t="n"/>
      <c r="BU207" s="218" t="n"/>
      <c r="BV207" s="218" t="n"/>
      <c r="BW207" s="218" t="n"/>
      <c r="BX207" s="218" t="n"/>
      <c r="BY207" s="218" t="n"/>
      <c r="BZ207" s="218" t="n"/>
      <c r="CA207" s="218" t="n"/>
      <c r="CB207" s="218" t="n"/>
      <c r="CC207" s="218" t="n"/>
      <c r="CD207" s="218" t="n"/>
      <c r="CE207" s="218" t="n"/>
      <c r="CF207" s="218" t="n"/>
      <c r="CG207" s="218" t="n"/>
      <c r="CH207" s="218" t="n"/>
      <c r="CI207" s="218" t="n"/>
      <c r="CJ207" s="218" t="n"/>
      <c r="CK207" s="218" t="n"/>
      <c r="CL207" s="218" t="n"/>
      <c r="CM207" s="218" t="n"/>
      <c r="CN207" s="218" t="n"/>
      <c r="CO207" s="218" t="n"/>
      <c r="CP207" s="218" t="n"/>
      <c r="CQ207" s="218" t="n"/>
      <c r="CR207" s="218" t="n"/>
      <c r="CS207" s="218" t="n"/>
      <c r="CT207" s="218" t="n"/>
      <c r="CU207" s="146" t="n">
        <v>9038</v>
      </c>
      <c r="CV207" s="146" t="inlineStr">
        <is>
          <t>FLORES JUAREZ HECTOR ALFONSO</t>
        </is>
      </c>
      <c r="CW207" s="218" t="n"/>
      <c r="CX207" s="218" t="n"/>
      <c r="CY207" s="218" t="n"/>
      <c r="CZ207" s="218" t="n"/>
      <c r="DA207" s="218" t="n"/>
      <c r="DB207" s="218" t="n"/>
      <c r="DC207" s="218" t="n"/>
    </row>
    <row r="208">
      <c r="A208" s="218" t="n"/>
      <c r="B208" s="218" t="n"/>
      <c r="C208" s="218" t="n"/>
      <c r="D208" s="218" t="n"/>
      <c r="E208" s="218" t="n"/>
      <c r="F208" s="218" t="n"/>
      <c r="G208" s="218" t="n"/>
      <c r="H208" s="218" t="n"/>
      <c r="I208" s="218" t="n"/>
      <c r="J208" s="218" t="n"/>
      <c r="K208" s="218" t="n"/>
      <c r="L208" s="218" t="n"/>
      <c r="M208" s="218" t="n"/>
      <c r="N208" s="218" t="n"/>
      <c r="O208" s="218" t="n"/>
      <c r="P208" s="218" t="n"/>
      <c r="Q208" s="218" t="n"/>
      <c r="R208" s="218" t="n"/>
      <c r="S208" s="218" t="n"/>
      <c r="T208" s="218" t="n"/>
      <c r="U208" s="218" t="n"/>
      <c r="V208" s="218" t="n"/>
      <c r="W208" s="218" t="n"/>
      <c r="X208" s="218" t="n"/>
      <c r="Y208" s="218" t="n"/>
      <c r="Z208" s="218" t="n"/>
      <c r="AA208" s="218" t="n"/>
      <c r="AB208" s="218" t="n"/>
      <c r="AC208" s="218" t="n"/>
      <c r="AD208" s="218" t="n"/>
      <c r="AE208" s="218" t="n"/>
      <c r="AF208" s="218" t="n"/>
      <c r="AG208" s="218" t="n"/>
      <c r="AH208" s="218" t="n"/>
      <c r="AI208" s="218" t="n"/>
      <c r="AJ208" s="218" t="n"/>
      <c r="AK208" s="218" t="n"/>
      <c r="AL208" s="218" t="n"/>
      <c r="AM208" s="218" t="n"/>
      <c r="AN208" s="218" t="n"/>
      <c r="AO208" s="218" t="n"/>
      <c r="AP208" s="218" t="n"/>
      <c r="AQ208" s="218" t="n"/>
      <c r="AR208" s="218" t="n"/>
      <c r="AS208" s="218" t="n"/>
      <c r="AT208" s="218" t="n"/>
      <c r="AU208" s="218" t="n"/>
      <c r="AV208" s="218" t="n"/>
      <c r="AW208" s="218" t="n"/>
      <c r="AX208" s="218" t="n"/>
      <c r="AY208" s="218" t="n"/>
      <c r="AZ208" s="218" t="n"/>
      <c r="BA208" s="218" t="n"/>
      <c r="BB208" s="218" t="n"/>
      <c r="BC208" s="218" t="n"/>
      <c r="BD208" s="218" t="n"/>
      <c r="BE208" s="218" t="n"/>
      <c r="BF208" s="218" t="n"/>
      <c r="BG208" s="218" t="n"/>
      <c r="BH208" s="218" t="n"/>
      <c r="BI208" s="218" t="n"/>
      <c r="BJ208" s="146" t="n">
        <v>120</v>
      </c>
      <c r="BK208" s="146" t="inlineStr">
        <is>
          <t>GENERACION Y TRANSMISION DE ENERGIA ELECTRICA</t>
        </is>
      </c>
      <c r="BL208" s="146" t="n"/>
      <c r="BM208" s="146" t="n"/>
      <c r="BN208" s="146" t="n"/>
      <c r="BO208" s="146" t="n"/>
      <c r="BP208" s="146" t="n"/>
      <c r="BQ208" s="146" t="n"/>
      <c r="BR208" s="146" t="n"/>
      <c r="BS208" s="146" t="n"/>
      <c r="BT208" s="146" t="n"/>
      <c r="BU208" s="218" t="n"/>
      <c r="BV208" s="218" t="n"/>
      <c r="BW208" s="218" t="n"/>
      <c r="BX208" s="218" t="n"/>
      <c r="BY208" s="218" t="n"/>
      <c r="BZ208" s="218" t="n"/>
      <c r="CA208" s="218" t="n"/>
      <c r="CB208" s="218" t="n"/>
      <c r="CC208" s="218" t="n"/>
      <c r="CD208" s="218" t="n"/>
      <c r="CE208" s="218" t="n"/>
      <c r="CF208" s="218" t="n"/>
      <c r="CG208" s="218" t="n"/>
      <c r="CH208" s="218" t="n"/>
      <c r="CI208" s="218" t="n"/>
      <c r="CJ208" s="218" t="n"/>
      <c r="CK208" s="218" t="n"/>
      <c r="CL208" s="218" t="n"/>
      <c r="CM208" s="218" t="n"/>
      <c r="CN208" s="218" t="n"/>
      <c r="CO208" s="218" t="n"/>
      <c r="CP208" s="218" t="n"/>
      <c r="CQ208" s="218" t="n"/>
      <c r="CR208" s="218" t="n"/>
      <c r="CS208" s="218" t="n"/>
      <c r="CT208" s="218" t="n"/>
      <c r="CU208" s="146" t="n">
        <v>9040</v>
      </c>
      <c r="CV208" s="146" t="inlineStr">
        <is>
          <t>TORRES JOSE FRANCISCO</t>
        </is>
      </c>
      <c r="CW208" s="218" t="n"/>
      <c r="CX208" s="218" t="n"/>
      <c r="CY208" s="218" t="n"/>
      <c r="CZ208" s="218" t="n"/>
      <c r="DA208" s="218" t="n"/>
      <c r="DB208" s="218" t="n"/>
      <c r="DC208" s="218" t="n"/>
    </row>
    <row r="209">
      <c r="A209" s="218" t="n"/>
      <c r="B209" s="218" t="n"/>
      <c r="C209" s="218" t="n"/>
      <c r="D209" s="218" t="n"/>
      <c r="E209" s="218" t="n"/>
      <c r="F209" s="218" t="n"/>
      <c r="G209" s="218" t="n"/>
      <c r="H209" s="218" t="n"/>
      <c r="I209" s="218" t="n"/>
      <c r="J209" s="218" t="n"/>
      <c r="K209" s="218" t="n"/>
      <c r="L209" s="218" t="n"/>
      <c r="M209" s="218" t="n"/>
      <c r="N209" s="218" t="n"/>
      <c r="O209" s="218" t="n"/>
      <c r="P209" s="145" t="inlineStr">
        <is>
          <t>No.</t>
        </is>
      </c>
      <c r="Q209" s="145" t="inlineStr">
        <is>
          <t>Clasificación de Cifras Virtuales</t>
        </is>
      </c>
      <c r="R209" s="146" t="n"/>
      <c r="S209" s="146" t="n"/>
      <c r="T209" s="146" t="n"/>
      <c r="U209" s="146" t="n"/>
      <c r="V209" s="146" t="n"/>
      <c r="W209" s="146" t="n"/>
      <c r="X209" s="146" t="n"/>
      <c r="Y209" s="146" t="n"/>
      <c r="Z209" s="146" t="n"/>
      <c r="AA209" s="146" t="n"/>
      <c r="AB209" s="146" t="n"/>
      <c r="AC209" s="146" t="n"/>
      <c r="AD209" s="146" t="n"/>
      <c r="AE209" s="146" t="n"/>
      <c r="AF209" s="146" t="n"/>
      <c r="AG209" s="146" t="n"/>
      <c r="AH209" s="146" t="n"/>
      <c r="AI209" s="146" t="n"/>
      <c r="AJ209" s="146" t="n"/>
      <c r="AK209" s="146" t="n"/>
      <c r="AL209" s="146" t="n"/>
      <c r="AM209" s="146" t="n"/>
      <c r="AN209" s="146" t="n"/>
      <c r="AO209" s="146" t="n"/>
      <c r="AP209" s="146" t="n"/>
      <c r="AQ209" s="146" t="n"/>
      <c r="AR209" s="146" t="n"/>
      <c r="AS209" s="218" t="n"/>
      <c r="AT209" s="218" t="n"/>
      <c r="AU209" s="218" t="n"/>
      <c r="AV209" s="218" t="n"/>
      <c r="AW209" s="218" t="n"/>
      <c r="AX209" s="218" t="n"/>
      <c r="AY209" s="218" t="n"/>
      <c r="AZ209" s="218" t="n"/>
      <c r="BA209" s="218" t="n"/>
      <c r="BB209" s="218" t="n"/>
      <c r="BC209" s="218" t="n"/>
      <c r="BD209" s="218" t="n"/>
      <c r="BE209" s="218" t="n"/>
      <c r="BF209" s="218" t="n"/>
      <c r="BG209" s="218" t="n"/>
      <c r="BH209" s="218" t="n"/>
      <c r="BI209" s="218" t="n"/>
      <c r="BJ209" s="146" t="n">
        <v>121</v>
      </c>
      <c r="BK209" s="146" t="inlineStr">
        <is>
          <t>SUMINISTRO DE ENERGIA ELECTRICA A LOS CONSUMIDORES FINALES</t>
        </is>
      </c>
      <c r="BL209" s="146" t="n"/>
      <c r="BM209" s="146" t="n"/>
      <c r="BN209" s="146" t="n"/>
      <c r="BO209" s="146" t="n"/>
      <c r="BP209" s="146" t="n"/>
      <c r="BQ209" s="146" t="n"/>
      <c r="BR209" s="146" t="n"/>
      <c r="BS209" s="146" t="n"/>
      <c r="BT209" s="146" t="n"/>
      <c r="BU209" s="218" t="n"/>
      <c r="BV209" s="218" t="n"/>
      <c r="BW209" s="218" t="n"/>
      <c r="BX209" s="218" t="n"/>
      <c r="BY209" s="218" t="n"/>
      <c r="BZ209" s="218" t="n"/>
      <c r="CA209" s="218" t="n"/>
      <c r="CB209" s="218" t="n"/>
      <c r="CC209" s="218" t="n"/>
      <c r="CD209" s="218" t="n"/>
      <c r="CE209" s="218" t="n"/>
      <c r="CF209" s="218" t="n"/>
      <c r="CG209" s="218" t="n"/>
      <c r="CH209" s="218" t="n"/>
      <c r="CI209" s="218" t="n"/>
      <c r="CJ209" s="218" t="n"/>
      <c r="CK209" s="218" t="n"/>
      <c r="CL209" s="218" t="n"/>
      <c r="CM209" s="218" t="n"/>
      <c r="CN209" s="218" t="n"/>
      <c r="CO209" s="218" t="n"/>
      <c r="CP209" s="218" t="n"/>
      <c r="CQ209" s="218" t="n"/>
      <c r="CR209" s="218" t="n"/>
      <c r="CS209" s="218" t="n"/>
      <c r="CT209" s="218" t="n"/>
      <c r="CU209" s="146" t="n">
        <v>9044</v>
      </c>
      <c r="CV209" s="146" t="inlineStr">
        <is>
          <t>ZETINA CALIXTO ROBERTO CARLOS</t>
        </is>
      </c>
      <c r="CW209" s="218" t="n"/>
      <c r="CX209" s="218" t="n"/>
      <c r="CY209" s="218" t="n"/>
      <c r="CZ209" s="218" t="n"/>
      <c r="DA209" s="218" t="n"/>
      <c r="DB209" s="218" t="n"/>
      <c r="DC209" s="218" t="n"/>
    </row>
    <row r="210">
      <c r="A210" s="218" t="n"/>
      <c r="B210" s="218" t="n"/>
      <c r="C210" s="218" t="n"/>
      <c r="D210" s="218" t="n"/>
      <c r="E210" s="218" t="n"/>
      <c r="F210" s="218" t="n"/>
      <c r="G210" s="218" t="n"/>
      <c r="H210" s="218" t="n"/>
      <c r="I210" s="218" t="n"/>
      <c r="J210" s="218" t="n"/>
      <c r="K210" s="218" t="n"/>
      <c r="L210" s="218" t="n"/>
      <c r="M210" s="218" t="n"/>
      <c r="N210" s="218" t="n"/>
      <c r="O210" s="218" t="n"/>
      <c r="P210" s="154" t="n">
        <v>1</v>
      </c>
      <c r="Q210" s="146" t="inlineStr">
        <is>
          <t>DACION EN PAGO</t>
        </is>
      </c>
      <c r="R210" s="146" t="n"/>
      <c r="S210" s="146" t="n"/>
      <c r="T210" s="146" t="n"/>
      <c r="U210" s="146" t="n"/>
      <c r="V210" s="146" t="n"/>
      <c r="W210" s="146" t="n"/>
      <c r="X210" s="146" t="n"/>
      <c r="Y210" s="146" t="n"/>
      <c r="Z210" s="146" t="n"/>
      <c r="AA210" s="146" t="n"/>
      <c r="AB210" s="146" t="n"/>
      <c r="AC210" s="146" t="n"/>
      <c r="AD210" s="146" t="n"/>
      <c r="AE210" s="146" t="n"/>
      <c r="AF210" s="146" t="n"/>
      <c r="AG210" s="146" t="n"/>
      <c r="AH210" s="146" t="n"/>
      <c r="AI210" s="146" t="n"/>
      <c r="AJ210" s="146" t="n"/>
      <c r="AK210" s="146" t="n"/>
      <c r="AL210" s="146" t="n"/>
      <c r="AM210" s="146" t="n"/>
      <c r="AN210" s="146" t="n"/>
      <c r="AO210" s="146" t="n"/>
      <c r="AP210" s="146" t="n"/>
      <c r="AQ210" s="146" t="n"/>
      <c r="AR210" s="146" t="n"/>
      <c r="AS210" s="218" t="n"/>
      <c r="AT210" s="218" t="n"/>
      <c r="AU210" s="218" t="n"/>
      <c r="AV210" s="218" t="n"/>
      <c r="AW210" s="218" t="n"/>
      <c r="AX210" s="218" t="n"/>
      <c r="AY210" s="218" t="n"/>
      <c r="AZ210" s="218" t="n"/>
      <c r="BA210" s="218" t="n"/>
      <c r="BB210" s="218" t="n"/>
      <c r="BC210" s="218" t="n"/>
      <c r="BD210" s="218" t="n"/>
      <c r="BE210" s="218" t="n"/>
      <c r="BF210" s="218" t="n"/>
      <c r="BG210" s="218" t="n"/>
      <c r="BH210" s="218" t="n"/>
      <c r="BI210" s="218" t="n"/>
      <c r="BJ210" s="146" t="n">
        <v>122</v>
      </c>
      <c r="BK210" s="146" t="inlineStr">
        <is>
          <t>CAPTACION, TRATAMIENTO Y SUMINISTRO DE AGUA PARA USO DISTINTO AL DOMESTICO</t>
        </is>
      </c>
      <c r="BL210" s="146" t="n"/>
      <c r="BM210" s="146" t="n"/>
      <c r="BN210" s="146" t="n"/>
      <c r="BO210" s="146" t="n"/>
      <c r="BP210" s="146" t="n"/>
      <c r="BQ210" s="146" t="n"/>
      <c r="BR210" s="146" t="n"/>
      <c r="BS210" s="146" t="n"/>
      <c r="BT210" s="146" t="n"/>
      <c r="BU210" s="218" t="n"/>
      <c r="BV210" s="218" t="n"/>
      <c r="BW210" s="218" t="n"/>
      <c r="BX210" s="218" t="n"/>
      <c r="BY210" s="218" t="n"/>
      <c r="BZ210" s="218" t="n"/>
      <c r="CA210" s="218" t="n"/>
      <c r="CB210" s="218" t="n"/>
      <c r="CC210" s="218" t="n"/>
      <c r="CD210" s="218" t="n"/>
      <c r="CE210" s="218" t="n"/>
      <c r="CF210" s="218" t="n"/>
      <c r="CG210" s="218" t="n"/>
      <c r="CH210" s="218" t="n"/>
      <c r="CI210" s="218" t="n"/>
      <c r="CJ210" s="218" t="n"/>
      <c r="CK210" s="218" t="n"/>
      <c r="CL210" s="218" t="n"/>
      <c r="CM210" s="218" t="n"/>
      <c r="CN210" s="218" t="n"/>
      <c r="CO210" s="218" t="n"/>
      <c r="CP210" s="218" t="n"/>
      <c r="CQ210" s="218" t="n"/>
      <c r="CR210" s="218" t="n"/>
      <c r="CS210" s="218" t="n"/>
      <c r="CT210" s="218" t="n"/>
      <c r="CU210" s="146" t="n">
        <v>9046</v>
      </c>
      <c r="CV210" s="146" t="inlineStr">
        <is>
          <t>MARTINEZ GOMEZ CESAR</t>
        </is>
      </c>
      <c r="CW210" s="218" t="n"/>
      <c r="CX210" s="218" t="n"/>
      <c r="CY210" s="218" t="n"/>
      <c r="CZ210" s="218" t="n"/>
      <c r="DA210" s="218" t="n"/>
      <c r="DB210" s="218" t="n"/>
      <c r="DC210" s="218" t="n"/>
    </row>
    <row r="211">
      <c r="A211" s="218" t="n"/>
      <c r="B211" s="218" t="n"/>
      <c r="C211" s="218" t="n"/>
      <c r="D211" s="218" t="n"/>
      <c r="E211" s="218" t="n"/>
      <c r="F211" s="218" t="n"/>
      <c r="G211" s="218" t="n"/>
      <c r="H211" s="218" t="n"/>
      <c r="I211" s="218" t="n"/>
      <c r="J211" s="218" t="n"/>
      <c r="K211" s="218" t="n"/>
      <c r="L211" s="218" t="n"/>
      <c r="M211" s="218" t="n"/>
      <c r="N211" s="218" t="n"/>
      <c r="O211" s="218" t="n"/>
      <c r="P211" s="154" t="n">
        <v>2</v>
      </c>
      <c r="Q211" s="146" t="inlineStr">
        <is>
          <t>DISMINUCION DE SALDOS A FAVOR</t>
        </is>
      </c>
      <c r="R211" s="146" t="n"/>
      <c r="S211" s="146" t="n"/>
      <c r="T211" s="146" t="n"/>
      <c r="U211" s="146" t="n"/>
      <c r="V211" s="146" t="n"/>
      <c r="W211" s="146" t="n"/>
      <c r="X211" s="146" t="n"/>
      <c r="Y211" s="146" t="n"/>
      <c r="Z211" s="146" t="n"/>
      <c r="AA211" s="146" t="n"/>
      <c r="AB211" s="146" t="n"/>
      <c r="AC211" s="146" t="n"/>
      <c r="AD211" s="146" t="n"/>
      <c r="AE211" s="146" t="n"/>
      <c r="AF211" s="146" t="n"/>
      <c r="AG211" s="146" t="n"/>
      <c r="AH211" s="146" t="n"/>
      <c r="AI211" s="146" t="n"/>
      <c r="AJ211" s="146" t="n"/>
      <c r="AK211" s="146" t="n"/>
      <c r="AL211" s="146" t="n"/>
      <c r="AM211" s="146" t="n"/>
      <c r="AN211" s="146" t="n"/>
      <c r="AO211" s="146" t="n"/>
      <c r="AP211" s="146" t="n"/>
      <c r="AQ211" s="146" t="n"/>
      <c r="AR211" s="146" t="n"/>
      <c r="AS211" s="218" t="n"/>
      <c r="AT211" s="218" t="n"/>
      <c r="AU211" s="218" t="n"/>
      <c r="AV211" s="218" t="n"/>
      <c r="AW211" s="218" t="n"/>
      <c r="AX211" s="218" t="n"/>
      <c r="AY211" s="218" t="n"/>
      <c r="AZ211" s="218" t="n"/>
      <c r="BA211" s="218" t="n"/>
      <c r="BB211" s="218" t="n"/>
      <c r="BC211" s="218" t="n"/>
      <c r="BD211" s="218" t="n"/>
      <c r="BE211" s="218" t="n"/>
      <c r="BF211" s="218" t="n"/>
      <c r="BG211" s="218" t="n"/>
      <c r="BH211" s="218" t="n"/>
      <c r="BI211" s="218" t="n"/>
      <c r="BJ211" s="146" t="n">
        <v>123</v>
      </c>
      <c r="BK211" s="146" t="inlineStr">
        <is>
          <t>CAPTACION, TRATAMIENTO Y SUMINISTRO DE AGUA PARA USO DISTINTO AL DOMESTICO REALIZADOS POR PARTICULARES</t>
        </is>
      </c>
      <c r="BL211" s="146" t="n"/>
      <c r="BM211" s="146" t="n"/>
      <c r="BN211" s="146" t="n"/>
      <c r="BO211" s="146" t="n"/>
      <c r="BP211" s="146" t="n"/>
      <c r="BQ211" s="146" t="n"/>
      <c r="BR211" s="146" t="n"/>
      <c r="BS211" s="146" t="n"/>
      <c r="BT211" s="146" t="n"/>
      <c r="BU211" s="218" t="n"/>
      <c r="BV211" s="218" t="n"/>
      <c r="BW211" s="218" t="n"/>
      <c r="BX211" s="218" t="n"/>
      <c r="BY211" s="218" t="n"/>
      <c r="BZ211" s="218" t="n"/>
      <c r="CA211" s="218" t="n"/>
      <c r="CB211" s="218" t="n"/>
      <c r="CC211" s="218" t="n"/>
      <c r="CD211" s="218" t="n"/>
      <c r="CE211" s="218" t="n"/>
      <c r="CF211" s="218" t="n"/>
      <c r="CG211" s="218" t="n"/>
      <c r="CH211" s="218" t="n"/>
      <c r="CI211" s="218" t="n"/>
      <c r="CJ211" s="218" t="n"/>
      <c r="CK211" s="218" t="n"/>
      <c r="CL211" s="218" t="n"/>
      <c r="CM211" s="218" t="n"/>
      <c r="CN211" s="218" t="n"/>
      <c r="CO211" s="218" t="n"/>
      <c r="CP211" s="218" t="n"/>
      <c r="CQ211" s="218" t="n"/>
      <c r="CR211" s="218" t="n"/>
      <c r="CS211" s="218" t="n"/>
      <c r="CT211" s="218" t="n"/>
      <c r="CU211" s="146" t="n">
        <v>9047</v>
      </c>
      <c r="CV211" s="146" t="inlineStr">
        <is>
          <t>AHEDO IBARRA KEVIN JAVIER</t>
        </is>
      </c>
      <c r="CW211" s="218" t="n"/>
      <c r="CX211" s="218" t="n"/>
      <c r="CY211" s="218" t="n"/>
      <c r="CZ211" s="218" t="n"/>
      <c r="DA211" s="218" t="n"/>
      <c r="DB211" s="218" t="n"/>
      <c r="DC211" s="218" t="n"/>
    </row>
    <row r="212">
      <c r="A212" s="218" t="n"/>
      <c r="B212" s="218" t="n"/>
      <c r="C212" s="218" t="n"/>
      <c r="D212" s="218" t="n"/>
      <c r="E212" s="218" t="n"/>
      <c r="F212" s="218" t="n"/>
      <c r="G212" s="218" t="n"/>
      <c r="H212" s="218" t="n"/>
      <c r="I212" s="218" t="n"/>
      <c r="J212" s="218" t="n"/>
      <c r="K212" s="218" t="n"/>
      <c r="L212" s="218" t="n"/>
      <c r="M212" s="218" t="n"/>
      <c r="N212" s="218" t="n"/>
      <c r="O212" s="218" t="n"/>
      <c r="P212" s="154" t="n">
        <v>3</v>
      </c>
      <c r="Q212" s="146" t="inlineStr">
        <is>
          <t>DISMINUCION DE PERDIDAS FISCALES</t>
        </is>
      </c>
      <c r="R212" s="146" t="n"/>
      <c r="S212" s="146" t="n"/>
      <c r="T212" s="146" t="n"/>
      <c r="U212" s="146" t="n"/>
      <c r="V212" s="146" t="n"/>
      <c r="W212" s="146" t="n"/>
      <c r="X212" s="146" t="n"/>
      <c r="Y212" s="146" t="n"/>
      <c r="Z212" s="146" t="n"/>
      <c r="AA212" s="146" t="n"/>
      <c r="AB212" s="146" t="n"/>
      <c r="AC212" s="146" t="n"/>
      <c r="AD212" s="146" t="n"/>
      <c r="AE212" s="146" t="n"/>
      <c r="AF212" s="146" t="n"/>
      <c r="AG212" s="146" t="n"/>
      <c r="AH212" s="146" t="n"/>
      <c r="AI212" s="146" t="n"/>
      <c r="AJ212" s="146" t="n"/>
      <c r="AK212" s="146" t="n"/>
      <c r="AL212" s="146" t="n"/>
      <c r="AM212" s="146" t="n"/>
      <c r="AN212" s="146" t="n"/>
      <c r="AO212" s="146" t="n"/>
      <c r="AP212" s="146" t="n"/>
      <c r="AQ212" s="146" t="n"/>
      <c r="AR212" s="146" t="n"/>
      <c r="AS212" s="218" t="n"/>
      <c r="AT212" s="218" t="n"/>
      <c r="AU212" s="218" t="n"/>
      <c r="AV212" s="218" t="n"/>
      <c r="AW212" s="218" t="n"/>
      <c r="AX212" s="218" t="n"/>
      <c r="AY212" s="218" t="n"/>
      <c r="AZ212" s="218" t="n"/>
      <c r="BA212" s="218" t="n"/>
      <c r="BB212" s="218" t="n"/>
      <c r="BC212" s="218" t="n"/>
      <c r="BD212" s="218" t="n"/>
      <c r="BE212" s="218" t="n"/>
      <c r="BF212" s="218" t="n"/>
      <c r="BG212" s="218" t="n"/>
      <c r="BH212" s="218" t="n"/>
      <c r="BI212" s="218" t="n"/>
      <c r="BJ212" s="146" t="n">
        <v>124</v>
      </c>
      <c r="BK212" s="146" t="inlineStr">
        <is>
          <t>SUMINISTRO DE GAS POR DUCTOS AL CONSUMIDOR FINAL</t>
        </is>
      </c>
      <c r="BL212" s="146" t="n"/>
      <c r="BM212" s="146" t="n"/>
      <c r="BN212" s="146" t="n"/>
      <c r="BO212" s="146" t="n"/>
      <c r="BP212" s="146" t="n"/>
      <c r="BQ212" s="146" t="n"/>
      <c r="BR212" s="146" t="n"/>
      <c r="BS212" s="146" t="n"/>
      <c r="BT212" s="146" t="n"/>
      <c r="BU212" s="218" t="n"/>
      <c r="BV212" s="218" t="n"/>
      <c r="BW212" s="218" t="n"/>
      <c r="BX212" s="218" t="n"/>
      <c r="BY212" s="218" t="n"/>
      <c r="BZ212" s="218" t="n"/>
      <c r="CA212" s="218" t="n"/>
      <c r="CB212" s="218" t="n"/>
      <c r="CC212" s="218" t="n"/>
      <c r="CD212" s="218" t="n"/>
      <c r="CE212" s="218" t="n"/>
      <c r="CF212" s="218" t="n"/>
      <c r="CG212" s="218" t="n"/>
      <c r="CH212" s="218" t="n"/>
      <c r="CI212" s="218" t="n"/>
      <c r="CJ212" s="218" t="n"/>
      <c r="CK212" s="218" t="n"/>
      <c r="CL212" s="218" t="n"/>
      <c r="CM212" s="218" t="n"/>
      <c r="CN212" s="218" t="n"/>
      <c r="CO212" s="218" t="n"/>
      <c r="CP212" s="218" t="n"/>
      <c r="CQ212" s="218" t="n"/>
      <c r="CR212" s="218" t="n"/>
      <c r="CS212" s="218" t="n"/>
      <c r="CT212" s="218" t="n"/>
      <c r="CU212" s="146" t="n">
        <v>9050</v>
      </c>
      <c r="CV212" s="146" t="inlineStr">
        <is>
          <t>RIDAN QUEZADA JENNIFER ELIZABETH</t>
        </is>
      </c>
      <c r="CW212" s="218" t="n"/>
      <c r="CX212" s="218" t="n"/>
      <c r="CY212" s="218" t="n"/>
      <c r="CZ212" s="218" t="n"/>
      <c r="DA212" s="218" t="n"/>
      <c r="DB212" s="218" t="n"/>
      <c r="DC212" s="218" t="n"/>
    </row>
    <row r="213">
      <c r="A213" s="218" t="n"/>
      <c r="B213" s="218" t="n"/>
      <c r="C213" s="218" t="n"/>
      <c r="D213" s="218" t="n"/>
      <c r="E213" s="218" t="n"/>
      <c r="F213" s="218" t="n"/>
      <c r="G213" s="218" t="n"/>
      <c r="H213" s="218" t="n"/>
      <c r="I213" s="218" t="n"/>
      <c r="J213" s="218" t="n"/>
      <c r="K213" s="218" t="n"/>
      <c r="L213" s="218" t="n"/>
      <c r="M213" s="218" t="n"/>
      <c r="N213" s="218" t="n"/>
      <c r="O213" s="218" t="n"/>
      <c r="P213" s="154" t="n">
        <v>4</v>
      </c>
      <c r="Q213" s="146" t="inlineStr">
        <is>
          <t>AMORTIZACION DE PERDIDAS EJERCICIOS ANTERIORES O POSTER.</t>
        </is>
      </c>
      <c r="R213" s="153" t="n"/>
      <c r="S213" s="146" t="n"/>
      <c r="T213" s="146" t="n"/>
      <c r="U213" s="146" t="n"/>
      <c r="V213" s="146" t="n"/>
      <c r="W213" s="146" t="n"/>
      <c r="X213" s="146" t="n"/>
      <c r="Y213" s="146" t="n"/>
      <c r="Z213" s="146" t="n"/>
      <c r="AA213" s="146" t="n"/>
      <c r="AB213" s="146" t="n"/>
      <c r="AC213" s="146" t="n"/>
      <c r="AD213" s="146" t="n"/>
      <c r="AE213" s="146" t="n"/>
      <c r="AF213" s="146" t="n"/>
      <c r="AG213" s="146" t="n"/>
      <c r="AH213" s="146" t="n"/>
      <c r="AI213" s="146" t="n"/>
      <c r="AJ213" s="146" t="n"/>
      <c r="AK213" s="146" t="n"/>
      <c r="AL213" s="146" t="n"/>
      <c r="AM213" s="146" t="n"/>
      <c r="AN213" s="146" t="n"/>
      <c r="AO213" s="146" t="n"/>
      <c r="AP213" s="146" t="n"/>
      <c r="AQ213" s="146" t="n"/>
      <c r="AR213" s="146" t="n"/>
      <c r="AS213" s="218" t="n"/>
      <c r="AT213" s="218" t="n"/>
      <c r="AU213" s="218" t="n"/>
      <c r="AV213" s="218" t="n"/>
      <c r="AW213" s="218" t="n"/>
      <c r="AX213" s="218" t="n"/>
      <c r="AY213" s="218" t="n"/>
      <c r="AZ213" s="218" t="n"/>
      <c r="BA213" s="218" t="n"/>
      <c r="BB213" s="218" t="n"/>
      <c r="BC213" s="218" t="n"/>
      <c r="BD213" s="218" t="n"/>
      <c r="BE213" s="218" t="n"/>
      <c r="BF213" s="218" t="n"/>
      <c r="BG213" s="218" t="n"/>
      <c r="BH213" s="218" t="n"/>
      <c r="BI213" s="218" t="n"/>
      <c r="BJ213" s="146" t="n">
        <v>125</v>
      </c>
      <c r="BK213" s="146" t="inlineStr">
        <is>
          <t>CONSTRUCCION DE VIVIENDA UNIFAMILIAR</t>
        </is>
      </c>
      <c r="BL213" s="146" t="n"/>
      <c r="BM213" s="146" t="n"/>
      <c r="BN213" s="146" t="n"/>
      <c r="BO213" s="146" t="n"/>
      <c r="BP213" s="146" t="n"/>
      <c r="BQ213" s="146" t="n"/>
      <c r="BR213" s="146" t="n"/>
      <c r="BS213" s="146" t="n"/>
      <c r="BT213" s="146" t="n"/>
      <c r="BU213" s="218" t="n"/>
      <c r="BV213" s="218" t="n"/>
      <c r="BW213" s="218" t="n"/>
      <c r="BX213" s="218" t="n"/>
      <c r="BY213" s="218" t="n"/>
      <c r="BZ213" s="218" t="n"/>
      <c r="CA213" s="218" t="n"/>
      <c r="CB213" s="218" t="n"/>
      <c r="CC213" s="218" t="n"/>
      <c r="CD213" s="218" t="n"/>
      <c r="CE213" s="218" t="n"/>
      <c r="CF213" s="218" t="n"/>
      <c r="CG213" s="218" t="n"/>
      <c r="CH213" s="218" t="n"/>
      <c r="CI213" s="218" t="n"/>
      <c r="CJ213" s="218" t="n"/>
      <c r="CK213" s="218" t="n"/>
      <c r="CL213" s="218" t="n"/>
      <c r="CM213" s="218" t="n"/>
      <c r="CN213" s="218" t="n"/>
      <c r="CO213" s="218" t="n"/>
      <c r="CP213" s="218" t="n"/>
      <c r="CQ213" s="218" t="n"/>
      <c r="CR213" s="218" t="n"/>
      <c r="CS213" s="218" t="n"/>
      <c r="CT213" s="218" t="n"/>
      <c r="CU213" s="218" t="n">
        <v>9063</v>
      </c>
      <c r="CV213" s="218" t="inlineStr">
        <is>
          <t>VAZQUEZ CHAVEZ YAJIRA SHUGEY</t>
        </is>
      </c>
      <c r="CW213" s="218" t="n"/>
      <c r="CX213" s="218" t="n"/>
      <c r="CY213" s="218" t="n"/>
      <c r="CZ213" s="218" t="n"/>
      <c r="DA213" s="218" t="n"/>
      <c r="DB213" s="218" t="n"/>
      <c r="DC213" s="218" t="n"/>
    </row>
    <row r="214">
      <c r="A214" s="218" t="n"/>
      <c r="B214" s="218" t="n"/>
      <c r="C214" s="218" t="n"/>
      <c r="D214" s="218" t="n"/>
      <c r="E214" s="218" t="n"/>
      <c r="F214" s="218" t="n"/>
      <c r="G214" s="218" t="n"/>
      <c r="H214" s="218" t="n"/>
      <c r="I214" s="218" t="n"/>
      <c r="J214" s="218" t="n"/>
      <c r="K214" s="218" t="n"/>
      <c r="L214" s="218" t="n"/>
      <c r="M214" s="218" t="n"/>
      <c r="N214" s="218" t="n"/>
      <c r="O214" s="218" t="n"/>
      <c r="P214" s="154" t="n">
        <v>5</v>
      </c>
      <c r="Q214" s="146" t="inlineStr">
        <is>
          <t>DISMINUCION DE CAS ACREDITADO INDEBIDO / SUBSIDIO AL EMPLEO</t>
        </is>
      </c>
      <c r="R214" s="146" t="n"/>
      <c r="S214" s="146" t="n"/>
      <c r="T214" s="146" t="n"/>
      <c r="U214" s="146" t="n"/>
      <c r="V214" s="146" t="n"/>
      <c r="W214" s="146" t="n"/>
      <c r="X214" s="146" t="n"/>
      <c r="Y214" s="146" t="n"/>
      <c r="Z214" s="146" t="n"/>
      <c r="AA214" s="146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46" t="n"/>
      <c r="AL214" s="146" t="n"/>
      <c r="AM214" s="146" t="n"/>
      <c r="AN214" s="146" t="n"/>
      <c r="AO214" s="146" t="n"/>
      <c r="AP214" s="146" t="n"/>
      <c r="AQ214" s="146" t="n"/>
      <c r="AR214" s="146" t="n"/>
      <c r="AS214" s="218" t="n"/>
      <c r="AT214" s="218" t="n"/>
      <c r="AU214" s="218" t="n"/>
      <c r="AV214" s="218" t="n"/>
      <c r="AW214" s="218" t="n"/>
      <c r="AX214" s="218" t="n"/>
      <c r="AY214" s="218" t="n"/>
      <c r="AZ214" s="218" t="n"/>
      <c r="BA214" s="218" t="n"/>
      <c r="BB214" s="218" t="n"/>
      <c r="BC214" s="218" t="n"/>
      <c r="BD214" s="218" t="n"/>
      <c r="BE214" s="218" t="n"/>
      <c r="BF214" s="218" t="n"/>
      <c r="BG214" s="218" t="n"/>
      <c r="BH214" s="218" t="n"/>
      <c r="BI214" s="218" t="n"/>
      <c r="BJ214" s="146" t="n">
        <v>126</v>
      </c>
      <c r="BK214" s="146" t="inlineStr">
        <is>
          <t>ADMINISTRACION Y SUPERVISION DE CONSTRUCCION DE VIVIENDA</t>
        </is>
      </c>
      <c r="BL214" s="146" t="n"/>
      <c r="BM214" s="146" t="n"/>
      <c r="BN214" s="146" t="n"/>
      <c r="BO214" s="146" t="n"/>
      <c r="BP214" s="146" t="n"/>
      <c r="BQ214" s="146" t="n"/>
      <c r="BR214" s="146" t="n"/>
      <c r="BS214" s="146" t="n"/>
      <c r="BT214" s="146" t="n"/>
      <c r="BU214" s="218" t="n"/>
      <c r="BV214" s="218" t="n"/>
      <c r="BW214" s="218" t="n"/>
      <c r="BX214" s="218" t="n"/>
      <c r="BY214" s="218" t="n"/>
      <c r="BZ214" s="218" t="n"/>
      <c r="CA214" s="218" t="n"/>
      <c r="CB214" s="218" t="n"/>
      <c r="CC214" s="218" t="n"/>
      <c r="CD214" s="218" t="n"/>
      <c r="CE214" s="218" t="n"/>
      <c r="CF214" s="218" t="n"/>
      <c r="CG214" s="218" t="n"/>
      <c r="CH214" s="218" t="n"/>
      <c r="CI214" s="218" t="n"/>
      <c r="CJ214" s="218" t="n"/>
      <c r="CK214" s="218" t="n"/>
      <c r="CL214" s="218" t="n"/>
      <c r="CM214" s="218" t="n"/>
      <c r="CN214" s="218" t="n"/>
      <c r="CO214" s="218" t="n"/>
      <c r="CP214" s="218" t="n"/>
      <c r="CQ214" s="218" t="n"/>
      <c r="CR214" s="218" t="n"/>
      <c r="CS214" s="218" t="n"/>
      <c r="CT214" s="218" t="n"/>
      <c r="CU214" s="218" t="n">
        <v>9064</v>
      </c>
      <c r="CV214" s="218" t="inlineStr">
        <is>
          <t>IBARRA SEGURA OMAR</t>
        </is>
      </c>
      <c r="CW214" s="218" t="n"/>
      <c r="CX214" s="218" t="n"/>
      <c r="CY214" s="218" t="n"/>
      <c r="CZ214" s="218" t="n"/>
      <c r="DA214" s="218" t="n"/>
      <c r="DB214" s="218" t="n"/>
      <c r="DC214" s="218" t="n"/>
    </row>
    <row r="215">
      <c r="A215" s="218" t="n"/>
      <c r="B215" s="218" t="n"/>
      <c r="C215" s="218" t="n"/>
      <c r="D215" s="218" t="n"/>
      <c r="E215" s="218" t="n"/>
      <c r="F215" s="218" t="n"/>
      <c r="G215" s="218" t="n"/>
      <c r="H215" s="218" t="n"/>
      <c r="I215" s="218" t="n"/>
      <c r="J215" s="218" t="n"/>
      <c r="K215" s="218" t="n"/>
      <c r="L215" s="218" t="n"/>
      <c r="M215" s="218" t="n"/>
      <c r="N215" s="218" t="n"/>
      <c r="O215" s="218" t="n"/>
      <c r="P215" s="154" t="n">
        <v>6</v>
      </c>
      <c r="Q215" s="146" t="inlineStr">
        <is>
          <t>ACREDITAMIENTO</t>
        </is>
      </c>
      <c r="R215" s="146" t="n"/>
      <c r="S215" s="146" t="n"/>
      <c r="T215" s="146" t="n"/>
      <c r="U215" s="146" t="n"/>
      <c r="V215" s="146" t="n"/>
      <c r="W215" s="146" t="n"/>
      <c r="X215" s="146" t="n"/>
      <c r="Y215" s="146" t="n"/>
      <c r="Z215" s="146" t="n"/>
      <c r="AA215" s="146" t="n"/>
      <c r="AB215" s="146" t="n"/>
      <c r="AC215" s="146" t="n"/>
      <c r="AD215" s="146" t="n"/>
      <c r="AE215" s="146" t="n"/>
      <c r="AF215" s="146" t="n"/>
      <c r="AG215" s="146" t="n"/>
      <c r="AH215" s="146" t="n"/>
      <c r="AI215" s="146" t="n"/>
      <c r="AJ215" s="146" t="n"/>
      <c r="AK215" s="146" t="n"/>
      <c r="AL215" s="146" t="n"/>
      <c r="AM215" s="146" t="n"/>
      <c r="AN215" s="146" t="n"/>
      <c r="AO215" s="146" t="n"/>
      <c r="AP215" s="146" t="n"/>
      <c r="AQ215" s="146" t="n"/>
      <c r="AR215" s="146" t="n"/>
      <c r="AS215" s="218" t="n"/>
      <c r="AT215" s="218" t="n"/>
      <c r="AU215" s="218" t="n"/>
      <c r="AV215" s="218" t="n"/>
      <c r="AW215" s="218" t="n"/>
      <c r="AX215" s="218" t="n"/>
      <c r="AY215" s="218" t="n"/>
      <c r="AZ215" s="218" t="n"/>
      <c r="BA215" s="218" t="n"/>
      <c r="BB215" s="218" t="n"/>
      <c r="BC215" s="218" t="n"/>
      <c r="BD215" s="218" t="n"/>
      <c r="BE215" s="218" t="n"/>
      <c r="BF215" s="218" t="n"/>
      <c r="BG215" s="218" t="n"/>
      <c r="BH215" s="218" t="n"/>
      <c r="BI215" s="218" t="n"/>
      <c r="BJ215" s="146" t="n">
        <v>128</v>
      </c>
      <c r="BK215" s="146" t="inlineStr">
        <is>
          <t>CONSTRUCCION DE NAVES Y PLANTAS INDUSTRIALES</t>
        </is>
      </c>
      <c r="BL215" s="146" t="n"/>
      <c r="BM215" s="146" t="n"/>
      <c r="BN215" s="146" t="n"/>
      <c r="BO215" s="146" t="n"/>
      <c r="BP215" s="146" t="n"/>
      <c r="BQ215" s="146" t="n"/>
      <c r="BR215" s="146" t="n"/>
      <c r="BS215" s="146" t="n"/>
      <c r="BT215" s="146" t="n"/>
      <c r="BU215" s="218" t="n"/>
      <c r="BV215" s="218" t="n"/>
      <c r="BW215" s="218" t="n"/>
      <c r="BX215" s="218" t="n"/>
      <c r="BY215" s="218" t="n"/>
      <c r="BZ215" s="218" t="n"/>
      <c r="CA215" s="218" t="n"/>
      <c r="CB215" s="218" t="n"/>
      <c r="CC215" s="218" t="n"/>
      <c r="CD215" s="218" t="n"/>
      <c r="CE215" s="218" t="n"/>
      <c r="CF215" s="218" t="n"/>
      <c r="CG215" s="218" t="n"/>
      <c r="CH215" s="218" t="n"/>
      <c r="CI215" s="218" t="n"/>
      <c r="CJ215" s="218" t="n"/>
      <c r="CK215" s="218" t="n"/>
      <c r="CL215" s="218" t="n"/>
      <c r="CM215" s="218" t="n"/>
      <c r="CN215" s="218" t="n"/>
      <c r="CO215" s="218" t="n"/>
      <c r="CP215" s="218" t="n"/>
      <c r="CQ215" s="218" t="n"/>
      <c r="CR215" s="218" t="n"/>
      <c r="CS215" s="218" t="n"/>
      <c r="CT215" s="218" t="n"/>
      <c r="CU215" s="218" t="n">
        <v>9065</v>
      </c>
      <c r="CV215" s="218" t="inlineStr">
        <is>
          <t>FUENTES MARTINEZ ANGEL EDUARDO</t>
        </is>
      </c>
      <c r="CW215" s="218" t="n"/>
      <c r="CX215" s="218" t="n"/>
      <c r="CY215" s="218" t="n"/>
      <c r="CZ215" s="218" t="n"/>
      <c r="DA215" s="218" t="n"/>
      <c r="DB215" s="218" t="n"/>
      <c r="DC215" s="218" t="n"/>
    </row>
    <row r="216">
      <c r="A216" s="218" t="n"/>
      <c r="B216" s="218" t="n"/>
      <c r="C216" s="218" t="n"/>
      <c r="D216" s="218" t="n"/>
      <c r="E216" s="218" t="n"/>
      <c r="F216" s="218" t="n"/>
      <c r="G216" s="218" t="n"/>
      <c r="H216" s="218" t="n"/>
      <c r="I216" s="218" t="n"/>
      <c r="J216" s="218" t="n"/>
      <c r="K216" s="218" t="n"/>
      <c r="L216" s="218" t="n"/>
      <c r="M216" s="218" t="n"/>
      <c r="N216" s="218" t="n"/>
      <c r="O216" s="218" t="n"/>
      <c r="P216" s="154" t="n">
        <v>71</v>
      </c>
      <c r="Q216" s="146" t="inlineStr">
        <is>
          <t>ESTIMULOS POR CREDITO DIESEL</t>
        </is>
      </c>
      <c r="R216" s="146" t="n"/>
      <c r="S216" s="146" t="n"/>
      <c r="T216" s="146" t="n"/>
      <c r="U216" s="146" t="n"/>
      <c r="V216" s="146" t="n"/>
      <c r="W216" s="146" t="n"/>
      <c r="X216" s="146" t="n"/>
      <c r="Y216" s="146" t="n"/>
      <c r="Z216" s="146" t="n"/>
      <c r="AA216" s="146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46" t="n"/>
      <c r="AL216" s="146" t="n"/>
      <c r="AM216" s="146" t="n"/>
      <c r="AN216" s="146" t="n"/>
      <c r="AO216" s="146" t="n"/>
      <c r="AP216" s="146" t="n"/>
      <c r="AQ216" s="146" t="n"/>
      <c r="AR216" s="146" t="n"/>
      <c r="AS216" s="218" t="n"/>
      <c r="AT216" s="218" t="n"/>
      <c r="AU216" s="218" t="n"/>
      <c r="AV216" s="218" t="n"/>
      <c r="AW216" s="218" t="n"/>
      <c r="AX216" s="218" t="n"/>
      <c r="AY216" s="218" t="n"/>
      <c r="AZ216" s="218" t="n"/>
      <c r="BA216" s="218" t="n"/>
      <c r="BB216" s="218" t="n"/>
      <c r="BC216" s="218" t="n"/>
      <c r="BD216" s="218" t="n"/>
      <c r="BE216" s="218" t="n"/>
      <c r="BF216" s="218" t="n"/>
      <c r="BG216" s="218" t="n"/>
      <c r="BH216" s="218" t="n"/>
      <c r="BI216" s="218" t="n"/>
      <c r="BJ216" s="146" t="n">
        <v>131</v>
      </c>
      <c r="BK216" s="146" t="inlineStr">
        <is>
          <t>CONSTRUCCION DE INMUEBLES COMERCIALES, INSTITUCIONALES Y DE SERVICIOS</t>
        </is>
      </c>
      <c r="BL216" s="146" t="n"/>
      <c r="BM216" s="146" t="n"/>
      <c r="BN216" s="146" t="n"/>
      <c r="BO216" s="146" t="n"/>
      <c r="BP216" s="146" t="n"/>
      <c r="BQ216" s="146" t="n"/>
      <c r="BR216" s="146" t="n"/>
      <c r="BS216" s="146" t="n"/>
      <c r="BT216" s="146" t="n"/>
      <c r="BU216" s="218" t="n"/>
      <c r="BV216" s="218" t="n"/>
      <c r="BW216" s="218" t="n"/>
      <c r="BX216" s="218" t="n"/>
      <c r="BY216" s="218" t="n"/>
      <c r="BZ216" s="218" t="n"/>
      <c r="CA216" s="218" t="n"/>
      <c r="CB216" s="218" t="n"/>
      <c r="CC216" s="218" t="n"/>
      <c r="CD216" s="218" t="n"/>
      <c r="CE216" s="218" t="n"/>
      <c r="CF216" s="218" t="n"/>
      <c r="CG216" s="218" t="n"/>
      <c r="CH216" s="218" t="n"/>
      <c r="CI216" s="218" t="n"/>
      <c r="CJ216" s="218" t="n"/>
      <c r="CK216" s="218" t="n"/>
      <c r="CL216" s="218" t="n"/>
      <c r="CM216" s="218" t="n"/>
      <c r="CN216" s="218" t="n"/>
      <c r="CO216" s="218" t="n"/>
      <c r="CP216" s="218" t="n"/>
      <c r="CQ216" s="218" t="n"/>
      <c r="CR216" s="218" t="n"/>
      <c r="CS216" s="218" t="n"/>
      <c r="CT216" s="218" t="n"/>
      <c r="CU216" s="146" t="n">
        <v>9071</v>
      </c>
      <c r="CV216" s="146" t="inlineStr">
        <is>
          <t xml:space="preserve">ESTRADA TOLEDANO DAVID </t>
        </is>
      </c>
      <c r="CW216" s="218" t="n"/>
      <c r="CX216" s="218" t="n"/>
      <c r="CY216" s="218" t="n"/>
      <c r="CZ216" s="218" t="n"/>
      <c r="DA216" s="218" t="n"/>
      <c r="DB216" s="218" t="n"/>
      <c r="DC216" s="218" t="n"/>
    </row>
    <row r="217">
      <c r="A217" s="218" t="n"/>
      <c r="B217" s="218" t="n"/>
      <c r="C217" s="218" t="n"/>
      <c r="D217" s="218" t="n"/>
      <c r="E217" s="218" t="n"/>
      <c r="F217" s="218" t="n"/>
      <c r="G217" s="218" t="n"/>
      <c r="H217" s="218" t="n"/>
      <c r="I217" s="218" t="n"/>
      <c r="J217" s="218" t="n"/>
      <c r="K217" s="218" t="n"/>
      <c r="L217" s="218" t="n"/>
      <c r="M217" s="218" t="n"/>
      <c r="N217" s="218" t="n"/>
      <c r="O217" s="218" t="n"/>
      <c r="P217" s="154" t="n">
        <v>72</v>
      </c>
      <c r="Q217" s="146" t="inlineStr">
        <is>
          <t>ESTIMULOS POR USO DE INFRAESTRUCTURA CARRETERA DE CUOTA</t>
        </is>
      </c>
      <c r="R217" s="146" t="n"/>
      <c r="S217" s="146" t="n"/>
      <c r="T217" s="146" t="n"/>
      <c r="U217" s="146" t="n"/>
      <c r="V217" s="146" t="n"/>
      <c r="W217" s="146" t="n"/>
      <c r="X217" s="146" t="n"/>
      <c r="Y217" s="146" t="n"/>
      <c r="Z217" s="146" t="n"/>
      <c r="AA217" s="146" t="n"/>
      <c r="AB217" s="146" t="n"/>
      <c r="AC217" s="146" t="n"/>
      <c r="AD217" s="146" t="n"/>
      <c r="AE217" s="146" t="n"/>
      <c r="AF217" s="146" t="n"/>
      <c r="AG217" s="146" t="n"/>
      <c r="AH217" s="146" t="n"/>
      <c r="AI217" s="146" t="n"/>
      <c r="AJ217" s="146" t="n"/>
      <c r="AK217" s="146" t="n"/>
      <c r="AL217" s="146" t="n"/>
      <c r="AM217" s="146" t="n"/>
      <c r="AN217" s="146" t="n"/>
      <c r="AO217" s="146" t="n"/>
      <c r="AP217" s="146" t="n"/>
      <c r="AQ217" s="146" t="n"/>
      <c r="AR217" s="146" t="n"/>
      <c r="AS217" s="218" t="n"/>
      <c r="AT217" s="218" t="n"/>
      <c r="AU217" s="218" t="n"/>
      <c r="AV217" s="218" t="n"/>
      <c r="AW217" s="218" t="n"/>
      <c r="AX217" s="218" t="n"/>
      <c r="AY217" s="218" t="n"/>
      <c r="AZ217" s="218" t="n"/>
      <c r="BA217" s="218" t="n"/>
      <c r="BB217" s="218" t="n"/>
      <c r="BC217" s="218" t="n"/>
      <c r="BD217" s="218" t="n"/>
      <c r="BE217" s="218" t="n"/>
      <c r="BF217" s="218" t="n"/>
      <c r="BG217" s="218" t="n"/>
      <c r="BH217" s="218" t="n"/>
      <c r="BI217" s="218" t="n"/>
      <c r="BJ217" s="146" t="n">
        <v>133</v>
      </c>
      <c r="BK217" s="146" t="inlineStr">
        <is>
          <t>ADMINISTRACION Y SUPERVISION DE CONSTRUCCION DE INMUEBLES COMERCIALES, INSTITUCIONALES Y DE SERVICIOS</t>
        </is>
      </c>
      <c r="BL217" s="146" t="n"/>
      <c r="BM217" s="146" t="n"/>
      <c r="BN217" s="146" t="n"/>
      <c r="BO217" s="146" t="n"/>
      <c r="BP217" s="146" t="n"/>
      <c r="BQ217" s="146" t="n"/>
      <c r="BR217" s="146" t="n"/>
      <c r="BS217" s="146" t="n"/>
      <c r="BT217" s="146" t="n"/>
      <c r="BU217" s="218" t="n"/>
      <c r="BV217" s="218" t="n"/>
      <c r="BW217" s="218" t="n"/>
      <c r="BX217" s="218" t="n"/>
      <c r="BY217" s="218" t="n"/>
      <c r="BZ217" s="218" t="n"/>
      <c r="CA217" s="218" t="n"/>
      <c r="CB217" s="218" t="n"/>
      <c r="CC217" s="218" t="n"/>
      <c r="CD217" s="218" t="n"/>
      <c r="CE217" s="218" t="n"/>
      <c r="CF217" s="218" t="n"/>
      <c r="CG217" s="218" t="n"/>
      <c r="CH217" s="218" t="n"/>
      <c r="CI217" s="218" t="n"/>
      <c r="CJ217" s="218" t="n"/>
      <c r="CK217" s="218" t="n"/>
      <c r="CL217" s="218" t="n"/>
      <c r="CM217" s="218" t="n"/>
      <c r="CN217" s="218" t="n"/>
      <c r="CO217" s="218" t="n"/>
      <c r="CP217" s="218" t="n"/>
      <c r="CQ217" s="218" t="n"/>
      <c r="CR217" s="218" t="n"/>
      <c r="CS217" s="218" t="n"/>
      <c r="CT217" s="218" t="n"/>
      <c r="CU217" s="146" t="n">
        <v>9072</v>
      </c>
      <c r="CV217" s="146" t="inlineStr">
        <is>
          <t xml:space="preserve">AMADOR MALDONADO JORDAN ABISAI </t>
        </is>
      </c>
      <c r="CW217" s="218" t="n"/>
      <c r="CX217" s="218" t="n"/>
      <c r="CY217" s="218" t="n"/>
      <c r="CZ217" s="218" t="n"/>
      <c r="DA217" s="218" t="n"/>
      <c r="DB217" s="218" t="n"/>
      <c r="DC217" s="218" t="n"/>
    </row>
    <row r="218">
      <c r="A218" s="218" t="n"/>
      <c r="B218" s="218" t="n"/>
      <c r="C218" s="218" t="n"/>
      <c r="D218" s="218" t="n"/>
      <c r="E218" s="218" t="n"/>
      <c r="F218" s="218" t="n"/>
      <c r="G218" s="218" t="n"/>
      <c r="H218" s="218" t="n"/>
      <c r="I218" s="218" t="n"/>
      <c r="J218" s="218" t="n"/>
      <c r="K218" s="218" t="n"/>
      <c r="L218" s="218" t="n"/>
      <c r="M218" s="218" t="n"/>
      <c r="N218" s="218" t="n"/>
      <c r="O218" s="218" t="n"/>
      <c r="P218" s="154" t="n">
        <v>73</v>
      </c>
      <c r="Q218" s="146" t="inlineStr">
        <is>
          <t>ESTIMULOS POR ACTIVIDADES DEL SECTOR PRIMARIO</t>
        </is>
      </c>
      <c r="R218" s="146" t="n"/>
      <c r="S218" s="146" t="n"/>
      <c r="T218" s="146" t="n"/>
      <c r="U218" s="146" t="n"/>
      <c r="V218" s="146" t="n"/>
      <c r="W218" s="146" t="n"/>
      <c r="X218" s="146" t="n"/>
      <c r="Y218" s="146" t="n"/>
      <c r="Z218" s="146" t="n"/>
      <c r="AA218" s="146" t="n"/>
      <c r="AB218" s="146" t="n"/>
      <c r="AC218" s="146" t="n"/>
      <c r="AD218" s="146" t="n"/>
      <c r="AE218" s="146" t="n"/>
      <c r="AF218" s="146" t="n"/>
      <c r="AG218" s="146" t="n"/>
      <c r="AH218" s="146" t="n"/>
      <c r="AI218" s="146" t="n"/>
      <c r="AJ218" s="146" t="n"/>
      <c r="AK218" s="146" t="n"/>
      <c r="AL218" s="146" t="n"/>
      <c r="AM218" s="146" t="n"/>
      <c r="AN218" s="146" t="n"/>
      <c r="AO218" s="146" t="n"/>
      <c r="AP218" s="146" t="n"/>
      <c r="AQ218" s="146" t="n"/>
      <c r="AR218" s="146" t="n"/>
      <c r="AS218" s="218" t="n"/>
      <c r="AT218" s="218" t="n"/>
      <c r="AU218" s="218" t="n"/>
      <c r="AV218" s="218" t="n"/>
      <c r="AW218" s="218" t="n"/>
      <c r="AX218" s="218" t="n"/>
      <c r="AY218" s="218" t="n"/>
      <c r="AZ218" s="218" t="n"/>
      <c r="BA218" s="218" t="n"/>
      <c r="BB218" s="218" t="n"/>
      <c r="BC218" s="218" t="n"/>
      <c r="BD218" s="218" t="n"/>
      <c r="BE218" s="218" t="n"/>
      <c r="BF218" s="218" t="n"/>
      <c r="BG218" s="218" t="n"/>
      <c r="BH218" s="218" t="n"/>
      <c r="BI218" s="218" t="n"/>
      <c r="BJ218" s="146" t="n">
        <v>135</v>
      </c>
      <c r="BK218" s="146" t="inlineStr">
        <is>
          <t>CONSTRUCCION DE OBRAS PARA EL SUMINISTRO DE AGUA REALIZADOS PARA EL SECTOR AGRICOLA O GANADERO</t>
        </is>
      </c>
      <c r="BL218" s="146" t="n"/>
      <c r="BM218" s="146" t="n"/>
      <c r="BN218" s="146" t="n"/>
      <c r="BO218" s="146" t="n"/>
      <c r="BP218" s="146" t="n"/>
      <c r="BQ218" s="146" t="n"/>
      <c r="BR218" s="146" t="n"/>
      <c r="BS218" s="146" t="n"/>
      <c r="BT218" s="146" t="n"/>
      <c r="BU218" s="218" t="n"/>
      <c r="BV218" s="218" t="n"/>
      <c r="BW218" s="218" t="n"/>
      <c r="BX218" s="218" t="n"/>
      <c r="BY218" s="218" t="n"/>
      <c r="BZ218" s="218" t="n"/>
      <c r="CA218" s="218" t="n"/>
      <c r="CB218" s="218" t="n"/>
      <c r="CC218" s="218" t="n"/>
      <c r="CD218" s="218" t="n"/>
      <c r="CE218" s="218" t="n"/>
      <c r="CF218" s="218" t="n"/>
      <c r="CG218" s="218" t="n"/>
      <c r="CH218" s="218" t="n"/>
      <c r="CI218" s="218" t="n"/>
      <c r="CJ218" s="218" t="n"/>
      <c r="CK218" s="218" t="n"/>
      <c r="CL218" s="218" t="n"/>
      <c r="CM218" s="218" t="n"/>
      <c r="CN218" s="218" t="n"/>
      <c r="CO218" s="218" t="n"/>
      <c r="CP218" s="218" t="n"/>
      <c r="CQ218" s="218" t="n"/>
      <c r="CR218" s="218" t="n"/>
      <c r="CS218" s="218" t="n"/>
      <c r="CT218" s="218" t="n"/>
      <c r="CU218" s="218" t="n"/>
      <c r="CV218" s="218" t="n"/>
      <c r="CW218" s="218" t="n"/>
      <c r="CX218" s="218" t="n"/>
      <c r="CY218" s="218" t="n"/>
      <c r="CZ218" s="218" t="n"/>
      <c r="DA218" s="218" t="n"/>
      <c r="DB218" s="218" t="n"/>
      <c r="DC218" s="218" t="n"/>
    </row>
    <row r="219">
      <c r="A219" s="218" t="n"/>
      <c r="B219" s="218" t="n"/>
      <c r="C219" s="218" t="n"/>
      <c r="D219" s="218" t="n"/>
      <c r="E219" s="218" t="n"/>
      <c r="F219" s="218" t="n"/>
      <c r="G219" s="218" t="n"/>
      <c r="H219" s="218" t="n"/>
      <c r="I219" s="218" t="n"/>
      <c r="J219" s="218" t="n"/>
      <c r="K219" s="218" t="n"/>
      <c r="L219" s="218" t="n"/>
      <c r="M219" s="218" t="n"/>
      <c r="N219" s="218" t="n"/>
      <c r="O219" s="218" t="n"/>
      <c r="P219" s="154" t="n">
        <v>74</v>
      </c>
      <c r="Q219" s="146" t="inlineStr">
        <is>
          <t>ESTIMULOS POR INVESTIGACION Y DESARROLLO TECNOLOGICO</t>
        </is>
      </c>
      <c r="R219" s="146" t="n"/>
      <c r="S219" s="146" t="n"/>
      <c r="T219" s="146" t="n"/>
      <c r="U219" s="146" t="n"/>
      <c r="V219" s="146" t="n"/>
      <c r="W219" s="146" t="n"/>
      <c r="X219" s="146" t="n"/>
      <c r="Y219" s="146" t="n"/>
      <c r="Z219" s="146" t="n"/>
      <c r="AA219" s="146" t="n"/>
      <c r="AB219" s="146" t="n"/>
      <c r="AC219" s="146" t="n"/>
      <c r="AD219" s="146" t="n"/>
      <c r="AE219" s="146" t="n"/>
      <c r="AF219" s="146" t="n"/>
      <c r="AG219" s="146" t="n"/>
      <c r="AH219" s="146" t="n"/>
      <c r="AI219" s="146" t="n"/>
      <c r="AJ219" s="146" t="n"/>
      <c r="AK219" s="146" t="n"/>
      <c r="AL219" s="146" t="n"/>
      <c r="AM219" s="146" t="n"/>
      <c r="AN219" s="146" t="n"/>
      <c r="AO219" s="146" t="n"/>
      <c r="AP219" s="146" t="n"/>
      <c r="AQ219" s="146" t="n"/>
      <c r="AR219" s="146" t="n"/>
      <c r="AS219" s="218" t="n"/>
      <c r="AT219" s="218" t="n"/>
      <c r="AU219" s="218" t="n"/>
      <c r="AV219" s="218" t="n"/>
      <c r="AW219" s="218" t="n"/>
      <c r="AX219" s="218" t="n"/>
      <c r="AY219" s="218" t="n"/>
      <c r="AZ219" s="218" t="n"/>
      <c r="BA219" s="218" t="n"/>
      <c r="BB219" s="218" t="n"/>
      <c r="BC219" s="218" t="n"/>
      <c r="BD219" s="218" t="n"/>
      <c r="BE219" s="218" t="n"/>
      <c r="BF219" s="218" t="n"/>
      <c r="BG219" s="218" t="n"/>
      <c r="BH219" s="218" t="n"/>
      <c r="BI219" s="218" t="n"/>
      <c r="BJ219" s="146" t="n">
        <v>136</v>
      </c>
      <c r="BK219" s="146" t="inlineStr">
        <is>
          <t>CONSTRUCCION DE SISTEMAS DE RIEGO AGRICOLA</t>
        </is>
      </c>
      <c r="BL219" s="146" t="n"/>
      <c r="BM219" s="146" t="n"/>
      <c r="BN219" s="146" t="n"/>
      <c r="BO219" s="146" t="n"/>
      <c r="BP219" s="146" t="n"/>
      <c r="BQ219" s="146" t="n"/>
      <c r="BR219" s="146" t="n"/>
      <c r="BS219" s="146" t="n"/>
      <c r="BT219" s="146" t="n"/>
      <c r="BU219" s="218" t="n"/>
      <c r="BV219" s="218" t="n"/>
      <c r="BW219" s="218" t="n"/>
      <c r="BX219" s="218" t="n"/>
      <c r="BY219" s="218" t="n"/>
      <c r="BZ219" s="218" t="n"/>
      <c r="CA219" s="218" t="n"/>
      <c r="CB219" s="218" t="n"/>
      <c r="CC219" s="218" t="n"/>
      <c r="CD219" s="218" t="n"/>
      <c r="CE219" s="218" t="n"/>
      <c r="CF219" s="218" t="n"/>
      <c r="CG219" s="218" t="n"/>
      <c r="CH219" s="218" t="n"/>
      <c r="CI219" s="218" t="n"/>
      <c r="CJ219" s="218" t="n"/>
      <c r="CK219" s="218" t="n"/>
      <c r="CL219" s="218" t="n"/>
      <c r="CM219" s="218" t="n"/>
      <c r="CN219" s="218" t="n"/>
      <c r="CO219" s="218" t="n"/>
      <c r="CP219" s="218" t="n"/>
      <c r="CQ219" s="218" t="n"/>
      <c r="CR219" s="218" t="n"/>
      <c r="CS219" s="218" t="n"/>
      <c r="CT219" s="218" t="n"/>
      <c r="CU219" s="218" t="n"/>
      <c r="CV219" s="218" t="n"/>
      <c r="CW219" s="218" t="n"/>
      <c r="CX219" s="218" t="n"/>
      <c r="CY219" s="218" t="n"/>
      <c r="CZ219" s="218" t="n"/>
      <c r="DA219" s="218" t="n"/>
      <c r="DB219" s="218" t="n"/>
      <c r="DC219" s="218" t="n"/>
    </row>
    <row r="220">
      <c r="A220" s="218" t="n"/>
      <c r="B220" s="218" t="n"/>
      <c r="C220" s="218" t="n"/>
      <c r="D220" s="218" t="n"/>
      <c r="E220" s="218" t="n"/>
      <c r="F220" s="218" t="n"/>
      <c r="G220" s="218" t="n"/>
      <c r="H220" s="218" t="n"/>
      <c r="I220" s="218" t="n"/>
      <c r="J220" s="218" t="n"/>
      <c r="K220" s="218" t="n"/>
      <c r="L220" s="218" t="n"/>
      <c r="M220" s="218" t="n"/>
      <c r="N220" s="218" t="n"/>
      <c r="O220" s="218" t="n"/>
      <c r="P220" s="154" t="n">
        <v>75</v>
      </c>
      <c r="Q220" s="146" t="inlineStr">
        <is>
          <t>ESTIMULOS POR COMPRA DE BOMBAS Y DISPENSARIOS DE GASOLINA</t>
        </is>
      </c>
      <c r="R220" s="146" t="n"/>
      <c r="S220" s="146" t="n"/>
      <c r="T220" s="146" t="n"/>
      <c r="U220" s="146" t="n"/>
      <c r="V220" s="146" t="n"/>
      <c r="W220" s="146" t="n"/>
      <c r="X220" s="146" t="n"/>
      <c r="Y220" s="146" t="n"/>
      <c r="Z220" s="146" t="n"/>
      <c r="AA220" s="146" t="n"/>
      <c r="AB220" s="146" t="n"/>
      <c r="AC220" s="146" t="n"/>
      <c r="AD220" s="146" t="n"/>
      <c r="AE220" s="146" t="n"/>
      <c r="AF220" s="146" t="n"/>
      <c r="AG220" s="146" t="n"/>
      <c r="AH220" s="146" t="n"/>
      <c r="AI220" s="146" t="n"/>
      <c r="AJ220" s="146" t="n"/>
      <c r="AK220" s="146" t="n"/>
      <c r="AL220" s="146" t="n"/>
      <c r="AM220" s="146" t="n"/>
      <c r="AN220" s="146" t="n"/>
      <c r="AO220" s="146" t="n"/>
      <c r="AP220" s="146" t="n"/>
      <c r="AQ220" s="146" t="n"/>
      <c r="AR220" s="146" t="n"/>
      <c r="AS220" s="218" t="n"/>
      <c r="AT220" s="218" t="n"/>
      <c r="AU220" s="218" t="n"/>
      <c r="AV220" s="218" t="n"/>
      <c r="AW220" s="218" t="n"/>
      <c r="AX220" s="218" t="n"/>
      <c r="AY220" s="218" t="n"/>
      <c r="AZ220" s="218" t="n"/>
      <c r="BA220" s="218" t="n"/>
      <c r="BB220" s="218" t="n"/>
      <c r="BC220" s="218" t="n"/>
      <c r="BD220" s="218" t="n"/>
      <c r="BE220" s="218" t="n"/>
      <c r="BF220" s="218" t="n"/>
      <c r="BG220" s="218" t="n"/>
      <c r="BH220" s="218" t="n"/>
      <c r="BI220" s="218" t="n"/>
      <c r="BJ220" s="146" t="n">
        <v>137</v>
      </c>
      <c r="BK220" s="146" t="inlineStr">
        <is>
          <t>ADMINISTRACION Y SUPERVISION DE CONSTRUCCION DE OBRAS PARA EL TRATAMIENTO, DISTRIBUCION Y SUMINISTRO DE AGUA, DRENAJE Y RIEGO</t>
        </is>
      </c>
      <c r="BL220" s="146" t="n"/>
      <c r="BM220" s="146" t="n"/>
      <c r="BN220" s="146" t="n"/>
      <c r="BO220" s="146" t="n"/>
      <c r="BP220" s="146" t="n"/>
      <c r="BQ220" s="146" t="n"/>
      <c r="BR220" s="146" t="n"/>
      <c r="BS220" s="146" t="n"/>
      <c r="BT220" s="146" t="n"/>
      <c r="BU220" s="218" t="n"/>
      <c r="BV220" s="218" t="n"/>
      <c r="BW220" s="218" t="n"/>
      <c r="BX220" s="218" t="n"/>
      <c r="BY220" s="218" t="n"/>
      <c r="BZ220" s="218" t="n"/>
      <c r="CA220" s="218" t="n"/>
      <c r="CB220" s="218" t="n"/>
      <c r="CC220" s="218" t="n"/>
      <c r="CD220" s="218" t="n"/>
      <c r="CE220" s="218" t="n"/>
      <c r="CF220" s="218" t="n"/>
      <c r="CG220" s="218" t="n"/>
      <c r="CH220" s="218" t="n"/>
      <c r="CI220" s="218" t="n"/>
      <c r="CJ220" s="218" t="n"/>
      <c r="CK220" s="218" t="n"/>
      <c r="CL220" s="218" t="n"/>
      <c r="CM220" s="218" t="n"/>
      <c r="CN220" s="218" t="n"/>
      <c r="CO220" s="218" t="n"/>
      <c r="CP220" s="218" t="n"/>
      <c r="CQ220" s="218" t="n"/>
      <c r="CR220" s="218" t="n"/>
      <c r="CS220" s="218" t="n"/>
      <c r="CT220" s="218" t="n"/>
      <c r="CU220" s="218" t="n"/>
      <c r="CV220" s="218" t="n"/>
      <c r="CW220" s="218" t="n"/>
      <c r="CX220" s="218" t="n"/>
      <c r="CY220" s="218" t="n"/>
      <c r="CZ220" s="218" t="n"/>
      <c r="DA220" s="218" t="n"/>
      <c r="DB220" s="218" t="n"/>
      <c r="DC220" s="218" t="n"/>
    </row>
    <row r="221">
      <c r="A221" s="218" t="n"/>
      <c r="B221" s="218" t="n"/>
      <c r="C221" s="218" t="n"/>
      <c r="D221" s="218" t="n"/>
      <c r="E221" s="218" t="n"/>
      <c r="F221" s="218" t="n"/>
      <c r="G221" s="218" t="n"/>
      <c r="H221" s="218" t="n"/>
      <c r="I221" s="218" t="n"/>
      <c r="J221" s="218" t="n"/>
      <c r="K221" s="218" t="n"/>
      <c r="L221" s="218" t="n"/>
      <c r="M221" s="218" t="n"/>
      <c r="N221" s="218" t="n"/>
      <c r="O221" s="218" t="n"/>
      <c r="P221" s="154" t="n">
        <v>8</v>
      </c>
      <c r="Q221" s="146" t="inlineStr">
        <is>
          <t>CREDITO FISCAL DEL IETU</t>
        </is>
      </c>
      <c r="R221" s="146" t="n"/>
      <c r="S221" s="146" t="n"/>
      <c r="T221" s="146" t="n"/>
      <c r="U221" s="146" t="n"/>
      <c r="V221" s="146" t="n"/>
      <c r="W221" s="146" t="n"/>
      <c r="X221" s="146" t="n"/>
      <c r="Y221" s="146" t="n"/>
      <c r="Z221" s="146" t="n"/>
      <c r="AA221" s="146" t="n"/>
      <c r="AB221" s="146" t="n"/>
      <c r="AC221" s="146" t="n"/>
      <c r="AD221" s="146" t="n"/>
      <c r="AE221" s="146" t="n"/>
      <c r="AF221" s="146" t="n"/>
      <c r="AG221" s="146" t="n"/>
      <c r="AH221" s="146" t="n"/>
      <c r="AI221" s="146" t="n"/>
      <c r="AJ221" s="146" t="n"/>
      <c r="AK221" s="146" t="n"/>
      <c r="AL221" s="146" t="n"/>
      <c r="AM221" s="146" t="n"/>
      <c r="AN221" s="146" t="n"/>
      <c r="AO221" s="146" t="n"/>
      <c r="AP221" s="146" t="n"/>
      <c r="AQ221" s="146" t="n"/>
      <c r="AR221" s="146" t="n"/>
      <c r="AS221" s="218" t="n"/>
      <c r="AT221" s="218" t="n"/>
      <c r="AU221" s="218" t="n"/>
      <c r="AV221" s="218" t="n"/>
      <c r="AW221" s="218" t="n"/>
      <c r="AX221" s="218" t="n"/>
      <c r="AY221" s="218" t="n"/>
      <c r="AZ221" s="218" t="n"/>
      <c r="BA221" s="218" t="n"/>
      <c r="BB221" s="218" t="n"/>
      <c r="BC221" s="218" t="n"/>
      <c r="BD221" s="218" t="n"/>
      <c r="BE221" s="218" t="n"/>
      <c r="BF221" s="218" t="n"/>
      <c r="BG221" s="218" t="n"/>
      <c r="BH221" s="218" t="n"/>
      <c r="BI221" s="218" t="n"/>
      <c r="BJ221" s="146" t="n">
        <v>139</v>
      </c>
      <c r="BK221" s="146" t="inlineStr">
        <is>
          <t>CONSTRUCCION DE OBRAS RELACIONADAS CON LA DISTRIBUCION DE PETROLEO Y GAS</t>
        </is>
      </c>
      <c r="BL221" s="146" t="n"/>
      <c r="BM221" s="146" t="n"/>
      <c r="BN221" s="146" t="n"/>
      <c r="BO221" s="146" t="n"/>
      <c r="BP221" s="146" t="n"/>
      <c r="BQ221" s="146" t="n"/>
      <c r="BR221" s="146" t="n"/>
      <c r="BS221" s="146" t="n"/>
      <c r="BT221" s="146" t="n"/>
      <c r="BU221" s="218" t="n"/>
      <c r="BV221" s="218" t="n"/>
      <c r="BW221" s="218" t="n"/>
      <c r="BX221" s="218" t="n"/>
      <c r="BY221" s="218" t="n"/>
      <c r="BZ221" s="218" t="n"/>
      <c r="CA221" s="218" t="n"/>
      <c r="CB221" s="218" t="n"/>
      <c r="CC221" s="218" t="n"/>
      <c r="CD221" s="218" t="n"/>
      <c r="CE221" s="218" t="n"/>
      <c r="CF221" s="218" t="n"/>
      <c r="CG221" s="218" t="n"/>
      <c r="CH221" s="218" t="n"/>
      <c r="CI221" s="218" t="n"/>
      <c r="CJ221" s="218" t="n"/>
      <c r="CK221" s="218" t="n"/>
      <c r="CL221" s="218" t="n"/>
      <c r="CM221" s="218" t="n"/>
      <c r="CN221" s="218" t="n"/>
      <c r="CO221" s="218" t="n"/>
      <c r="CP221" s="218" t="n"/>
      <c r="CQ221" s="218" t="n"/>
      <c r="CR221" s="218" t="n"/>
      <c r="CS221" s="218" t="n"/>
      <c r="CT221" s="218" t="n"/>
      <c r="CU221" s="218" t="n"/>
      <c r="CV221" s="218" t="n"/>
      <c r="CW221" s="218" t="n"/>
      <c r="CX221" s="218" t="n"/>
      <c r="CY221" s="218" t="n"/>
      <c r="CZ221" s="218" t="n"/>
      <c r="DA221" s="218" t="n"/>
      <c r="DB221" s="218" t="n"/>
      <c r="DC221" s="218" t="n"/>
    </row>
    <row r="222">
      <c r="A222" s="218" t="n"/>
      <c r="B222" s="218" t="n"/>
      <c r="C222" s="218" t="n"/>
      <c r="D222" s="218" t="n"/>
      <c r="E222" s="218" t="n"/>
      <c r="F222" s="218" t="n"/>
      <c r="G222" s="218" t="n"/>
      <c r="H222" s="218" t="n"/>
      <c r="I222" s="218" t="n"/>
      <c r="J222" s="218" t="n"/>
      <c r="K222" s="218" t="n"/>
      <c r="L222" s="218" t="n"/>
      <c r="M222" s="218" t="n"/>
      <c r="N222" s="218" t="n"/>
      <c r="O222" s="218" t="n"/>
      <c r="P222" s="154" t="n">
        <v>9</v>
      </c>
      <c r="Q222" s="146" t="inlineStr">
        <is>
          <t>EXCEDENTE EN CARTAS INVITACION</t>
        </is>
      </c>
      <c r="R222" s="146" t="n"/>
      <c r="S222" s="146" t="n"/>
      <c r="T222" s="146" t="n"/>
      <c r="U222" s="146" t="n"/>
      <c r="V222" s="146" t="n"/>
      <c r="W222" s="146" t="n"/>
      <c r="X222" s="146" t="n"/>
      <c r="Y222" s="146" t="n"/>
      <c r="Z222" s="146" t="n"/>
      <c r="AA222" s="146" t="n"/>
      <c r="AB222" s="146" t="n"/>
      <c r="AC222" s="146" t="n"/>
      <c r="AD222" s="146" t="n"/>
      <c r="AE222" s="146" t="n"/>
      <c r="AF222" s="146" t="n"/>
      <c r="AG222" s="146" t="n"/>
      <c r="AH222" s="146" t="n"/>
      <c r="AI222" s="146" t="n"/>
      <c r="AJ222" s="146" t="n"/>
      <c r="AK222" s="146" t="n"/>
      <c r="AL222" s="146" t="n"/>
      <c r="AM222" s="146" t="n"/>
      <c r="AN222" s="146" t="n"/>
      <c r="AO222" s="146" t="n"/>
      <c r="AP222" s="146" t="n"/>
      <c r="AQ222" s="146" t="n"/>
      <c r="AR222" s="146" t="n"/>
      <c r="AS222" s="218" t="n"/>
      <c r="AT222" s="218" t="n"/>
      <c r="AU222" s="218" t="n"/>
      <c r="AV222" s="218" t="n"/>
      <c r="AW222" s="218" t="n"/>
      <c r="AX222" s="218" t="n"/>
      <c r="AY222" s="218" t="n"/>
      <c r="AZ222" s="218" t="n"/>
      <c r="BA222" s="218" t="n"/>
      <c r="BB222" s="218" t="n"/>
      <c r="BC222" s="218" t="n"/>
      <c r="BD222" s="218" t="n"/>
      <c r="BE222" s="218" t="n"/>
      <c r="BF222" s="218" t="n"/>
      <c r="BG222" s="218" t="n"/>
      <c r="BH222" s="218" t="n"/>
      <c r="BI222" s="218" t="n"/>
      <c r="BJ222" s="146" t="n">
        <v>140</v>
      </c>
      <c r="BK222" s="146" t="inlineStr">
        <is>
          <t>CONSTRUCCION DE PLANTAS DE REFINACION DE PETROLEO, DE PROCESAMIENTO DE GAS NATURAL Y DE PETROQUIMICA</t>
        </is>
      </c>
      <c r="BL222" s="146" t="n"/>
      <c r="BM222" s="146" t="n"/>
      <c r="BN222" s="146" t="n"/>
      <c r="BO222" s="146" t="n"/>
      <c r="BP222" s="146" t="n"/>
      <c r="BQ222" s="146" t="n"/>
      <c r="BR222" s="146" t="n"/>
      <c r="BS222" s="146" t="n"/>
      <c r="BT222" s="146" t="n"/>
      <c r="BU222" s="218" t="n"/>
      <c r="BV222" s="218" t="n"/>
      <c r="BW222" s="218" t="n"/>
      <c r="BX222" s="218" t="n"/>
      <c r="BY222" s="218" t="n"/>
      <c r="BZ222" s="218" t="n"/>
      <c r="CA222" s="218" t="n"/>
      <c r="CB222" s="218" t="n"/>
      <c r="CC222" s="218" t="n"/>
      <c r="CD222" s="218" t="n"/>
      <c r="CE222" s="218" t="n"/>
      <c r="CF222" s="218" t="n"/>
      <c r="CG222" s="218" t="n"/>
      <c r="CH222" s="218" t="n"/>
      <c r="CI222" s="218" t="n"/>
      <c r="CJ222" s="218" t="n"/>
      <c r="CK222" s="218" t="n"/>
      <c r="CL222" s="218" t="n"/>
      <c r="CM222" s="218" t="n"/>
      <c r="CN222" s="218" t="n"/>
      <c r="CO222" s="218" t="n"/>
      <c r="CP222" s="218" t="n"/>
      <c r="CQ222" s="218" t="n"/>
      <c r="CR222" s="218" t="n"/>
      <c r="CS222" s="218" t="n"/>
      <c r="CT222" s="218" t="n"/>
      <c r="CU222" s="218" t="n"/>
      <c r="CV222" s="218" t="n"/>
      <c r="CW222" s="218" t="n"/>
      <c r="CX222" s="218" t="n"/>
      <c r="CY222" s="218" t="n"/>
      <c r="CZ222" s="218" t="n"/>
      <c r="DA222" s="218" t="n"/>
      <c r="DB222" s="218" t="n"/>
      <c r="DC222" s="218" t="n"/>
    </row>
    <row r="223">
      <c r="A223" s="218" t="n"/>
      <c r="B223" s="218" t="n"/>
      <c r="C223" s="218" t="n"/>
      <c r="D223" s="218" t="n"/>
      <c r="E223" s="218" t="n"/>
      <c r="F223" s="218" t="n"/>
      <c r="G223" s="218" t="n"/>
      <c r="H223" s="218" t="n"/>
      <c r="I223" s="218" t="n"/>
      <c r="J223" s="218" t="n"/>
      <c r="K223" s="218" t="n"/>
      <c r="L223" s="218" t="n"/>
      <c r="M223" s="218" t="n"/>
      <c r="N223" s="218" t="n"/>
      <c r="O223" s="218" t="n"/>
      <c r="P223" s="154" t="n">
        <v>10</v>
      </c>
      <c r="Q223" s="146" t="inlineStr">
        <is>
          <t>PAGOS CARTAS INVITACION PERIODOS Y EJERCICIOS DISTINTOS</t>
        </is>
      </c>
      <c r="R223" s="146" t="n"/>
      <c r="S223" s="146" t="n"/>
      <c r="T223" s="146" t="n"/>
      <c r="U223" s="146" t="n"/>
      <c r="V223" s="146" t="n"/>
      <c r="W223" s="146" t="n"/>
      <c r="X223" s="146" t="n"/>
      <c r="Y223" s="146" t="n"/>
      <c r="Z223" s="146" t="n"/>
      <c r="AA223" s="146" t="n"/>
      <c r="AB223" s="146" t="n"/>
      <c r="AC223" s="146" t="n"/>
      <c r="AD223" s="146" t="n"/>
      <c r="AE223" s="146" t="n"/>
      <c r="AF223" s="146" t="n"/>
      <c r="AG223" s="146" t="n"/>
      <c r="AH223" s="146" t="n"/>
      <c r="AI223" s="146" t="n"/>
      <c r="AJ223" s="146" t="n"/>
      <c r="AK223" s="146" t="n"/>
      <c r="AL223" s="146" t="n"/>
      <c r="AM223" s="146" t="n"/>
      <c r="AN223" s="146" t="n"/>
      <c r="AO223" s="146" t="n"/>
      <c r="AP223" s="146" t="n"/>
      <c r="AQ223" s="146" t="n"/>
      <c r="AR223" s="146" t="n"/>
      <c r="AS223" s="218" t="n"/>
      <c r="AT223" s="218" t="n"/>
      <c r="AU223" s="218" t="n"/>
      <c r="AV223" s="218" t="n"/>
      <c r="AW223" s="218" t="n"/>
      <c r="AX223" s="218" t="n"/>
      <c r="AY223" s="218" t="n"/>
      <c r="AZ223" s="218" t="n"/>
      <c r="BA223" s="218" t="n"/>
      <c r="BB223" s="218" t="n"/>
      <c r="BC223" s="218" t="n"/>
      <c r="BD223" s="218" t="n"/>
      <c r="BE223" s="218" t="n"/>
      <c r="BF223" s="218" t="n"/>
      <c r="BG223" s="218" t="n"/>
      <c r="BH223" s="218" t="n"/>
      <c r="BI223" s="218" t="n"/>
      <c r="BJ223" s="146" t="n">
        <v>142</v>
      </c>
      <c r="BK223" s="146" t="inlineStr">
        <is>
          <t>ADMINISTRACION Y SUPERVISION DE CONSTRUCCION DE OBRAS PARA PETROLEO Y GAS</t>
        </is>
      </c>
      <c r="BL223" s="146" t="n"/>
      <c r="BM223" s="146" t="n"/>
      <c r="BN223" s="146" t="n"/>
      <c r="BO223" s="146" t="n"/>
      <c r="BP223" s="146" t="n"/>
      <c r="BQ223" s="146" t="n"/>
      <c r="BR223" s="146" t="n"/>
      <c r="BS223" s="146" t="n"/>
      <c r="BT223" s="146" t="n"/>
      <c r="BU223" s="218" t="n"/>
      <c r="BV223" s="218" t="n"/>
      <c r="BW223" s="218" t="n"/>
      <c r="BX223" s="218" t="n"/>
      <c r="BY223" s="218" t="n"/>
      <c r="BZ223" s="218" t="n"/>
      <c r="CA223" s="218" t="n"/>
      <c r="CB223" s="218" t="n"/>
      <c r="CC223" s="218" t="n"/>
      <c r="CD223" s="218" t="n"/>
      <c r="CE223" s="218" t="n"/>
      <c r="CF223" s="218" t="n"/>
      <c r="CG223" s="218" t="n"/>
      <c r="CH223" s="218" t="n"/>
      <c r="CI223" s="218" t="n"/>
      <c r="CJ223" s="218" t="n"/>
      <c r="CK223" s="218" t="n"/>
      <c r="CL223" s="218" t="n"/>
      <c r="CM223" s="218" t="n"/>
      <c r="CN223" s="218" t="n"/>
      <c r="CO223" s="218" t="n"/>
      <c r="CP223" s="218" t="n"/>
      <c r="CQ223" s="218" t="n"/>
      <c r="CR223" s="218" t="n"/>
      <c r="CS223" s="218" t="n"/>
      <c r="CT223" s="218" t="n"/>
      <c r="CU223" s="218" t="n"/>
      <c r="CV223" s="218" t="n"/>
      <c r="CW223" s="218" t="n"/>
      <c r="CX223" s="218" t="n"/>
      <c r="CY223" s="218" t="n"/>
      <c r="CZ223" s="218" t="n"/>
      <c r="DA223" s="218" t="n"/>
      <c r="DB223" s="218" t="n"/>
      <c r="DC223" s="218" t="n"/>
    </row>
    <row r="224">
      <c r="A224" s="218" t="n"/>
      <c r="B224" s="218" t="n"/>
      <c r="C224" s="218" t="n"/>
      <c r="D224" s="218" t="n"/>
      <c r="E224" s="218" t="n"/>
      <c r="F224" s="218" t="n"/>
      <c r="G224" s="218" t="n"/>
      <c r="H224" s="218" t="n"/>
      <c r="I224" s="218" t="n"/>
      <c r="J224" s="218" t="n"/>
      <c r="K224" s="218" t="n"/>
      <c r="L224" s="218" t="n"/>
      <c r="M224" s="218" t="n"/>
      <c r="N224" s="218" t="n"/>
      <c r="O224" s="218" t="n"/>
      <c r="P224" s="154" t="n">
        <v>11</v>
      </c>
      <c r="Q224" s="146" t="inlineStr">
        <is>
          <t>COMPENSACIONES DE OFICIO</t>
        </is>
      </c>
      <c r="R224" s="146" t="n"/>
      <c r="S224" s="146" t="n"/>
      <c r="T224" s="146" t="n"/>
      <c r="U224" s="146" t="n"/>
      <c r="V224" s="146" t="n"/>
      <c r="W224" s="146" t="n"/>
      <c r="X224" s="146" t="n"/>
      <c r="Y224" s="146" t="n"/>
      <c r="Z224" s="146" t="n"/>
      <c r="AA224" s="146" t="n"/>
      <c r="AB224" s="146" t="n"/>
      <c r="AC224" s="146" t="n"/>
      <c r="AD224" s="146" t="n"/>
      <c r="AE224" s="146" t="n"/>
      <c r="AF224" s="146" t="n"/>
      <c r="AG224" s="146" t="n"/>
      <c r="AH224" s="146" t="n"/>
      <c r="AI224" s="146" t="n"/>
      <c r="AJ224" s="146" t="n"/>
      <c r="AK224" s="146" t="n"/>
      <c r="AL224" s="146" t="n"/>
      <c r="AM224" s="146" t="n"/>
      <c r="AN224" s="146" t="n"/>
      <c r="AO224" s="146" t="n"/>
      <c r="AP224" s="146" t="n"/>
      <c r="AQ224" s="146" t="n"/>
      <c r="AR224" s="146" t="n"/>
      <c r="AS224" s="218" t="n"/>
      <c r="AT224" s="218" t="n"/>
      <c r="AU224" s="218" t="n"/>
      <c r="AV224" s="218" t="n"/>
      <c r="AW224" s="218" t="n"/>
      <c r="AX224" s="218" t="n"/>
      <c r="AY224" s="218" t="n"/>
      <c r="AZ224" s="218" t="n"/>
      <c r="BA224" s="218" t="n"/>
      <c r="BB224" s="218" t="n"/>
      <c r="BC224" s="218" t="n"/>
      <c r="BD224" s="218" t="n"/>
      <c r="BE224" s="218" t="n"/>
      <c r="BF224" s="218" t="n"/>
      <c r="BG224" s="218" t="n"/>
      <c r="BH224" s="218" t="n"/>
      <c r="BI224" s="218" t="n"/>
      <c r="BJ224" s="146" t="n">
        <v>143</v>
      </c>
      <c r="BK224" s="146" t="inlineStr">
        <is>
          <t>CONSTRUCCION DE OBRAS DE GENERACION Y CONDUCCION DE ENERGIA ELECTRICA</t>
        </is>
      </c>
      <c r="BL224" s="146" t="n"/>
      <c r="BM224" s="146" t="n"/>
      <c r="BN224" s="146" t="n"/>
      <c r="BO224" s="146" t="n"/>
      <c r="BP224" s="146" t="n"/>
      <c r="BQ224" s="146" t="n"/>
      <c r="BR224" s="146" t="n"/>
      <c r="BS224" s="146" t="n"/>
      <c r="BT224" s="146" t="n"/>
      <c r="BU224" s="218" t="n"/>
      <c r="BV224" s="218" t="n"/>
      <c r="BW224" s="218" t="n"/>
      <c r="BX224" s="218" t="n"/>
      <c r="BY224" s="218" t="n"/>
      <c r="BZ224" s="218" t="n"/>
      <c r="CA224" s="218" t="n"/>
      <c r="CB224" s="218" t="n"/>
      <c r="CC224" s="218" t="n"/>
      <c r="CD224" s="218" t="n"/>
      <c r="CE224" s="218" t="n"/>
      <c r="CF224" s="218" t="n"/>
      <c r="CG224" s="218" t="n"/>
      <c r="CH224" s="218" t="n"/>
      <c r="CI224" s="218" t="n"/>
      <c r="CJ224" s="218" t="n"/>
      <c r="CK224" s="218" t="n"/>
      <c r="CL224" s="218" t="n"/>
      <c r="CM224" s="218" t="n"/>
      <c r="CN224" s="218" t="n"/>
      <c r="CO224" s="218" t="n"/>
      <c r="CP224" s="218" t="n"/>
      <c r="CQ224" s="218" t="n"/>
      <c r="CR224" s="218" t="n"/>
      <c r="CS224" s="218" t="n"/>
      <c r="CT224" s="218" t="n"/>
      <c r="CU224" s="218" t="n"/>
      <c r="CV224" s="218" t="n"/>
      <c r="CW224" s="218" t="n"/>
      <c r="CX224" s="218" t="n"/>
      <c r="CY224" s="218" t="n"/>
      <c r="CZ224" s="218" t="n"/>
      <c r="DA224" s="218" t="n"/>
      <c r="DB224" s="218" t="n"/>
      <c r="DC224" s="218" t="n"/>
    </row>
    <row r="225">
      <c r="A225" s="218" t="n"/>
      <c r="B225" s="218" t="n"/>
      <c r="C225" s="218" t="n"/>
      <c r="D225" s="218" t="n"/>
      <c r="E225" s="218" t="n"/>
      <c r="F225" s="218" t="n"/>
      <c r="G225" s="218" t="n"/>
      <c r="H225" s="218" t="n"/>
      <c r="I225" s="218" t="n"/>
      <c r="J225" s="218" t="n"/>
      <c r="K225" s="218" t="n"/>
      <c r="L225" s="218" t="n"/>
      <c r="M225" s="218" t="n"/>
      <c r="N225" s="218" t="n"/>
      <c r="O225" s="218" t="n"/>
      <c r="P225" s="154" t="n">
        <v>12</v>
      </c>
      <c r="Q225" s="146" t="inlineStr">
        <is>
          <t>DIFERENCIA DE PARCIALIDADES</t>
        </is>
      </c>
      <c r="R225" s="146" t="n"/>
      <c r="S225" s="146" t="n"/>
      <c r="T225" s="146" t="n"/>
      <c r="U225" s="146" t="n"/>
      <c r="V225" s="146" t="n"/>
      <c r="W225" s="146" t="n"/>
      <c r="X225" s="146" t="n"/>
      <c r="Y225" s="146" t="n"/>
      <c r="Z225" s="146" t="n"/>
      <c r="AA225" s="146" t="n"/>
      <c r="AB225" s="146" t="n"/>
      <c r="AC225" s="146" t="n"/>
      <c r="AD225" s="146" t="n"/>
      <c r="AE225" s="146" t="n"/>
      <c r="AF225" s="146" t="n"/>
      <c r="AG225" s="146" t="n"/>
      <c r="AH225" s="146" t="n"/>
      <c r="AI225" s="146" t="n"/>
      <c r="AJ225" s="146" t="n"/>
      <c r="AK225" s="146" t="n"/>
      <c r="AL225" s="146" t="n"/>
      <c r="AM225" s="146" t="n"/>
      <c r="AN225" s="146" t="n"/>
      <c r="AO225" s="146" t="n"/>
      <c r="AP225" s="146" t="n"/>
      <c r="AQ225" s="146" t="n"/>
      <c r="AR225" s="146" t="n"/>
      <c r="AS225" s="218" t="n"/>
      <c r="AT225" s="218" t="n"/>
      <c r="AU225" s="218" t="n"/>
      <c r="AV225" s="218" t="n"/>
      <c r="AW225" s="218" t="n"/>
      <c r="AX225" s="218" t="n"/>
      <c r="AY225" s="218" t="n"/>
      <c r="AZ225" s="218" t="n"/>
      <c r="BA225" s="218" t="n"/>
      <c r="BB225" s="218" t="n"/>
      <c r="BC225" s="218" t="n"/>
      <c r="BD225" s="218" t="n"/>
      <c r="BE225" s="218" t="n"/>
      <c r="BF225" s="218" t="n"/>
      <c r="BG225" s="218" t="n"/>
      <c r="BH225" s="218" t="n"/>
      <c r="BI225" s="218" t="n"/>
      <c r="BJ225" s="146" t="n">
        <v>144</v>
      </c>
      <c r="BK225" s="146" t="inlineStr">
        <is>
          <t>CONSTRUCCION DE OBRAS PARA TELECOMUNICACIONES</t>
        </is>
      </c>
      <c r="BL225" s="146" t="n"/>
      <c r="BM225" s="146" t="n"/>
      <c r="BN225" s="146" t="n"/>
      <c r="BO225" s="146" t="n"/>
      <c r="BP225" s="146" t="n"/>
      <c r="BQ225" s="146" t="n"/>
      <c r="BR225" s="146" t="n"/>
      <c r="BS225" s="146" t="n"/>
      <c r="BT225" s="146" t="n"/>
      <c r="BU225" s="218" t="n"/>
      <c r="BV225" s="218" t="n"/>
      <c r="BW225" s="218" t="n"/>
      <c r="BX225" s="218" t="n"/>
      <c r="BY225" s="218" t="n"/>
      <c r="BZ225" s="218" t="n"/>
      <c r="CA225" s="218" t="n"/>
      <c r="CB225" s="218" t="n"/>
      <c r="CC225" s="218" t="n"/>
      <c r="CD225" s="218" t="n"/>
      <c r="CE225" s="218" t="n"/>
      <c r="CF225" s="218" t="n"/>
      <c r="CG225" s="218" t="n"/>
      <c r="CH225" s="218" t="n"/>
      <c r="CI225" s="218" t="n"/>
      <c r="CJ225" s="218" t="n"/>
      <c r="CK225" s="218" t="n"/>
      <c r="CL225" s="218" t="n"/>
      <c r="CM225" s="218" t="n"/>
      <c r="CN225" s="218" t="n"/>
      <c r="CO225" s="218" t="n"/>
      <c r="CP225" s="218" t="n"/>
      <c r="CQ225" s="218" t="n"/>
      <c r="CR225" s="218" t="n"/>
      <c r="CS225" s="218" t="n"/>
      <c r="CT225" s="218" t="n"/>
      <c r="CU225" s="218" t="n"/>
      <c r="CV225" s="218" t="n"/>
      <c r="CW225" s="218" t="n"/>
      <c r="CX225" s="218" t="n"/>
      <c r="CY225" s="218" t="n"/>
      <c r="CZ225" s="218" t="n"/>
      <c r="DA225" s="218" t="n"/>
      <c r="DB225" s="218" t="n"/>
      <c r="DC225" s="218" t="n"/>
    </row>
    <row r="226">
      <c r="A226" s="218" t="n"/>
      <c r="B226" s="218" t="n"/>
      <c r="C226" s="218" t="n"/>
      <c r="D226" s="218" t="n"/>
      <c r="E226" s="218" t="n"/>
      <c r="F226" s="218" t="n"/>
      <c r="G226" s="218" t="n"/>
      <c r="H226" s="218" t="n"/>
      <c r="I226" s="218" t="n"/>
      <c r="J226" s="218" t="n"/>
      <c r="K226" s="218" t="n"/>
      <c r="L226" s="218" t="n"/>
      <c r="M226" s="218" t="n"/>
      <c r="N226" s="218" t="n"/>
      <c r="O226" s="218" t="n"/>
      <c r="P226" s="154" t="n">
        <v>13</v>
      </c>
      <c r="Q226" s="146" t="inlineStr">
        <is>
          <t>DERIVADA DE RESOLUCIONES (VEHICULOS O FIRMEZAS)</t>
        </is>
      </c>
      <c r="R226" s="146" t="n"/>
      <c r="S226" s="146" t="n"/>
      <c r="T226" s="146" t="n"/>
      <c r="U226" s="146" t="n"/>
      <c r="V226" s="146" t="n"/>
      <c r="W226" s="146" t="n"/>
      <c r="X226" s="146" t="n"/>
      <c r="Y226" s="146" t="n"/>
      <c r="Z226" s="146" t="n"/>
      <c r="AA226" s="146" t="n"/>
      <c r="AB226" s="146" t="n"/>
      <c r="AC226" s="146" t="n"/>
      <c r="AD226" s="146" t="n"/>
      <c r="AE226" s="146" t="n"/>
      <c r="AF226" s="146" t="n"/>
      <c r="AG226" s="146" t="n"/>
      <c r="AH226" s="146" t="n"/>
      <c r="AI226" s="146" t="n"/>
      <c r="AJ226" s="146" t="n"/>
      <c r="AK226" s="146" t="n"/>
      <c r="AL226" s="146" t="n"/>
      <c r="AM226" s="146" t="n"/>
      <c r="AN226" s="146" t="n"/>
      <c r="AO226" s="146" t="n"/>
      <c r="AP226" s="146" t="n"/>
      <c r="AQ226" s="146" t="n"/>
      <c r="AR226" s="146" t="n"/>
      <c r="AS226" s="218" t="n"/>
      <c r="AT226" s="218" t="n"/>
      <c r="AU226" s="218" t="n"/>
      <c r="AV226" s="218" t="n"/>
      <c r="AW226" s="218" t="n"/>
      <c r="AX226" s="218" t="n"/>
      <c r="AY226" s="218" t="n"/>
      <c r="AZ226" s="218" t="n"/>
      <c r="BA226" s="218" t="n"/>
      <c r="BB226" s="218" t="n"/>
      <c r="BC226" s="218" t="n"/>
      <c r="BD226" s="218" t="n"/>
      <c r="BE226" s="218" t="n"/>
      <c r="BF226" s="218" t="n"/>
      <c r="BG226" s="218" t="n"/>
      <c r="BH226" s="218" t="n"/>
      <c r="BI226" s="218" t="n"/>
      <c r="BJ226" s="146" t="n">
        <v>146</v>
      </c>
      <c r="BK226" s="146" t="inlineStr">
        <is>
          <t>ADMINISTRACION Y SUPERVISION DE CONSTRUCCION DE OBRAS DE GENERACION Y CONDUCCION DE ENERGIA ELECTRICA Y TELECOMUNICACIONES</t>
        </is>
      </c>
      <c r="BL226" s="146" t="n"/>
      <c r="BM226" s="146" t="n"/>
      <c r="BN226" s="146" t="n"/>
      <c r="BO226" s="146" t="n"/>
      <c r="BP226" s="146" t="n"/>
      <c r="BQ226" s="146" t="n"/>
      <c r="BR226" s="146" t="n"/>
      <c r="BS226" s="146" t="n"/>
      <c r="BT226" s="146" t="n"/>
      <c r="BU226" s="218" t="n"/>
      <c r="BV226" s="218" t="n"/>
      <c r="BW226" s="218" t="n"/>
      <c r="BX226" s="218" t="n"/>
      <c r="BY226" s="218" t="n"/>
      <c r="BZ226" s="218" t="n"/>
      <c r="CA226" s="218" t="n"/>
      <c r="CB226" s="218" t="n"/>
      <c r="CC226" s="218" t="n"/>
      <c r="CD226" s="218" t="n"/>
      <c r="CE226" s="218" t="n"/>
      <c r="CF226" s="218" t="n"/>
      <c r="CG226" s="218" t="n"/>
      <c r="CH226" s="218" t="n"/>
      <c r="CI226" s="218" t="n"/>
      <c r="CJ226" s="218" t="n"/>
      <c r="CK226" s="218" t="n"/>
      <c r="CL226" s="218" t="n"/>
      <c r="CM226" s="218" t="n"/>
      <c r="CN226" s="218" t="n"/>
      <c r="CO226" s="218" t="n"/>
      <c r="CP226" s="218" t="n"/>
      <c r="CQ226" s="218" t="n"/>
      <c r="CR226" s="218" t="n"/>
      <c r="CS226" s="218" t="n"/>
      <c r="CT226" s="218" t="n"/>
      <c r="CU226" s="218" t="n"/>
      <c r="CV226" s="218" t="n"/>
      <c r="CW226" s="218" t="n"/>
      <c r="CX226" s="218" t="n"/>
      <c r="CY226" s="218" t="n"/>
      <c r="CZ226" s="218" t="n"/>
      <c r="DA226" s="218" t="n"/>
      <c r="DB226" s="218" t="n"/>
      <c r="DC226" s="218" t="n"/>
    </row>
    <row r="227">
      <c r="A227" s="218" t="n"/>
      <c r="B227" s="218" t="n"/>
      <c r="C227" s="218" t="n"/>
      <c r="D227" s="218" t="n"/>
      <c r="E227" s="218" t="n"/>
      <c r="F227" s="218" t="n"/>
      <c r="G227" s="218" t="n"/>
      <c r="H227" s="218" t="n"/>
      <c r="I227" s="218" t="n"/>
      <c r="J227" s="218" t="n"/>
      <c r="K227" s="218" t="n"/>
      <c r="L227" s="218" t="n"/>
      <c r="M227" s="218" t="n"/>
      <c r="N227" s="218" t="n"/>
      <c r="O227" s="218" t="n"/>
      <c r="P227" s="154" t="n">
        <v>14</v>
      </c>
      <c r="Q227" s="146" t="inlineStr">
        <is>
          <t>COMPENSACION SALDOS FAVOR</t>
        </is>
      </c>
      <c r="R227" s="146" t="n"/>
      <c r="S227" s="146" t="n"/>
      <c r="T227" s="146" t="n"/>
      <c r="U227" s="146" t="n"/>
      <c r="V227" s="146" t="n"/>
      <c r="W227" s="146" t="n"/>
      <c r="X227" s="146" t="n"/>
      <c r="Y227" s="146" t="n"/>
      <c r="Z227" s="146" t="n"/>
      <c r="AA227" s="146" t="n"/>
      <c r="AB227" s="146" t="n"/>
      <c r="AC227" s="146" t="n"/>
      <c r="AD227" s="146" t="n"/>
      <c r="AE227" s="146" t="n"/>
      <c r="AF227" s="146" t="n"/>
      <c r="AG227" s="146" t="n"/>
      <c r="AH227" s="146" t="n"/>
      <c r="AI227" s="146" t="n"/>
      <c r="AJ227" s="146" t="n"/>
      <c r="AK227" s="146" t="n"/>
      <c r="AL227" s="146" t="n"/>
      <c r="AM227" s="146" t="n"/>
      <c r="AN227" s="146" t="n"/>
      <c r="AO227" s="146" t="n"/>
      <c r="AP227" s="146" t="n"/>
      <c r="AQ227" s="146" t="n"/>
      <c r="AR227" s="146" t="n"/>
      <c r="AS227" s="218" t="n"/>
      <c r="AT227" s="218" t="n"/>
      <c r="AU227" s="218" t="n"/>
      <c r="AV227" s="218" t="n"/>
      <c r="AW227" s="218" t="n"/>
      <c r="AX227" s="218" t="n"/>
      <c r="AY227" s="218" t="n"/>
      <c r="AZ227" s="218" t="n"/>
      <c r="BA227" s="218" t="n"/>
      <c r="BB227" s="218" t="n"/>
      <c r="BC227" s="218" t="n"/>
      <c r="BD227" s="218" t="n"/>
      <c r="BE227" s="218" t="n"/>
      <c r="BF227" s="218" t="n"/>
      <c r="BG227" s="218" t="n"/>
      <c r="BH227" s="218" t="n"/>
      <c r="BI227" s="218" t="n"/>
      <c r="BJ227" s="146" t="n">
        <v>147</v>
      </c>
      <c r="BK227" s="146" t="inlineStr">
        <is>
          <t>DIVISION DE TERRENOS</t>
        </is>
      </c>
      <c r="BL227" s="146" t="n"/>
      <c r="BM227" s="146" t="n"/>
      <c r="BN227" s="146" t="n"/>
      <c r="BO227" s="146" t="n"/>
      <c r="BP227" s="146" t="n"/>
      <c r="BQ227" s="146" t="n"/>
      <c r="BR227" s="146" t="n"/>
      <c r="BS227" s="146" t="n"/>
      <c r="BT227" s="146" t="n"/>
      <c r="BU227" s="218" t="n"/>
      <c r="BV227" s="218" t="n"/>
      <c r="BW227" s="218" t="n"/>
      <c r="BX227" s="218" t="n"/>
      <c r="BY227" s="218" t="n"/>
      <c r="BZ227" s="218" t="n"/>
      <c r="CA227" s="218" t="n"/>
      <c r="CB227" s="218" t="n"/>
      <c r="CC227" s="218" t="n"/>
      <c r="CD227" s="218" t="n"/>
      <c r="CE227" s="218" t="n"/>
      <c r="CF227" s="218" t="n"/>
      <c r="CG227" s="218" t="n"/>
      <c r="CH227" s="218" t="n"/>
      <c r="CI227" s="218" t="n"/>
      <c r="CJ227" s="218" t="n"/>
      <c r="CK227" s="218" t="n"/>
      <c r="CL227" s="218" t="n"/>
      <c r="CM227" s="218" t="n"/>
      <c r="CN227" s="218" t="n"/>
      <c r="CO227" s="218" t="n"/>
      <c r="CP227" s="218" t="n"/>
      <c r="CQ227" s="218" t="n"/>
      <c r="CR227" s="218" t="n"/>
      <c r="CS227" s="218" t="n"/>
      <c r="CT227" s="218" t="n"/>
      <c r="CU227" s="218" t="n"/>
      <c r="CV227" s="218" t="n"/>
      <c r="CW227" s="218" t="n"/>
      <c r="CX227" s="218" t="n"/>
      <c r="CY227" s="218" t="n"/>
      <c r="CZ227" s="218" t="n"/>
      <c r="DA227" s="218" t="n"/>
      <c r="DB227" s="218" t="n"/>
      <c r="DC227" s="218" t="n"/>
    </row>
    <row r="228">
      <c r="A228" s="218" t="n"/>
      <c r="B228" s="218" t="n"/>
      <c r="C228" s="218" t="n"/>
      <c r="D228" s="218" t="n"/>
      <c r="E228" s="218" t="n"/>
      <c r="F228" s="218" t="n"/>
      <c r="G228" s="218" t="n"/>
      <c r="H228" s="218" t="n"/>
      <c r="I228" s="218" t="n"/>
      <c r="J228" s="218" t="n"/>
      <c r="K228" s="218" t="n"/>
      <c r="L228" s="218" t="n"/>
      <c r="M228" s="218" t="n"/>
      <c r="N228" s="218" t="n"/>
      <c r="O228" s="218" t="n"/>
      <c r="AS228" s="218" t="n"/>
      <c r="AT228" s="218" t="n"/>
      <c r="AU228" s="218" t="n"/>
      <c r="AV228" s="218" t="n"/>
      <c r="AW228" s="218" t="n"/>
      <c r="AX228" s="218" t="n"/>
      <c r="AY228" s="218" t="n"/>
      <c r="AZ228" s="218" t="n"/>
      <c r="BA228" s="218" t="n"/>
      <c r="BB228" s="218" t="n"/>
      <c r="BC228" s="218" t="n"/>
      <c r="BD228" s="218" t="n"/>
      <c r="BE228" s="218" t="n"/>
      <c r="BF228" s="218" t="n"/>
      <c r="BG228" s="218" t="n"/>
      <c r="BH228" s="218" t="n"/>
      <c r="BI228" s="218" t="n"/>
      <c r="BJ228" s="146" t="n">
        <v>148</v>
      </c>
      <c r="BK228" s="146" t="inlineStr">
        <is>
          <t>CONSTRUCCION DE OBRAS DE URBANIZACION</t>
        </is>
      </c>
      <c r="BL228" s="146" t="n"/>
      <c r="BM228" s="146" t="n"/>
      <c r="BN228" s="146" t="n"/>
      <c r="BO228" s="146" t="n"/>
      <c r="BP228" s="146" t="n"/>
      <c r="BQ228" s="146" t="n"/>
      <c r="BR228" s="146" t="n"/>
      <c r="BS228" s="146" t="n"/>
      <c r="BT228" s="146" t="n"/>
      <c r="BU228" s="218" t="n"/>
      <c r="BV228" s="218" t="n"/>
      <c r="BW228" s="218" t="n"/>
      <c r="BX228" s="218" t="n"/>
      <c r="BY228" s="218" t="n"/>
      <c r="BZ228" s="218" t="n"/>
      <c r="CA228" s="218" t="n"/>
      <c r="CB228" s="218" t="n"/>
      <c r="CC228" s="218" t="n"/>
      <c r="CD228" s="218" t="n"/>
      <c r="CE228" s="218" t="n"/>
      <c r="CF228" s="218" t="n"/>
      <c r="CG228" s="218" t="n"/>
      <c r="CH228" s="218" t="n"/>
      <c r="CI228" s="218" t="n"/>
      <c r="CJ228" s="218" t="n"/>
      <c r="CK228" s="218" t="n"/>
      <c r="CL228" s="218" t="n"/>
      <c r="CM228" s="218" t="n"/>
      <c r="CN228" s="218" t="n"/>
      <c r="CO228" s="218" t="n"/>
      <c r="CP228" s="218" t="n"/>
      <c r="CQ228" s="218" t="n"/>
      <c r="CR228" s="218" t="n"/>
      <c r="CS228" s="218" t="n"/>
      <c r="CT228" s="218" t="n"/>
      <c r="CU228" s="218" t="n"/>
      <c r="CV228" s="218" t="n"/>
      <c r="CW228" s="218" t="n"/>
      <c r="CX228" s="218" t="n"/>
      <c r="CY228" s="218" t="n"/>
      <c r="CZ228" s="218" t="n"/>
      <c r="DA228" s="218" t="n"/>
      <c r="DB228" s="218" t="n"/>
      <c r="DC228" s="218" t="n"/>
    </row>
    <row r="229">
      <c r="A229" s="218" t="n"/>
      <c r="B229" s="218" t="n"/>
      <c r="C229" s="218" t="n"/>
      <c r="D229" s="218" t="n"/>
      <c r="E229" s="218" t="n"/>
      <c r="F229" s="218" t="n"/>
      <c r="G229" s="218" t="n"/>
      <c r="H229" s="218" t="n"/>
      <c r="I229" s="218" t="n"/>
      <c r="J229" s="218" t="n"/>
      <c r="K229" s="218" t="n"/>
      <c r="L229" s="218" t="n"/>
      <c r="M229" s="218" t="n"/>
      <c r="N229" s="218" t="n"/>
      <c r="O229" s="218" t="n"/>
      <c r="AS229" s="218" t="n"/>
      <c r="AT229" s="218" t="n"/>
      <c r="AU229" s="218" t="n"/>
      <c r="AV229" s="218" t="n"/>
      <c r="AW229" s="218" t="n"/>
      <c r="AX229" s="218" t="n"/>
      <c r="AY229" s="218" t="n"/>
      <c r="AZ229" s="218" t="n"/>
      <c r="BA229" s="218" t="n"/>
      <c r="BB229" s="218" t="n"/>
      <c r="BC229" s="218" t="n"/>
      <c r="BD229" s="218" t="n"/>
      <c r="BE229" s="218" t="n"/>
      <c r="BF229" s="218" t="n"/>
      <c r="BG229" s="218" t="n"/>
      <c r="BH229" s="218" t="n"/>
      <c r="BI229" s="218" t="n"/>
      <c r="BJ229" s="146" t="n">
        <v>149</v>
      </c>
      <c r="BK229" s="146" t="inlineStr">
        <is>
          <t>ADMINISTRACION Y SUPERVISION DE DIVISION DE TERRENOS Y DE CONSTRUCCION DE OBRAS DE URBANIZACION</t>
        </is>
      </c>
      <c r="BL229" s="146" t="n"/>
      <c r="BM229" s="146" t="n"/>
      <c r="BN229" s="146" t="n"/>
      <c r="BO229" s="146" t="n"/>
      <c r="BP229" s="146" t="n"/>
      <c r="BQ229" s="146" t="n"/>
      <c r="BR229" s="146" t="n"/>
      <c r="BS229" s="146" t="n"/>
      <c r="BT229" s="146" t="n"/>
      <c r="BU229" s="218" t="n"/>
      <c r="BV229" s="218" t="n"/>
      <c r="BW229" s="218" t="n"/>
      <c r="BX229" s="218" t="n"/>
      <c r="BY229" s="218" t="n"/>
      <c r="BZ229" s="218" t="n"/>
      <c r="CA229" s="218" t="n"/>
      <c r="CB229" s="218" t="n"/>
      <c r="CC229" s="218" t="n"/>
      <c r="CD229" s="218" t="n"/>
      <c r="CE229" s="218" t="n"/>
      <c r="CF229" s="218" t="n"/>
      <c r="CG229" s="218" t="n"/>
      <c r="CH229" s="218" t="n"/>
      <c r="CI229" s="218" t="n"/>
      <c r="CJ229" s="218" t="n"/>
      <c r="CK229" s="218" t="n"/>
      <c r="CL229" s="218" t="n"/>
      <c r="CM229" s="218" t="n"/>
      <c r="CN229" s="218" t="n"/>
      <c r="CO229" s="218" t="n"/>
      <c r="CP229" s="218" t="n"/>
      <c r="CQ229" s="218" t="n"/>
      <c r="CR229" s="218" t="n"/>
      <c r="CS229" s="218" t="n"/>
      <c r="CT229" s="218" t="n"/>
      <c r="CU229" s="218" t="n"/>
      <c r="CV229" s="218" t="n"/>
      <c r="CW229" s="218" t="n"/>
      <c r="CX229" s="218" t="n"/>
      <c r="CY229" s="218" t="n"/>
      <c r="CZ229" s="218" t="n"/>
      <c r="DA229" s="218" t="n"/>
      <c r="DB229" s="218" t="n"/>
      <c r="DC229" s="218" t="n"/>
    </row>
    <row r="230">
      <c r="A230" s="218" t="n"/>
      <c r="B230" s="218" t="n"/>
      <c r="C230" s="218" t="n"/>
      <c r="D230" s="218" t="n"/>
      <c r="E230" s="218" t="n"/>
      <c r="F230" s="218" t="n"/>
      <c r="G230" s="218" t="n"/>
      <c r="H230" s="218" t="n"/>
      <c r="I230" s="218" t="n"/>
      <c r="J230" s="218" t="n"/>
      <c r="K230" s="218" t="n"/>
      <c r="L230" s="218" t="n"/>
      <c r="M230" s="218" t="n"/>
      <c r="N230" s="218" t="n"/>
      <c r="O230" s="218" t="n"/>
      <c r="AS230" s="218" t="n"/>
      <c r="AT230" s="218" t="n"/>
      <c r="AU230" s="218" t="n"/>
      <c r="AV230" s="218" t="n"/>
      <c r="AW230" s="218" t="n"/>
      <c r="AX230" s="218" t="n"/>
      <c r="AY230" s="218" t="n"/>
      <c r="AZ230" s="218" t="n"/>
      <c r="BA230" s="218" t="n"/>
      <c r="BB230" s="218" t="n"/>
      <c r="BC230" s="218" t="n"/>
      <c r="BD230" s="218" t="n"/>
      <c r="BE230" s="218" t="n"/>
      <c r="BF230" s="218" t="n"/>
      <c r="BG230" s="218" t="n"/>
      <c r="BH230" s="218" t="n"/>
      <c r="BI230" s="218" t="n"/>
      <c r="BJ230" s="146" t="n">
        <v>150</v>
      </c>
      <c r="BK230" s="146" t="inlineStr">
        <is>
          <t>INSTALACION DE SE?ALAMIENTOS Y PROTECCIONES DE OBRAS VIALES</t>
        </is>
      </c>
      <c r="BL230" s="146" t="n"/>
      <c r="BM230" s="146" t="n"/>
      <c r="BN230" s="146" t="n"/>
      <c r="BO230" s="146" t="n"/>
      <c r="BP230" s="146" t="n"/>
      <c r="BQ230" s="146" t="n"/>
      <c r="BR230" s="146" t="n"/>
      <c r="BS230" s="146" t="n"/>
      <c r="BT230" s="146" t="n"/>
      <c r="BU230" s="218" t="n"/>
      <c r="BV230" s="218" t="n"/>
      <c r="BW230" s="218" t="n"/>
      <c r="BX230" s="218" t="n"/>
      <c r="BY230" s="218" t="n"/>
      <c r="BZ230" s="218" t="n"/>
      <c r="CA230" s="218" t="n"/>
      <c r="CB230" s="218" t="n"/>
      <c r="CC230" s="218" t="n"/>
      <c r="CD230" s="218" t="n"/>
      <c r="CE230" s="218" t="n"/>
      <c r="CF230" s="218" t="n"/>
      <c r="CG230" s="218" t="n"/>
      <c r="CH230" s="218" t="n"/>
      <c r="CI230" s="218" t="n"/>
      <c r="CJ230" s="218" t="n"/>
      <c r="CK230" s="218" t="n"/>
      <c r="CL230" s="218" t="n"/>
      <c r="CM230" s="218" t="n"/>
      <c r="CN230" s="218" t="n"/>
      <c r="CO230" s="218" t="n"/>
      <c r="CP230" s="218" t="n"/>
      <c r="CQ230" s="218" t="n"/>
      <c r="CR230" s="218" t="n"/>
      <c r="CS230" s="218" t="n"/>
      <c r="CT230" s="218" t="n"/>
      <c r="CU230" s="218" t="n"/>
      <c r="CV230" s="218" t="n"/>
      <c r="CW230" s="218" t="n"/>
      <c r="CX230" s="218" t="n"/>
      <c r="CY230" s="218" t="n"/>
      <c r="CZ230" s="218" t="n"/>
      <c r="DA230" s="218" t="n"/>
      <c r="DB230" s="218" t="n"/>
      <c r="DC230" s="218" t="n"/>
    </row>
    <row r="231">
      <c r="A231" s="218" t="n"/>
      <c r="B231" s="218" t="n"/>
      <c r="C231" s="218" t="n"/>
      <c r="D231" s="218" t="n"/>
      <c r="E231" s="218" t="n"/>
      <c r="F231" s="218" t="n"/>
      <c r="G231" s="218" t="n"/>
      <c r="H231" s="218" t="n"/>
      <c r="I231" s="218" t="n"/>
      <c r="J231" s="218" t="n"/>
      <c r="K231" s="218" t="n"/>
      <c r="L231" s="218" t="n"/>
      <c r="M231" s="218" t="n"/>
      <c r="N231" s="218" t="n"/>
      <c r="O231" s="218" t="n"/>
      <c r="AS231" s="218" t="n"/>
      <c r="AT231" s="218" t="n"/>
      <c r="AU231" s="218" t="n"/>
      <c r="AV231" s="218" t="n"/>
      <c r="AW231" s="218" t="n"/>
      <c r="AX231" s="218" t="n"/>
      <c r="AY231" s="218" t="n"/>
      <c r="AZ231" s="218" t="n"/>
      <c r="BA231" s="218" t="n"/>
      <c r="BB231" s="218" t="n"/>
      <c r="BC231" s="218" t="n"/>
      <c r="BD231" s="218" t="n"/>
      <c r="BE231" s="218" t="n"/>
      <c r="BF231" s="218" t="n"/>
      <c r="BG231" s="218" t="n"/>
      <c r="BH231" s="218" t="n"/>
      <c r="BI231" s="218" t="n"/>
      <c r="BJ231" s="146" t="n">
        <v>151</v>
      </c>
      <c r="BK231" s="146" t="inlineStr">
        <is>
          <t>CONSTRUCCION DE CARRETERAS, AUTOPISTAS, TERRACERIAS, PUENTES, PASOS A DESNIVEL Y AEROPISTAS</t>
        </is>
      </c>
      <c r="BL231" s="146" t="n"/>
      <c r="BM231" s="146" t="n"/>
      <c r="BN231" s="146" t="n"/>
      <c r="BO231" s="146" t="n"/>
      <c r="BP231" s="146" t="n"/>
      <c r="BQ231" s="146" t="n"/>
      <c r="BR231" s="146" t="n"/>
      <c r="BS231" s="146" t="n"/>
      <c r="BT231" s="146" t="n"/>
      <c r="BU231" s="218" t="n"/>
      <c r="BV231" s="218" t="n"/>
      <c r="BW231" s="218" t="n"/>
      <c r="BX231" s="218" t="n"/>
      <c r="BY231" s="218" t="n"/>
      <c r="BZ231" s="218" t="n"/>
      <c r="CA231" s="218" t="n"/>
      <c r="CB231" s="218" t="n"/>
      <c r="CC231" s="218" t="n"/>
      <c r="CD231" s="218" t="n"/>
      <c r="CE231" s="218" t="n"/>
      <c r="CF231" s="218" t="n"/>
      <c r="CG231" s="218" t="n"/>
      <c r="CH231" s="218" t="n"/>
      <c r="CI231" s="218" t="n"/>
      <c r="CJ231" s="218" t="n"/>
      <c r="CK231" s="218" t="n"/>
      <c r="CL231" s="218" t="n"/>
      <c r="CM231" s="218" t="n"/>
      <c r="CN231" s="218" t="n"/>
      <c r="CO231" s="218" t="n"/>
      <c r="CP231" s="218" t="n"/>
      <c r="CQ231" s="218" t="n"/>
      <c r="CR231" s="218" t="n"/>
      <c r="CS231" s="218" t="n"/>
      <c r="CT231" s="218" t="n"/>
      <c r="CU231" s="218" t="n"/>
      <c r="CV231" s="218" t="n"/>
      <c r="CW231" s="218" t="n"/>
      <c r="CX231" s="218" t="n"/>
      <c r="CY231" s="218" t="n"/>
      <c r="CZ231" s="218" t="n"/>
      <c r="DA231" s="218" t="n"/>
      <c r="DB231" s="218" t="n"/>
      <c r="DC231" s="218" t="n"/>
    </row>
    <row r="232">
      <c r="A232" s="218" t="n"/>
      <c r="B232" s="218" t="n"/>
      <c r="C232" s="218" t="n"/>
      <c r="D232" s="218" t="n"/>
      <c r="E232" s="218" t="n"/>
      <c r="F232" s="218" t="n"/>
      <c r="G232" s="218" t="n"/>
      <c r="H232" s="218" t="n"/>
      <c r="I232" s="218" t="n"/>
      <c r="J232" s="218" t="n"/>
      <c r="K232" s="218" t="n"/>
      <c r="L232" s="218" t="n"/>
      <c r="M232" s="218" t="n"/>
      <c r="N232" s="218" t="n"/>
      <c r="O232" s="218" t="n"/>
      <c r="AS232" s="218" t="n"/>
      <c r="AT232" s="218" t="n"/>
      <c r="AU232" s="218" t="n"/>
      <c r="AV232" s="218" t="n"/>
      <c r="AW232" s="218" t="n"/>
      <c r="AX232" s="218" t="n"/>
      <c r="AY232" s="218" t="n"/>
      <c r="AZ232" s="218" t="n"/>
      <c r="BA232" s="218" t="n"/>
      <c r="BB232" s="218" t="n"/>
      <c r="BC232" s="218" t="n"/>
      <c r="BD232" s="218" t="n"/>
      <c r="BE232" s="218" t="n"/>
      <c r="BF232" s="218" t="n"/>
      <c r="BG232" s="218" t="n"/>
      <c r="BH232" s="218" t="n"/>
      <c r="BI232" s="218" t="n"/>
      <c r="BJ232" s="146" t="n">
        <v>152</v>
      </c>
      <c r="BK232" s="146" t="inlineStr">
        <is>
          <t>ADMINISTRACION Y SUPERVISION DE CONSTRUCCION DE VIAS DE COMUNICACION</t>
        </is>
      </c>
      <c r="BL232" s="146" t="n"/>
      <c r="BM232" s="146" t="n"/>
      <c r="BN232" s="146" t="n"/>
      <c r="BO232" s="146" t="n"/>
      <c r="BP232" s="146" t="n"/>
      <c r="BQ232" s="146" t="n"/>
      <c r="BR232" s="146" t="n"/>
      <c r="BS232" s="146" t="n"/>
      <c r="BT232" s="146" t="n"/>
      <c r="BU232" s="218" t="n"/>
      <c r="BV232" s="218" t="n"/>
      <c r="BW232" s="218" t="n"/>
      <c r="BX232" s="218" t="n"/>
      <c r="BY232" s="218" t="n"/>
      <c r="BZ232" s="218" t="n"/>
      <c r="CA232" s="218" t="n"/>
      <c r="CB232" s="218" t="n"/>
      <c r="CC232" s="218" t="n"/>
      <c r="CD232" s="218" t="n"/>
      <c r="CE232" s="218" t="n"/>
      <c r="CF232" s="218" t="n"/>
      <c r="CG232" s="218" t="n"/>
      <c r="CH232" s="218" t="n"/>
      <c r="CI232" s="218" t="n"/>
      <c r="CJ232" s="218" t="n"/>
      <c r="CK232" s="218" t="n"/>
      <c r="CL232" s="218" t="n"/>
      <c r="CM232" s="218" t="n"/>
      <c r="CN232" s="218" t="n"/>
      <c r="CO232" s="218" t="n"/>
      <c r="CP232" s="218" t="n"/>
      <c r="CQ232" s="218" t="n"/>
      <c r="CR232" s="218" t="n"/>
      <c r="CS232" s="218" t="n"/>
      <c r="CT232" s="218" t="n"/>
      <c r="CU232" s="218" t="n"/>
      <c r="CV232" s="218" t="n"/>
      <c r="CW232" s="218" t="n"/>
      <c r="CX232" s="218" t="n"/>
      <c r="CY232" s="218" t="n"/>
      <c r="CZ232" s="218" t="n"/>
      <c r="DA232" s="218" t="n"/>
      <c r="DB232" s="218" t="n"/>
      <c r="DC232" s="218" t="n"/>
    </row>
    <row r="233">
      <c r="A233" s="218" t="n"/>
      <c r="B233" s="218" t="n"/>
      <c r="C233" s="218" t="n"/>
      <c r="D233" s="218" t="n"/>
      <c r="E233" s="218" t="n"/>
      <c r="F233" s="218" t="n"/>
      <c r="G233" s="218" t="n"/>
      <c r="H233" s="218" t="n"/>
      <c r="I233" s="218" t="n"/>
      <c r="J233" s="218" t="n"/>
      <c r="K233" s="218" t="n"/>
      <c r="L233" s="218" t="n"/>
      <c r="M233" s="218" t="n"/>
      <c r="N233" s="218" t="n"/>
      <c r="O233" s="218" t="n"/>
      <c r="AS233" s="218" t="n"/>
      <c r="AT233" s="218" t="n"/>
      <c r="AU233" s="218" t="n"/>
      <c r="AV233" s="218" t="n"/>
      <c r="AW233" s="218" t="n"/>
      <c r="AX233" s="218" t="n"/>
      <c r="AY233" s="218" t="n"/>
      <c r="AZ233" s="218" t="n"/>
      <c r="BA233" s="218" t="n"/>
      <c r="BB233" s="218" t="n"/>
      <c r="BC233" s="218" t="n"/>
      <c r="BD233" s="218" t="n"/>
      <c r="BE233" s="218" t="n"/>
      <c r="BF233" s="218" t="n"/>
      <c r="BG233" s="218" t="n"/>
      <c r="BH233" s="218" t="n"/>
      <c r="BI233" s="218" t="n"/>
      <c r="BJ233" s="146" t="n">
        <v>153</v>
      </c>
      <c r="BK233" s="146" t="inlineStr">
        <is>
          <t>CONSTRUCCION DE PRESAS Y REPRESAS</t>
        </is>
      </c>
      <c r="BL233" s="146" t="n"/>
      <c r="BM233" s="146" t="n"/>
      <c r="BN233" s="146" t="n"/>
      <c r="BO233" s="146" t="n"/>
      <c r="BP233" s="146" t="n"/>
      <c r="BQ233" s="146" t="n"/>
      <c r="BR233" s="146" t="n"/>
      <c r="BS233" s="146" t="n"/>
      <c r="BT233" s="146" t="n"/>
      <c r="BU233" s="218" t="n"/>
      <c r="BV233" s="218" t="n"/>
      <c r="BW233" s="218" t="n"/>
      <c r="BX233" s="218" t="n"/>
      <c r="BY233" s="218" t="n"/>
      <c r="BZ233" s="218" t="n"/>
      <c r="CA233" s="218" t="n"/>
      <c r="CB233" s="218" t="n"/>
      <c r="CC233" s="218" t="n"/>
      <c r="CD233" s="218" t="n"/>
      <c r="CE233" s="218" t="n"/>
      <c r="CF233" s="218" t="n"/>
      <c r="CG233" s="218" t="n"/>
      <c r="CH233" s="218" t="n"/>
      <c r="CI233" s="218" t="n"/>
      <c r="CJ233" s="218" t="n"/>
      <c r="CK233" s="218" t="n"/>
      <c r="CL233" s="218" t="n"/>
      <c r="CM233" s="218" t="n"/>
      <c r="CN233" s="218" t="n"/>
      <c r="CO233" s="218" t="n"/>
      <c r="CP233" s="218" t="n"/>
      <c r="CQ233" s="218" t="n"/>
      <c r="CR233" s="218" t="n"/>
      <c r="CS233" s="218" t="n"/>
      <c r="CT233" s="218" t="n"/>
      <c r="CU233" s="218" t="n"/>
      <c r="CV233" s="218" t="n"/>
      <c r="CW233" s="218" t="n"/>
      <c r="CX233" s="218" t="n"/>
      <c r="CY233" s="218" t="n"/>
      <c r="CZ233" s="218" t="n"/>
      <c r="DA233" s="218" t="n"/>
      <c r="DB233" s="218" t="n"/>
      <c r="DC233" s="218" t="n"/>
    </row>
    <row r="234">
      <c r="A234" s="218" t="n"/>
      <c r="B234" s="218" t="n"/>
      <c r="C234" s="218" t="n"/>
      <c r="D234" s="218" t="n"/>
      <c r="E234" s="218" t="n"/>
      <c r="F234" s="218" t="n"/>
      <c r="G234" s="218" t="n"/>
      <c r="H234" s="218" t="n"/>
      <c r="I234" s="218" t="n"/>
      <c r="J234" s="218" t="n"/>
      <c r="K234" s="218" t="n"/>
      <c r="L234" s="218" t="n"/>
      <c r="M234" s="218" t="n"/>
      <c r="N234" s="218" t="n"/>
      <c r="O234" s="218" t="n"/>
      <c r="AS234" s="218" t="n"/>
      <c r="AT234" s="218" t="n"/>
      <c r="AU234" s="218" t="n"/>
      <c r="AV234" s="218" t="n"/>
      <c r="AW234" s="218" t="n"/>
      <c r="AX234" s="218" t="n"/>
      <c r="AY234" s="218" t="n"/>
      <c r="AZ234" s="218" t="n"/>
      <c r="BA234" s="218" t="n"/>
      <c r="BB234" s="218" t="n"/>
      <c r="BC234" s="218" t="n"/>
      <c r="BD234" s="218" t="n"/>
      <c r="BE234" s="218" t="n"/>
      <c r="BF234" s="218" t="n"/>
      <c r="BG234" s="218" t="n"/>
      <c r="BH234" s="218" t="n"/>
      <c r="BI234" s="218" t="n"/>
      <c r="BJ234" s="146" t="n">
        <v>154</v>
      </c>
      <c r="BK234" s="146" t="inlineStr">
        <is>
          <t>CONSTRUCCION DE OBRAS MARITIMAS, FLUVIALES Y SUBACUATICAS</t>
        </is>
      </c>
      <c r="BL234" s="146" t="n"/>
      <c r="BM234" s="146" t="n"/>
      <c r="BN234" s="146" t="n"/>
      <c r="BO234" s="146" t="n"/>
      <c r="BP234" s="146" t="n"/>
      <c r="BQ234" s="146" t="n"/>
      <c r="BR234" s="146" t="n"/>
      <c r="BS234" s="146" t="n"/>
      <c r="BT234" s="146" t="n"/>
      <c r="BU234" s="218" t="n"/>
      <c r="BV234" s="218" t="n"/>
      <c r="BW234" s="218" t="n"/>
      <c r="BX234" s="218" t="n"/>
      <c r="BY234" s="218" t="n"/>
      <c r="BZ234" s="218" t="n"/>
      <c r="CA234" s="218" t="n"/>
      <c r="CB234" s="218" t="n"/>
      <c r="CC234" s="218" t="n"/>
      <c r="CD234" s="218" t="n"/>
      <c r="CE234" s="218" t="n"/>
      <c r="CF234" s="218" t="n"/>
      <c r="CG234" s="218" t="n"/>
      <c r="CH234" s="218" t="n"/>
      <c r="CI234" s="218" t="n"/>
      <c r="CJ234" s="218" t="n"/>
      <c r="CK234" s="218" t="n"/>
      <c r="CL234" s="218" t="n"/>
      <c r="CM234" s="218" t="n"/>
      <c r="CN234" s="218" t="n"/>
      <c r="CO234" s="218" t="n"/>
      <c r="CP234" s="218" t="n"/>
      <c r="CQ234" s="218" t="n"/>
      <c r="CR234" s="218" t="n"/>
      <c r="CS234" s="218" t="n"/>
      <c r="CT234" s="218" t="n"/>
      <c r="CU234" s="218" t="n"/>
      <c r="CV234" s="218" t="n"/>
      <c r="CW234" s="218" t="n"/>
      <c r="CX234" s="218" t="n"/>
      <c r="CY234" s="218" t="n"/>
      <c r="CZ234" s="218" t="n"/>
      <c r="DA234" s="218" t="n"/>
      <c r="DB234" s="218" t="n"/>
      <c r="DC234" s="218" t="n"/>
    </row>
    <row r="235">
      <c r="A235" s="218" t="n"/>
      <c r="B235" s="218" t="n"/>
      <c r="C235" s="218" t="n"/>
      <c r="D235" s="218" t="n"/>
      <c r="E235" s="218" t="n"/>
      <c r="F235" s="218" t="n"/>
      <c r="G235" s="218" t="n"/>
      <c r="H235" s="218" t="n"/>
      <c r="I235" s="218" t="n"/>
      <c r="J235" s="218" t="n"/>
      <c r="K235" s="218" t="n"/>
      <c r="L235" s="218" t="n"/>
      <c r="M235" s="218" t="n"/>
      <c r="N235" s="218" t="n"/>
      <c r="O235" s="218" t="n"/>
      <c r="AS235" s="218" t="n"/>
      <c r="AT235" s="218" t="n"/>
      <c r="AU235" s="218" t="n"/>
      <c r="AV235" s="218" t="n"/>
      <c r="AW235" s="218" t="n"/>
      <c r="AX235" s="218" t="n"/>
      <c r="AY235" s="218" t="n"/>
      <c r="AZ235" s="218" t="n"/>
      <c r="BA235" s="218" t="n"/>
      <c r="BB235" s="218" t="n"/>
      <c r="BC235" s="218" t="n"/>
      <c r="BD235" s="218" t="n"/>
      <c r="BE235" s="218" t="n"/>
      <c r="BF235" s="218" t="n"/>
      <c r="BG235" s="218" t="n"/>
      <c r="BH235" s="218" t="n"/>
      <c r="BI235" s="218" t="n"/>
      <c r="BJ235" s="146" t="n">
        <v>155</v>
      </c>
      <c r="BK235" s="146" t="inlineStr">
        <is>
          <t>CONSTRUCCION DE OBRAS PARA TRANSPORTE ELECTRICO Y FERROVIARIO</t>
        </is>
      </c>
      <c r="BL235" s="146" t="n"/>
      <c r="BM235" s="146" t="n"/>
      <c r="BN235" s="146" t="n"/>
      <c r="BO235" s="146" t="n"/>
      <c r="BP235" s="146" t="n"/>
      <c r="BQ235" s="146" t="n"/>
      <c r="BR235" s="146" t="n"/>
      <c r="BS235" s="146" t="n"/>
      <c r="BT235" s="146" t="n"/>
      <c r="BU235" s="218" t="n"/>
      <c r="BV235" s="218" t="n"/>
      <c r="BW235" s="218" t="n"/>
      <c r="BX235" s="218" t="n"/>
      <c r="BY235" s="218" t="n"/>
      <c r="BZ235" s="218" t="n"/>
      <c r="CA235" s="218" t="n"/>
      <c r="CB235" s="218" t="n"/>
      <c r="CC235" s="218" t="n"/>
      <c r="CD235" s="218" t="n"/>
      <c r="CE235" s="218" t="n"/>
      <c r="CF235" s="218" t="n"/>
      <c r="CG235" s="218" t="n"/>
      <c r="CH235" s="218" t="n"/>
      <c r="CI235" s="218" t="n"/>
      <c r="CJ235" s="218" t="n"/>
      <c r="CK235" s="218" t="n"/>
      <c r="CL235" s="218" t="n"/>
      <c r="CM235" s="218" t="n"/>
      <c r="CN235" s="218" t="n"/>
      <c r="CO235" s="218" t="n"/>
      <c r="CP235" s="218" t="n"/>
      <c r="CQ235" s="218" t="n"/>
      <c r="CR235" s="218" t="n"/>
      <c r="CS235" s="218" t="n"/>
      <c r="CT235" s="218" t="n"/>
      <c r="CU235" s="218" t="n"/>
      <c r="CV235" s="218" t="n"/>
      <c r="CW235" s="218" t="n"/>
      <c r="CX235" s="218" t="n"/>
      <c r="CY235" s="218" t="n"/>
      <c r="CZ235" s="218" t="n"/>
      <c r="DA235" s="218" t="n"/>
      <c r="DB235" s="218" t="n"/>
      <c r="DC235" s="218" t="n"/>
    </row>
    <row r="236">
      <c r="A236" s="218" t="n"/>
      <c r="B236" s="218" t="n"/>
      <c r="C236" s="218" t="n"/>
      <c r="D236" s="218" t="n"/>
      <c r="E236" s="218" t="n"/>
      <c r="F236" s="218" t="n"/>
      <c r="G236" s="218" t="n"/>
      <c r="H236" s="218" t="n"/>
      <c r="I236" s="218" t="n"/>
      <c r="J236" s="218" t="n"/>
      <c r="K236" s="218" t="n"/>
      <c r="L236" s="218" t="n"/>
      <c r="M236" s="218" t="n"/>
      <c r="N236" s="218" t="n"/>
      <c r="O236" s="218" t="n"/>
      <c r="AS236" s="218" t="n"/>
      <c r="AT236" s="218" t="n"/>
      <c r="AU236" s="218" t="n"/>
      <c r="AV236" s="218" t="n"/>
      <c r="AW236" s="218" t="n"/>
      <c r="AX236" s="218" t="n"/>
      <c r="AY236" s="218" t="n"/>
      <c r="AZ236" s="218" t="n"/>
      <c r="BA236" s="218" t="n"/>
      <c r="BB236" s="218" t="n"/>
      <c r="BC236" s="218" t="n"/>
      <c r="BD236" s="218" t="n"/>
      <c r="BE236" s="218" t="n"/>
      <c r="BF236" s="218" t="n"/>
      <c r="BG236" s="218" t="n"/>
      <c r="BH236" s="218" t="n"/>
      <c r="BI236" s="218" t="n"/>
      <c r="BJ236" s="146" t="n">
        <v>156</v>
      </c>
      <c r="BK236" s="146" t="inlineStr">
        <is>
          <t>ADMINISTRACION Y SUPERVISION DE CONSTRUCCION DE OTRAS OBRAS DE INGENIERIA CIVIL U OBRA PESADA</t>
        </is>
      </c>
      <c r="BL236" s="146" t="n"/>
      <c r="BM236" s="146" t="n"/>
      <c r="BN236" s="146" t="n"/>
      <c r="BO236" s="146" t="n"/>
      <c r="BP236" s="146" t="n"/>
      <c r="BQ236" s="146" t="n"/>
      <c r="BR236" s="146" t="n"/>
      <c r="BS236" s="146" t="n"/>
      <c r="BT236" s="146" t="n"/>
      <c r="BU236" s="218" t="n"/>
      <c r="BV236" s="218" t="n"/>
      <c r="BW236" s="218" t="n"/>
      <c r="BX236" s="218" t="n"/>
      <c r="BY236" s="218" t="n"/>
      <c r="BZ236" s="218" t="n"/>
      <c r="CA236" s="218" t="n"/>
      <c r="CB236" s="218" t="n"/>
      <c r="CC236" s="218" t="n"/>
      <c r="CD236" s="218" t="n"/>
      <c r="CE236" s="218" t="n"/>
      <c r="CF236" s="218" t="n"/>
      <c r="CG236" s="218" t="n"/>
      <c r="CH236" s="218" t="n"/>
      <c r="CI236" s="218" t="n"/>
      <c r="CJ236" s="218" t="n"/>
      <c r="CK236" s="218" t="n"/>
      <c r="CL236" s="218" t="n"/>
      <c r="CM236" s="218" t="n"/>
      <c r="CN236" s="218" t="n"/>
      <c r="CO236" s="218" t="n"/>
      <c r="CP236" s="218" t="n"/>
      <c r="CQ236" s="218" t="n"/>
      <c r="CR236" s="218" t="n"/>
      <c r="CS236" s="218" t="n"/>
      <c r="CT236" s="218" t="n"/>
      <c r="CU236" s="218" t="n"/>
      <c r="CV236" s="218" t="n"/>
      <c r="CW236" s="218" t="n"/>
      <c r="CX236" s="218" t="n"/>
      <c r="CY236" s="218" t="n"/>
      <c r="CZ236" s="218" t="n"/>
      <c r="DA236" s="218" t="n"/>
      <c r="DB236" s="218" t="n"/>
      <c r="DC236" s="218" t="n"/>
    </row>
    <row r="237">
      <c r="A237" s="218" t="n"/>
      <c r="B237" s="218" t="n"/>
      <c r="C237" s="218" t="n"/>
      <c r="D237" s="218" t="n"/>
      <c r="E237" s="218" t="n"/>
      <c r="F237" s="218" t="n"/>
      <c r="G237" s="218" t="n"/>
      <c r="H237" s="218" t="n"/>
      <c r="I237" s="218" t="n"/>
      <c r="J237" s="218" t="n"/>
      <c r="K237" s="218" t="n"/>
      <c r="L237" s="218" t="n"/>
      <c r="M237" s="218" t="n"/>
      <c r="N237" s="218" t="n"/>
      <c r="O237" s="218" t="n"/>
      <c r="AS237" s="218" t="n"/>
      <c r="AT237" s="218" t="n"/>
      <c r="AU237" s="218" t="n"/>
      <c r="AV237" s="218" t="n"/>
      <c r="AW237" s="218" t="n"/>
      <c r="AX237" s="218" t="n"/>
      <c r="AY237" s="218" t="n"/>
      <c r="AZ237" s="218" t="n"/>
      <c r="BA237" s="218" t="n"/>
      <c r="BB237" s="218" t="n"/>
      <c r="BC237" s="218" t="n"/>
      <c r="BD237" s="218" t="n"/>
      <c r="BE237" s="218" t="n"/>
      <c r="BF237" s="218" t="n"/>
      <c r="BG237" s="218" t="n"/>
      <c r="BH237" s="218" t="n"/>
      <c r="BI237" s="218" t="n"/>
      <c r="BJ237" s="146" t="n">
        <v>157</v>
      </c>
      <c r="BK237" s="146" t="inlineStr">
        <is>
          <t>OTRAS CONSTRUCCIONES DE INGENIERIA CIVIL U OBRA PESADA</t>
        </is>
      </c>
      <c r="BL237" s="146" t="n"/>
      <c r="BM237" s="146" t="n"/>
      <c r="BN237" s="146" t="n"/>
      <c r="BO237" s="146" t="n"/>
      <c r="BP237" s="146" t="n"/>
      <c r="BQ237" s="146" t="n"/>
      <c r="BR237" s="146" t="n"/>
      <c r="BS237" s="146" t="n"/>
      <c r="BT237" s="146" t="n"/>
      <c r="BU237" s="218" t="n"/>
      <c r="BV237" s="218" t="n"/>
      <c r="BW237" s="218" t="n"/>
      <c r="BX237" s="218" t="n"/>
      <c r="BY237" s="218" t="n"/>
      <c r="BZ237" s="218" t="n"/>
      <c r="CA237" s="218" t="n"/>
      <c r="CB237" s="218" t="n"/>
      <c r="CC237" s="218" t="n"/>
      <c r="CD237" s="218" t="n"/>
      <c r="CE237" s="218" t="n"/>
      <c r="CF237" s="218" t="n"/>
      <c r="CG237" s="218" t="n"/>
      <c r="CH237" s="218" t="n"/>
      <c r="CI237" s="218" t="n"/>
      <c r="CJ237" s="218" t="n"/>
      <c r="CK237" s="218" t="n"/>
      <c r="CL237" s="218" t="n"/>
      <c r="CM237" s="218" t="n"/>
      <c r="CN237" s="218" t="n"/>
      <c r="CO237" s="218" t="n"/>
      <c r="CP237" s="218" t="n"/>
      <c r="CQ237" s="218" t="n"/>
      <c r="CR237" s="218" t="n"/>
      <c r="CS237" s="218" t="n"/>
      <c r="CT237" s="218" t="n"/>
      <c r="CU237" s="218" t="n"/>
      <c r="CV237" s="218" t="n"/>
      <c r="CW237" s="218" t="n"/>
      <c r="CX237" s="218" t="n"/>
      <c r="CY237" s="218" t="n"/>
      <c r="CZ237" s="218" t="n"/>
      <c r="DA237" s="218" t="n"/>
      <c r="DB237" s="218" t="n"/>
      <c r="DC237" s="218" t="n"/>
    </row>
    <row r="238">
      <c r="A238" s="218" t="n"/>
      <c r="B238" s="218" t="n"/>
      <c r="C238" s="218" t="n"/>
      <c r="D238" s="218" t="n"/>
      <c r="E238" s="218" t="n"/>
      <c r="F238" s="218" t="n"/>
      <c r="G238" s="218" t="n"/>
      <c r="H238" s="218" t="n"/>
      <c r="I238" s="218" t="n"/>
      <c r="J238" s="218" t="n"/>
      <c r="K238" s="218" t="n"/>
      <c r="L238" s="218" t="n"/>
      <c r="M238" s="218" t="n"/>
      <c r="N238" s="218" t="n"/>
      <c r="O238" s="218" t="n"/>
      <c r="AS238" s="218" t="n"/>
      <c r="AT238" s="218" t="n"/>
      <c r="AU238" s="218" t="n"/>
      <c r="AV238" s="218" t="n"/>
      <c r="AW238" s="218" t="n"/>
      <c r="AX238" s="218" t="n"/>
      <c r="AY238" s="218" t="n"/>
      <c r="AZ238" s="218" t="n"/>
      <c r="BA238" s="218" t="n"/>
      <c r="BB238" s="218" t="n"/>
      <c r="BC238" s="218" t="n"/>
      <c r="BD238" s="218" t="n"/>
      <c r="BE238" s="218" t="n"/>
      <c r="BF238" s="218" t="n"/>
      <c r="BG238" s="218" t="n"/>
      <c r="BH238" s="218" t="n"/>
      <c r="BI238" s="218" t="n"/>
      <c r="BJ238" s="146" t="n">
        <v>158</v>
      </c>
      <c r="BK238" s="146" t="inlineStr">
        <is>
          <t>TRABAJOS DE CIMENTACIONES</t>
        </is>
      </c>
      <c r="BL238" s="146" t="n"/>
      <c r="BM238" s="146" t="n"/>
      <c r="BN238" s="146" t="n"/>
      <c r="BO238" s="146" t="n"/>
      <c r="BP238" s="146" t="n"/>
      <c r="BQ238" s="146" t="n"/>
      <c r="BR238" s="146" t="n"/>
      <c r="BS238" s="146" t="n"/>
      <c r="BT238" s="146" t="n"/>
      <c r="BU238" s="218" t="n"/>
      <c r="BV238" s="218" t="n"/>
      <c r="BW238" s="218" t="n"/>
      <c r="BX238" s="218" t="n"/>
      <c r="BY238" s="218" t="n"/>
      <c r="BZ238" s="218" t="n"/>
      <c r="CA238" s="218" t="n"/>
      <c r="CB238" s="218" t="n"/>
      <c r="CC238" s="218" t="n"/>
      <c r="CD238" s="218" t="n"/>
      <c r="CE238" s="218" t="n"/>
      <c r="CF238" s="218" t="n"/>
      <c r="CG238" s="218" t="n"/>
      <c r="CH238" s="218" t="n"/>
      <c r="CI238" s="218" t="n"/>
      <c r="CJ238" s="218" t="n"/>
      <c r="CK238" s="218" t="n"/>
      <c r="CL238" s="218" t="n"/>
      <c r="CM238" s="218" t="n"/>
      <c r="CN238" s="218" t="n"/>
      <c r="CO238" s="218" t="n"/>
      <c r="CP238" s="218" t="n"/>
      <c r="CQ238" s="218" t="n"/>
      <c r="CR238" s="218" t="n"/>
      <c r="CS238" s="218" t="n"/>
      <c r="CT238" s="218" t="n"/>
      <c r="CU238" s="218" t="n"/>
      <c r="CV238" s="218" t="n"/>
      <c r="CW238" s="218" t="n"/>
      <c r="CX238" s="218" t="n"/>
      <c r="CY238" s="218" t="n"/>
      <c r="CZ238" s="218" t="n"/>
      <c r="DA238" s="218" t="n"/>
      <c r="DB238" s="218" t="n"/>
      <c r="DC238" s="218" t="n"/>
    </row>
    <row r="239">
      <c r="A239" s="218" t="n"/>
      <c r="B239" s="218" t="n"/>
      <c r="C239" s="218" t="n"/>
      <c r="D239" s="218" t="n"/>
      <c r="E239" s="218" t="n"/>
      <c r="F239" s="218" t="n"/>
      <c r="G239" s="218" t="n"/>
      <c r="H239" s="218" t="n"/>
      <c r="I239" s="218" t="n"/>
      <c r="J239" s="218" t="n"/>
      <c r="K239" s="218" t="n"/>
      <c r="L239" s="218" t="n"/>
      <c r="M239" s="218" t="n"/>
      <c r="N239" s="218" t="n"/>
      <c r="O239" s="218" t="n"/>
      <c r="AS239" s="218" t="n"/>
      <c r="AT239" s="218" t="n"/>
      <c r="AU239" s="218" t="n"/>
      <c r="AV239" s="218" t="n"/>
      <c r="AW239" s="218" t="n"/>
      <c r="AX239" s="218" t="n"/>
      <c r="AY239" s="218" t="n"/>
      <c r="AZ239" s="218" t="n"/>
      <c r="BA239" s="218" t="n"/>
      <c r="BB239" s="218" t="n"/>
      <c r="BC239" s="218" t="n"/>
      <c r="BD239" s="218" t="n"/>
      <c r="BE239" s="218" t="n"/>
      <c r="BF239" s="218" t="n"/>
      <c r="BG239" s="218" t="n"/>
      <c r="BH239" s="218" t="n"/>
      <c r="BI239" s="218" t="n"/>
      <c r="BJ239" s="146" t="n">
        <v>159</v>
      </c>
      <c r="BK239" s="146" t="inlineStr">
        <is>
          <t>MONTAJE DE ESTRUCTURAS DE CONCRETO PREFABRICADAS</t>
        </is>
      </c>
      <c r="BL239" s="146" t="n"/>
      <c r="BM239" s="146" t="n"/>
      <c r="BN239" s="146" t="n"/>
      <c r="BO239" s="146" t="n"/>
      <c r="BP239" s="146" t="n"/>
      <c r="BQ239" s="146" t="n"/>
      <c r="BR239" s="146" t="n"/>
      <c r="BS239" s="146" t="n"/>
      <c r="BT239" s="146" t="n"/>
      <c r="BU239" s="218" t="n"/>
      <c r="BV239" s="218" t="n"/>
      <c r="BW239" s="218" t="n"/>
      <c r="BX239" s="218" t="n"/>
      <c r="BY239" s="218" t="n"/>
      <c r="BZ239" s="218" t="n"/>
      <c r="CA239" s="218" t="n"/>
      <c r="CB239" s="218" t="n"/>
      <c r="CC239" s="218" t="n"/>
      <c r="CD239" s="218" t="n"/>
      <c r="CE239" s="218" t="n"/>
      <c r="CF239" s="218" t="n"/>
      <c r="CG239" s="218" t="n"/>
      <c r="CH239" s="218" t="n"/>
      <c r="CI239" s="218" t="n"/>
      <c r="CJ239" s="218" t="n"/>
      <c r="CK239" s="218" t="n"/>
      <c r="CL239" s="218" t="n"/>
      <c r="CM239" s="218" t="n"/>
      <c r="CN239" s="218" t="n"/>
      <c r="CO239" s="218" t="n"/>
      <c r="CP239" s="218" t="n"/>
      <c r="CQ239" s="218" t="n"/>
      <c r="CR239" s="218" t="n"/>
      <c r="CS239" s="218" t="n"/>
      <c r="CT239" s="218" t="n"/>
      <c r="CU239" s="218" t="n"/>
      <c r="CV239" s="218" t="n"/>
      <c r="CW239" s="218" t="n"/>
      <c r="CX239" s="218" t="n"/>
      <c r="CY239" s="218" t="n"/>
      <c r="CZ239" s="218" t="n"/>
      <c r="DA239" s="218" t="n"/>
      <c r="DB239" s="218" t="n"/>
      <c r="DC239" s="218" t="n"/>
    </row>
    <row r="240">
      <c r="A240" s="218" t="n"/>
      <c r="B240" s="218" t="n"/>
      <c r="C240" s="218" t="n"/>
      <c r="D240" s="218" t="n"/>
      <c r="E240" s="218" t="n"/>
      <c r="F240" s="218" t="n"/>
      <c r="G240" s="218" t="n"/>
      <c r="H240" s="218" t="n"/>
      <c r="I240" s="218" t="n"/>
      <c r="J240" s="218" t="n"/>
      <c r="K240" s="218" t="n"/>
      <c r="L240" s="218" t="n"/>
      <c r="M240" s="218" t="n"/>
      <c r="N240" s="218" t="n"/>
      <c r="O240" s="218" t="n"/>
      <c r="AS240" s="218" t="n"/>
      <c r="AT240" s="218" t="n"/>
      <c r="AU240" s="218" t="n"/>
      <c r="AV240" s="218" t="n"/>
      <c r="AW240" s="218" t="n"/>
      <c r="AX240" s="218" t="n"/>
      <c r="AY240" s="218" t="n"/>
      <c r="AZ240" s="218" t="n"/>
      <c r="BA240" s="218" t="n"/>
      <c r="BB240" s="218" t="n"/>
      <c r="BC240" s="218" t="n"/>
      <c r="BD240" s="218" t="n"/>
      <c r="BE240" s="218" t="n"/>
      <c r="BF240" s="218" t="n"/>
      <c r="BG240" s="218" t="n"/>
      <c r="BH240" s="218" t="n"/>
      <c r="BI240" s="218" t="n"/>
      <c r="BJ240" s="146" t="n">
        <v>160</v>
      </c>
      <c r="BK240" s="146" t="inlineStr">
        <is>
          <t>MONTAJE DE ESTRUCTURAS DE ACERO PREFABRICADAS</t>
        </is>
      </c>
      <c r="BL240" s="146" t="n"/>
      <c r="BM240" s="146" t="n"/>
      <c r="BN240" s="146" t="n"/>
      <c r="BO240" s="146" t="n"/>
      <c r="BP240" s="146" t="n"/>
      <c r="BQ240" s="146" t="n"/>
      <c r="BR240" s="146" t="n"/>
      <c r="BS240" s="146" t="n"/>
      <c r="BT240" s="146" t="n"/>
      <c r="BU240" s="218" t="n"/>
      <c r="BV240" s="218" t="n"/>
      <c r="BW240" s="218" t="n"/>
      <c r="BX240" s="218" t="n"/>
      <c r="BY240" s="218" t="n"/>
      <c r="BZ240" s="218" t="n"/>
      <c r="CA240" s="218" t="n"/>
      <c r="CB240" s="218" t="n"/>
      <c r="CC240" s="218" t="n"/>
      <c r="CD240" s="218" t="n"/>
      <c r="CE240" s="218" t="n"/>
      <c r="CF240" s="218" t="n"/>
      <c r="CG240" s="218" t="n"/>
      <c r="CH240" s="218" t="n"/>
      <c r="CI240" s="218" t="n"/>
      <c r="CJ240" s="218" t="n"/>
      <c r="CK240" s="218" t="n"/>
      <c r="CL240" s="218" t="n"/>
      <c r="CM240" s="218" t="n"/>
      <c r="CN240" s="218" t="n"/>
      <c r="CO240" s="218" t="n"/>
      <c r="CP240" s="218" t="n"/>
      <c r="CQ240" s="218" t="n"/>
      <c r="CR240" s="218" t="n"/>
      <c r="CS240" s="218" t="n"/>
      <c r="CT240" s="218" t="n"/>
      <c r="CU240" s="218" t="n"/>
      <c r="CV240" s="218" t="n"/>
      <c r="CW240" s="218" t="n"/>
      <c r="CX240" s="218" t="n"/>
      <c r="CY240" s="218" t="n"/>
      <c r="CZ240" s="218" t="n"/>
      <c r="DA240" s="218" t="n"/>
      <c r="DB240" s="218" t="n"/>
      <c r="DC240" s="218" t="n"/>
    </row>
    <row r="241">
      <c r="A241" s="218" t="n"/>
      <c r="B241" s="218" t="n"/>
      <c r="C241" s="218" t="n"/>
      <c r="D241" s="218" t="n"/>
      <c r="E241" s="218" t="n"/>
      <c r="F241" s="218" t="n"/>
      <c r="G241" s="218" t="n"/>
      <c r="H241" s="218" t="n"/>
      <c r="I241" s="218" t="n"/>
      <c r="J241" s="218" t="n"/>
      <c r="K241" s="218" t="n"/>
      <c r="L241" s="218" t="n"/>
      <c r="M241" s="218" t="n"/>
      <c r="N241" s="218" t="n"/>
      <c r="O241" s="218" t="n"/>
      <c r="AS241" s="218" t="n"/>
      <c r="AT241" s="218" t="n"/>
      <c r="AU241" s="218" t="n"/>
      <c r="AV241" s="218" t="n"/>
      <c r="AW241" s="218" t="n"/>
      <c r="AX241" s="218" t="n"/>
      <c r="AY241" s="218" t="n"/>
      <c r="AZ241" s="218" t="n"/>
      <c r="BA241" s="218" t="n"/>
      <c r="BB241" s="218" t="n"/>
      <c r="BC241" s="218" t="n"/>
      <c r="BD241" s="218" t="n"/>
      <c r="BE241" s="218" t="n"/>
      <c r="BF241" s="218" t="n"/>
      <c r="BG241" s="218" t="n"/>
      <c r="BH241" s="218" t="n"/>
      <c r="BI241" s="218" t="n"/>
      <c r="BJ241" s="146" t="n">
        <v>161</v>
      </c>
      <c r="BK241" s="146" t="inlineStr">
        <is>
          <t>TRABAJOS DE ALBA?ILERIA</t>
        </is>
      </c>
      <c r="BL241" s="146" t="n"/>
      <c r="BM241" s="146" t="n"/>
      <c r="BN241" s="146" t="n"/>
      <c r="BO241" s="146" t="n"/>
      <c r="BP241" s="146" t="n"/>
      <c r="BQ241" s="146" t="n"/>
      <c r="BR241" s="146" t="n"/>
      <c r="BS241" s="146" t="n"/>
      <c r="BT241" s="146" t="n"/>
      <c r="BU241" s="218" t="n"/>
      <c r="BV241" s="218" t="n"/>
      <c r="BW241" s="218" t="n"/>
      <c r="BX241" s="218" t="n"/>
      <c r="BY241" s="218" t="n"/>
      <c r="BZ241" s="218" t="n"/>
      <c r="CA241" s="218" t="n"/>
      <c r="CB241" s="218" t="n"/>
      <c r="CC241" s="218" t="n"/>
      <c r="CD241" s="218" t="n"/>
      <c r="CE241" s="218" t="n"/>
      <c r="CF241" s="218" t="n"/>
      <c r="CG241" s="218" t="n"/>
      <c r="CH241" s="218" t="n"/>
      <c r="CI241" s="218" t="n"/>
      <c r="CJ241" s="218" t="n"/>
      <c r="CK241" s="218" t="n"/>
      <c r="CL241" s="218" t="n"/>
      <c r="CM241" s="218" t="n"/>
      <c r="CN241" s="218" t="n"/>
      <c r="CO241" s="218" t="n"/>
      <c r="CP241" s="218" t="n"/>
      <c r="CQ241" s="218" t="n"/>
      <c r="CR241" s="218" t="n"/>
      <c r="CS241" s="218" t="n"/>
      <c r="CT241" s="218" t="n"/>
      <c r="CU241" s="218" t="n"/>
      <c r="CV241" s="218" t="n"/>
      <c r="CW241" s="218" t="n"/>
      <c r="CX241" s="218" t="n"/>
      <c r="CY241" s="218" t="n"/>
      <c r="CZ241" s="218" t="n"/>
      <c r="DA241" s="218" t="n"/>
      <c r="DB241" s="218" t="n"/>
      <c r="DC241" s="218" t="n"/>
    </row>
    <row r="242">
      <c r="A242" s="218" t="n"/>
      <c r="B242" s="218" t="n"/>
      <c r="C242" s="218" t="n"/>
      <c r="D242" s="218" t="n"/>
      <c r="E242" s="218" t="n"/>
      <c r="F242" s="218" t="n"/>
      <c r="G242" s="218" t="n"/>
      <c r="H242" s="218" t="n"/>
      <c r="I242" s="218" t="n"/>
      <c r="J242" s="218" t="n"/>
      <c r="K242" s="218" t="n"/>
      <c r="L242" s="218" t="n"/>
      <c r="M242" s="218" t="n"/>
      <c r="N242" s="218" t="n"/>
      <c r="O242" s="218" t="n"/>
      <c r="AS242" s="218" t="n"/>
      <c r="AT242" s="218" t="n"/>
      <c r="AU242" s="218" t="n"/>
      <c r="AV242" s="218" t="n"/>
      <c r="AW242" s="218" t="n"/>
      <c r="AX242" s="218" t="n"/>
      <c r="AY242" s="218" t="n"/>
      <c r="AZ242" s="218" t="n"/>
      <c r="BA242" s="218" t="n"/>
      <c r="BB242" s="218" t="n"/>
      <c r="BC242" s="218" t="n"/>
      <c r="BD242" s="218" t="n"/>
      <c r="BE242" s="218" t="n"/>
      <c r="BF242" s="218" t="n"/>
      <c r="BG242" s="218" t="n"/>
      <c r="BH242" s="218" t="n"/>
      <c r="BI242" s="218" t="n"/>
      <c r="BJ242" s="146" t="n">
        <v>162</v>
      </c>
      <c r="BK242" s="146" t="inlineStr">
        <is>
          <t>OTROS TRABAJOS EN EXTERIORES NO CLASIFICADOS EN OTRA PARTE</t>
        </is>
      </c>
      <c r="BL242" s="146" t="n"/>
      <c r="BM242" s="146" t="n"/>
      <c r="BN242" s="146" t="n"/>
      <c r="BO242" s="146" t="n"/>
      <c r="BP242" s="146" t="n"/>
      <c r="BQ242" s="146" t="n"/>
      <c r="BR242" s="146" t="n"/>
      <c r="BS242" s="146" t="n"/>
      <c r="BT242" s="146" t="n"/>
      <c r="BU242" s="218" t="n"/>
      <c r="BV242" s="218" t="n"/>
      <c r="BW242" s="218" t="n"/>
      <c r="BX242" s="218" t="n"/>
      <c r="BY242" s="218" t="n"/>
      <c r="BZ242" s="218" t="n"/>
      <c r="CA242" s="218" t="n"/>
      <c r="CB242" s="218" t="n"/>
      <c r="CC242" s="218" t="n"/>
      <c r="CD242" s="218" t="n"/>
      <c r="CE242" s="218" t="n"/>
      <c r="CF242" s="218" t="n"/>
      <c r="CG242" s="218" t="n"/>
      <c r="CH242" s="218" t="n"/>
      <c r="CI242" s="218" t="n"/>
      <c r="CJ242" s="218" t="n"/>
      <c r="CK242" s="218" t="n"/>
      <c r="CL242" s="218" t="n"/>
      <c r="CM242" s="218" t="n"/>
      <c r="CN242" s="218" t="n"/>
      <c r="CO242" s="218" t="n"/>
      <c r="CP242" s="218" t="n"/>
      <c r="CQ242" s="218" t="n"/>
      <c r="CR242" s="218" t="n"/>
      <c r="CS242" s="218" t="n"/>
      <c r="CT242" s="218" t="n"/>
      <c r="CU242" s="218" t="n"/>
      <c r="CV242" s="218" t="n"/>
      <c r="CW242" s="218" t="n"/>
      <c r="CX242" s="218" t="n"/>
      <c r="CY242" s="218" t="n"/>
      <c r="CZ242" s="218" t="n"/>
      <c r="DA242" s="218" t="n"/>
      <c r="DB242" s="218" t="n"/>
      <c r="DC242" s="218" t="n"/>
    </row>
    <row r="243">
      <c r="A243" s="218" t="n"/>
      <c r="B243" s="218" t="n"/>
      <c r="C243" s="218" t="n"/>
      <c r="D243" s="218" t="n"/>
      <c r="E243" s="218" t="n"/>
      <c r="F243" s="218" t="n"/>
      <c r="G243" s="218" t="n"/>
      <c r="H243" s="218" t="n"/>
      <c r="I243" s="218" t="n"/>
      <c r="J243" s="218" t="n"/>
      <c r="K243" s="218" t="n"/>
      <c r="L243" s="218" t="n"/>
      <c r="M243" s="218" t="n"/>
      <c r="N243" s="218" t="n"/>
      <c r="O243" s="218" t="n"/>
      <c r="AS243" s="218" t="n"/>
      <c r="AT243" s="218" t="n"/>
      <c r="AU243" s="218" t="n"/>
      <c r="AV243" s="218" t="n"/>
      <c r="AW243" s="218" t="n"/>
      <c r="AX243" s="218" t="n"/>
      <c r="AY243" s="218" t="n"/>
      <c r="AZ243" s="218" t="n"/>
      <c r="BA243" s="218" t="n"/>
      <c r="BB243" s="218" t="n"/>
      <c r="BC243" s="218" t="n"/>
      <c r="BD243" s="218" t="n"/>
      <c r="BE243" s="218" t="n"/>
      <c r="BF243" s="218" t="n"/>
      <c r="BG243" s="218" t="n"/>
      <c r="BH243" s="218" t="n"/>
      <c r="BI243" s="218" t="n"/>
      <c r="BJ243" s="146" t="n">
        <v>163</v>
      </c>
      <c r="BK243" s="146" t="inlineStr">
        <is>
          <t>INSTALACIONES ELECTRICAS EN CONSTRUCCIONES</t>
        </is>
      </c>
      <c r="BL243" s="146" t="n"/>
      <c r="BM243" s="146" t="n"/>
      <c r="BN243" s="146" t="n"/>
      <c r="BO243" s="146" t="n"/>
      <c r="BP243" s="146" t="n"/>
      <c r="BQ243" s="146" t="n"/>
      <c r="BR243" s="146" t="n"/>
      <c r="BS243" s="146" t="n"/>
      <c r="BT243" s="146" t="n"/>
      <c r="BU243" s="218" t="n"/>
      <c r="BV243" s="218" t="n"/>
      <c r="BW243" s="218" t="n"/>
      <c r="BX243" s="218" t="n"/>
      <c r="BY243" s="218" t="n"/>
      <c r="BZ243" s="218" t="n"/>
      <c r="CA243" s="218" t="n"/>
      <c r="CB243" s="218" t="n"/>
      <c r="CC243" s="218" t="n"/>
      <c r="CD243" s="218" t="n"/>
      <c r="CE243" s="218" t="n"/>
      <c r="CF243" s="218" t="n"/>
      <c r="CG243" s="218" t="n"/>
      <c r="CH243" s="218" t="n"/>
      <c r="CI243" s="218" t="n"/>
      <c r="CJ243" s="218" t="n"/>
      <c r="CK243" s="218" t="n"/>
      <c r="CL243" s="218" t="n"/>
      <c r="CM243" s="218" t="n"/>
      <c r="CN243" s="218" t="n"/>
      <c r="CO243" s="218" t="n"/>
      <c r="CP243" s="218" t="n"/>
      <c r="CQ243" s="218" t="n"/>
      <c r="CR243" s="218" t="n"/>
      <c r="CS243" s="218" t="n"/>
      <c r="CT243" s="218" t="n"/>
      <c r="CU243" s="218" t="n"/>
      <c r="CV243" s="218" t="n"/>
      <c r="CW243" s="218" t="n"/>
      <c r="CX243" s="218" t="n"/>
      <c r="CY243" s="218" t="n"/>
      <c r="CZ243" s="218" t="n"/>
      <c r="DA243" s="218" t="n"/>
      <c r="DB243" s="218" t="n"/>
      <c r="DC243" s="218" t="n"/>
    </row>
    <row r="244">
      <c r="A244" s="218" t="n"/>
      <c r="B244" s="218" t="n"/>
      <c r="C244" s="218" t="n"/>
      <c r="D244" s="218" t="n"/>
      <c r="E244" s="218" t="n"/>
      <c r="F244" s="218" t="n"/>
      <c r="G244" s="218" t="n"/>
      <c r="H244" s="218" t="n"/>
      <c r="I244" s="218" t="n"/>
      <c r="J244" s="218" t="n"/>
      <c r="K244" s="218" t="n"/>
      <c r="L244" s="218" t="n"/>
      <c r="M244" s="218" t="n"/>
      <c r="N244" s="218" t="n"/>
      <c r="O244" s="218" t="n"/>
      <c r="AS244" s="218" t="n"/>
      <c r="AT244" s="218" t="n"/>
      <c r="AU244" s="218" t="n"/>
      <c r="AV244" s="218" t="n"/>
      <c r="AW244" s="218" t="n"/>
      <c r="AX244" s="218" t="n"/>
      <c r="AY244" s="218" t="n"/>
      <c r="AZ244" s="218" t="n"/>
      <c r="BA244" s="218" t="n"/>
      <c r="BB244" s="218" t="n"/>
      <c r="BC244" s="218" t="n"/>
      <c r="BD244" s="218" t="n"/>
      <c r="BE244" s="218" t="n"/>
      <c r="BF244" s="218" t="n"/>
      <c r="BG244" s="218" t="n"/>
      <c r="BH244" s="218" t="n"/>
      <c r="BI244" s="218" t="n"/>
      <c r="BJ244" s="146" t="n">
        <v>164</v>
      </c>
      <c r="BK244" s="146" t="inlineStr">
        <is>
          <t>INSTALACIONES HIDROSANITARIAS Y DE GAS EN CONSTRUCCIONES</t>
        </is>
      </c>
      <c r="BL244" s="146" t="n"/>
      <c r="BM244" s="146" t="n"/>
      <c r="BN244" s="146" t="n"/>
      <c r="BO244" s="146" t="n"/>
      <c r="BP244" s="146" t="n"/>
      <c r="BQ244" s="146" t="n"/>
      <c r="BR244" s="146" t="n"/>
      <c r="BS244" s="146" t="n"/>
      <c r="BT244" s="146" t="n"/>
      <c r="BU244" s="218" t="n"/>
      <c r="BV244" s="218" t="n"/>
      <c r="BW244" s="218" t="n"/>
      <c r="BX244" s="218" t="n"/>
      <c r="BY244" s="218" t="n"/>
      <c r="BZ244" s="218" t="n"/>
      <c r="CA244" s="218" t="n"/>
      <c r="CB244" s="218" t="n"/>
      <c r="CC244" s="218" t="n"/>
      <c r="CD244" s="218" t="n"/>
      <c r="CE244" s="218" t="n"/>
      <c r="CF244" s="218" t="n"/>
      <c r="CG244" s="218" t="n"/>
      <c r="CH244" s="218" t="n"/>
      <c r="CI244" s="218" t="n"/>
      <c r="CJ244" s="218" t="n"/>
      <c r="CK244" s="218" t="n"/>
      <c r="CL244" s="218" t="n"/>
      <c r="CM244" s="218" t="n"/>
      <c r="CN244" s="218" t="n"/>
      <c r="CO244" s="218" t="n"/>
      <c r="CP244" s="218" t="n"/>
      <c r="CQ244" s="218" t="n"/>
      <c r="CR244" s="218" t="n"/>
      <c r="CS244" s="218" t="n"/>
      <c r="CT244" s="218" t="n"/>
      <c r="CU244" s="218" t="n"/>
      <c r="CV244" s="218" t="n"/>
      <c r="CW244" s="218" t="n"/>
      <c r="CX244" s="218" t="n"/>
      <c r="CY244" s="218" t="n"/>
      <c r="CZ244" s="218" t="n"/>
      <c r="DA244" s="218" t="n"/>
      <c r="DB244" s="218" t="n"/>
      <c r="DC244" s="218" t="n"/>
    </row>
    <row r="245">
      <c r="A245" s="218" t="n"/>
      <c r="B245" s="218" t="n"/>
      <c r="C245" s="218" t="n"/>
      <c r="D245" s="218" t="n"/>
      <c r="E245" s="218" t="n"/>
      <c r="F245" s="218" t="n"/>
      <c r="G245" s="218" t="n"/>
      <c r="H245" s="218" t="n"/>
      <c r="I245" s="218" t="n"/>
      <c r="J245" s="218" t="n"/>
      <c r="K245" s="218" t="n"/>
      <c r="L245" s="218" t="n"/>
      <c r="M245" s="218" t="n"/>
      <c r="N245" s="218" t="n"/>
      <c r="O245" s="218" t="n"/>
      <c r="AS245" s="218" t="n"/>
      <c r="AT245" s="218" t="n"/>
      <c r="AU245" s="218" t="n"/>
      <c r="AV245" s="218" t="n"/>
      <c r="AW245" s="218" t="n"/>
      <c r="AX245" s="218" t="n"/>
      <c r="AY245" s="218" t="n"/>
      <c r="AZ245" s="218" t="n"/>
      <c r="BA245" s="218" t="n"/>
      <c r="BB245" s="218" t="n"/>
      <c r="BC245" s="218" t="n"/>
      <c r="BD245" s="218" t="n"/>
      <c r="BE245" s="218" t="n"/>
      <c r="BF245" s="218" t="n"/>
      <c r="BG245" s="218" t="n"/>
      <c r="BH245" s="218" t="n"/>
      <c r="BI245" s="218" t="n"/>
      <c r="BJ245" s="146" t="n">
        <v>165</v>
      </c>
      <c r="BK245" s="146" t="inlineStr">
        <is>
          <t>INSTALACIONES DE SISTEMAS CENTRALES DE AIRE ACONDICIONADO Y CALEFACCION</t>
        </is>
      </c>
      <c r="BL245" s="146" t="n"/>
      <c r="BM245" s="146" t="n"/>
      <c r="BN245" s="146" t="n"/>
      <c r="BO245" s="146" t="n"/>
      <c r="BP245" s="146" t="n"/>
      <c r="BQ245" s="146" t="n"/>
      <c r="BR245" s="146" t="n"/>
      <c r="BS245" s="146" t="n"/>
      <c r="BT245" s="146" t="n"/>
      <c r="BU245" s="218" t="n"/>
      <c r="BV245" s="218" t="n"/>
      <c r="BW245" s="218" t="n"/>
      <c r="BX245" s="218" t="n"/>
      <c r="BY245" s="218" t="n"/>
      <c r="BZ245" s="218" t="n"/>
      <c r="CA245" s="218" t="n"/>
      <c r="CB245" s="218" t="n"/>
      <c r="CC245" s="218" t="n"/>
      <c r="CD245" s="218" t="n"/>
      <c r="CE245" s="218" t="n"/>
      <c r="CF245" s="218" t="n"/>
      <c r="CG245" s="218" t="n"/>
      <c r="CH245" s="218" t="n"/>
      <c r="CI245" s="218" t="n"/>
      <c r="CJ245" s="218" t="n"/>
      <c r="CK245" s="218" t="n"/>
      <c r="CL245" s="218" t="n"/>
      <c r="CM245" s="218" t="n"/>
      <c r="CN245" s="218" t="n"/>
      <c r="CO245" s="218" t="n"/>
      <c r="CP245" s="218" t="n"/>
      <c r="CQ245" s="218" t="n"/>
      <c r="CR245" s="218" t="n"/>
      <c r="CS245" s="218" t="n"/>
      <c r="CT245" s="218" t="n"/>
      <c r="CU245" s="218" t="n"/>
      <c r="CV245" s="218" t="n"/>
      <c r="CW245" s="218" t="n"/>
      <c r="CX245" s="218" t="n"/>
      <c r="CY245" s="218" t="n"/>
      <c r="CZ245" s="218" t="n"/>
      <c r="DA245" s="218" t="n"/>
      <c r="DB245" s="218" t="n"/>
      <c r="DC245" s="218" t="n"/>
    </row>
    <row r="246">
      <c r="A246" s="218" t="n"/>
      <c r="B246" s="218" t="n"/>
      <c r="C246" s="218" t="n"/>
      <c r="D246" s="218" t="n"/>
      <c r="E246" s="218" t="n"/>
      <c r="F246" s="218" t="n"/>
      <c r="G246" s="218" t="n"/>
      <c r="H246" s="218" t="n"/>
      <c r="I246" s="218" t="n"/>
      <c r="J246" s="218" t="n"/>
      <c r="K246" s="218" t="n"/>
      <c r="L246" s="218" t="n"/>
      <c r="M246" s="218" t="n"/>
      <c r="N246" s="218" t="n"/>
      <c r="O246" s="218" t="n"/>
      <c r="AS246" s="218" t="n"/>
      <c r="AT246" s="218" t="n"/>
      <c r="AU246" s="218" t="n"/>
      <c r="AV246" s="218" t="n"/>
      <c r="AW246" s="218" t="n"/>
      <c r="AX246" s="218" t="n"/>
      <c r="AY246" s="218" t="n"/>
      <c r="AZ246" s="218" t="n"/>
      <c r="BA246" s="218" t="n"/>
      <c r="BB246" s="218" t="n"/>
      <c r="BC246" s="218" t="n"/>
      <c r="BD246" s="218" t="n"/>
      <c r="BE246" s="218" t="n"/>
      <c r="BF246" s="218" t="n"/>
      <c r="BG246" s="218" t="n"/>
      <c r="BH246" s="218" t="n"/>
      <c r="BI246" s="218" t="n"/>
      <c r="BJ246" s="146" t="n">
        <v>166</v>
      </c>
      <c r="BK246" s="146" t="inlineStr">
        <is>
          <t>OTRAS INSTALACIONES Y EQUIPAMIENTO EN CONSTRUCCIONES</t>
        </is>
      </c>
      <c r="BL246" s="146" t="n"/>
      <c r="BM246" s="146" t="n"/>
      <c r="BN246" s="146" t="n"/>
      <c r="BO246" s="146" t="n"/>
      <c r="BP246" s="146" t="n"/>
      <c r="BQ246" s="146" t="n"/>
      <c r="BR246" s="146" t="n"/>
      <c r="BS246" s="146" t="n"/>
      <c r="BT246" s="146" t="n"/>
      <c r="BU246" s="218" t="n"/>
      <c r="BV246" s="218" t="n"/>
      <c r="BW246" s="218" t="n"/>
      <c r="BX246" s="218" t="n"/>
      <c r="BY246" s="218" t="n"/>
      <c r="BZ246" s="218" t="n"/>
      <c r="CA246" s="218" t="n"/>
      <c r="CB246" s="218" t="n"/>
      <c r="CC246" s="218" t="n"/>
      <c r="CD246" s="218" t="n"/>
      <c r="CE246" s="218" t="n"/>
      <c r="CF246" s="218" t="n"/>
      <c r="CG246" s="218" t="n"/>
      <c r="CH246" s="218" t="n"/>
      <c r="CI246" s="218" t="n"/>
      <c r="CJ246" s="218" t="n"/>
      <c r="CK246" s="218" t="n"/>
      <c r="CL246" s="218" t="n"/>
      <c r="CM246" s="218" t="n"/>
      <c r="CN246" s="218" t="n"/>
      <c r="CO246" s="218" t="n"/>
      <c r="CP246" s="218" t="n"/>
      <c r="CQ246" s="218" t="n"/>
      <c r="CR246" s="218" t="n"/>
      <c r="CS246" s="218" t="n"/>
      <c r="CT246" s="218" t="n"/>
      <c r="CU246" s="218" t="n"/>
      <c r="CV246" s="218" t="n"/>
      <c r="CW246" s="218" t="n"/>
      <c r="CX246" s="218" t="n"/>
      <c r="CY246" s="218" t="n"/>
      <c r="CZ246" s="218" t="n"/>
      <c r="DA246" s="218" t="n"/>
      <c r="DB246" s="218" t="n"/>
      <c r="DC246" s="218" t="n"/>
    </row>
    <row r="247">
      <c r="A247" s="218" t="n"/>
      <c r="B247" s="218" t="n"/>
      <c r="C247" s="218" t="n"/>
      <c r="D247" s="218" t="n"/>
      <c r="E247" s="218" t="n"/>
      <c r="F247" s="218" t="n"/>
      <c r="G247" s="218" t="n"/>
      <c r="H247" s="218" t="n"/>
      <c r="I247" s="218" t="n"/>
      <c r="J247" s="218" t="n"/>
      <c r="K247" s="218" t="n"/>
      <c r="L247" s="218" t="n"/>
      <c r="M247" s="218" t="n"/>
      <c r="N247" s="218" t="n"/>
      <c r="O247" s="218" t="n"/>
      <c r="AS247" s="218" t="n"/>
      <c r="AT247" s="218" t="n"/>
      <c r="AU247" s="218" t="n"/>
      <c r="AV247" s="218" t="n"/>
      <c r="AW247" s="218" t="n"/>
      <c r="AX247" s="218" t="n"/>
      <c r="AY247" s="218" t="n"/>
      <c r="AZ247" s="218" t="n"/>
      <c r="BA247" s="218" t="n"/>
      <c r="BB247" s="218" t="n"/>
      <c r="BC247" s="218" t="n"/>
      <c r="BD247" s="218" t="n"/>
      <c r="BE247" s="218" t="n"/>
      <c r="BF247" s="218" t="n"/>
      <c r="BG247" s="218" t="n"/>
      <c r="BH247" s="218" t="n"/>
      <c r="BI247" s="218" t="n"/>
      <c r="BJ247" s="146" t="n">
        <v>167</v>
      </c>
      <c r="BK247" s="146" t="inlineStr">
        <is>
          <t>EXPLOTACION DE CONCESIONES, PERMISOS, AUTORIZACIONES O CONTRATOS</t>
        </is>
      </c>
      <c r="BL247" s="146" t="n"/>
      <c r="BM247" s="146" t="n"/>
      <c r="BN247" s="146" t="n"/>
      <c r="BO247" s="146" t="n"/>
      <c r="BP247" s="146" t="n"/>
      <c r="BQ247" s="146" t="n"/>
      <c r="BR247" s="146" t="n"/>
      <c r="BS247" s="146" t="n"/>
      <c r="BT247" s="146" t="n"/>
      <c r="BU247" s="218" t="n"/>
      <c r="BV247" s="218" t="n"/>
      <c r="BW247" s="218" t="n"/>
      <c r="BX247" s="218" t="n"/>
      <c r="BY247" s="218" t="n"/>
      <c r="BZ247" s="218" t="n"/>
      <c r="CA247" s="218" t="n"/>
      <c r="CB247" s="218" t="n"/>
      <c r="CC247" s="218" t="n"/>
      <c r="CD247" s="218" t="n"/>
      <c r="CE247" s="218" t="n"/>
      <c r="CF247" s="218" t="n"/>
      <c r="CG247" s="218" t="n"/>
      <c r="CH247" s="218" t="n"/>
      <c r="CI247" s="218" t="n"/>
      <c r="CJ247" s="218" t="n"/>
      <c r="CK247" s="218" t="n"/>
      <c r="CL247" s="218" t="n"/>
      <c r="CM247" s="218" t="n"/>
      <c r="CN247" s="218" t="n"/>
      <c r="CO247" s="218" t="n"/>
      <c r="CP247" s="218" t="n"/>
      <c r="CQ247" s="218" t="n"/>
      <c r="CR247" s="218" t="n"/>
      <c r="CS247" s="218" t="n"/>
      <c r="CT247" s="218" t="n"/>
      <c r="CU247" s="218" t="n"/>
      <c r="CV247" s="218" t="n"/>
      <c r="CW247" s="218" t="n"/>
      <c r="CX247" s="218" t="n"/>
      <c r="CY247" s="218" t="n"/>
      <c r="CZ247" s="218" t="n"/>
      <c r="DA247" s="218" t="n"/>
      <c r="DB247" s="218" t="n"/>
      <c r="DC247" s="218" t="n"/>
    </row>
    <row r="248">
      <c r="A248" s="218" t="n"/>
      <c r="B248" s="218" t="n"/>
      <c r="C248" s="218" t="n"/>
      <c r="D248" s="218" t="n"/>
      <c r="E248" s="218" t="n"/>
      <c r="F248" s="218" t="n"/>
      <c r="G248" s="218" t="n"/>
      <c r="H248" s="218" t="n"/>
      <c r="I248" s="218" t="n"/>
      <c r="J248" s="218" t="n"/>
      <c r="K248" s="218" t="n"/>
      <c r="L248" s="218" t="n"/>
      <c r="M248" s="218" t="n"/>
      <c r="N248" s="218" t="n"/>
      <c r="O248" s="218" t="n"/>
      <c r="AS248" s="218" t="n"/>
      <c r="AT248" s="218" t="n"/>
      <c r="AU248" s="218" t="n"/>
      <c r="AV248" s="218" t="n"/>
      <c r="AW248" s="218" t="n"/>
      <c r="AX248" s="218" t="n"/>
      <c r="AY248" s="218" t="n"/>
      <c r="AZ248" s="218" t="n"/>
      <c r="BA248" s="218" t="n"/>
      <c r="BB248" s="218" t="n"/>
      <c r="BC248" s="218" t="n"/>
      <c r="BD248" s="218" t="n"/>
      <c r="BE248" s="218" t="n"/>
      <c r="BF248" s="218" t="n"/>
      <c r="BG248" s="218" t="n"/>
      <c r="BH248" s="218" t="n"/>
      <c r="BI248" s="218" t="n"/>
      <c r="BJ248" s="146" t="n">
        <v>168</v>
      </c>
      <c r="BK248" s="146" t="inlineStr">
        <is>
          <t>EXPLOTACION DEL SUBSUELO SUJETOS A REGIMENES FISCALES PREFERENTES</t>
        </is>
      </c>
      <c r="BL248" s="146" t="n"/>
      <c r="BM248" s="146" t="n"/>
      <c r="BN248" s="146" t="n"/>
      <c r="BO248" s="146" t="n"/>
      <c r="BP248" s="146" t="n"/>
      <c r="BQ248" s="146" t="n"/>
      <c r="BR248" s="146" t="n"/>
      <c r="BS248" s="146" t="n"/>
      <c r="BT248" s="146" t="n"/>
      <c r="BU248" s="218" t="n"/>
      <c r="BV248" s="218" t="n"/>
      <c r="BW248" s="218" t="n"/>
      <c r="BX248" s="218" t="n"/>
      <c r="BY248" s="218" t="n"/>
      <c r="BZ248" s="218" t="n"/>
      <c r="CA248" s="218" t="n"/>
      <c r="CB248" s="218" t="n"/>
      <c r="CC248" s="218" t="n"/>
      <c r="CD248" s="218" t="n"/>
      <c r="CE248" s="218" t="n"/>
      <c r="CF248" s="218" t="n"/>
      <c r="CG248" s="218" t="n"/>
      <c r="CH248" s="218" t="n"/>
      <c r="CI248" s="218" t="n"/>
      <c r="CJ248" s="218" t="n"/>
      <c r="CK248" s="218" t="n"/>
      <c r="CL248" s="218" t="n"/>
      <c r="CM248" s="218" t="n"/>
      <c r="CN248" s="218" t="n"/>
      <c r="CO248" s="218" t="n"/>
      <c r="CP248" s="218" t="n"/>
      <c r="CQ248" s="218" t="n"/>
      <c r="CR248" s="218" t="n"/>
      <c r="CS248" s="218" t="n"/>
      <c r="CT248" s="218" t="n"/>
      <c r="CU248" s="218" t="n"/>
      <c r="CV248" s="218" t="n"/>
      <c r="CW248" s="218" t="n"/>
      <c r="CX248" s="218" t="n"/>
      <c r="CY248" s="218" t="n"/>
      <c r="CZ248" s="218" t="n"/>
      <c r="DA248" s="218" t="n"/>
      <c r="DB248" s="218" t="n"/>
      <c r="DC248" s="218" t="n"/>
    </row>
    <row r="249">
      <c r="A249" s="218" t="n"/>
      <c r="B249" s="218" t="n"/>
      <c r="C249" s="218" t="n"/>
      <c r="D249" s="218" t="n"/>
      <c r="E249" s="218" t="n"/>
      <c r="F249" s="218" t="n"/>
      <c r="G249" s="218" t="n"/>
      <c r="H249" s="218" t="n"/>
      <c r="I249" s="218" t="n"/>
      <c r="J249" s="218" t="n"/>
      <c r="K249" s="218" t="n"/>
      <c r="L249" s="218" t="n"/>
      <c r="M249" s="218" t="n"/>
      <c r="N249" s="218" t="n"/>
      <c r="O249" s="218" t="n"/>
      <c r="P249" s="218" t="n"/>
      <c r="Q249" s="218" t="n"/>
      <c r="R249" s="218" t="n"/>
      <c r="S249" s="218" t="n"/>
      <c r="T249" s="218" t="n"/>
      <c r="U249" s="218" t="n"/>
      <c r="V249" s="218" t="n"/>
      <c r="W249" s="218" t="n"/>
      <c r="X249" s="218" t="n"/>
      <c r="Y249" s="218" t="n"/>
      <c r="Z249" s="218" t="n"/>
      <c r="AA249" s="218" t="n"/>
      <c r="AB249" s="218" t="n"/>
      <c r="AC249" s="218" t="n"/>
      <c r="AD249" s="218" t="n"/>
      <c r="AE249" s="218" t="n"/>
      <c r="AF249" s="218" t="n"/>
      <c r="AG249" s="218" t="n"/>
      <c r="AH249" s="218" t="n"/>
      <c r="AI249" s="218" t="n"/>
      <c r="AJ249" s="218" t="n"/>
      <c r="AK249" s="218" t="n"/>
      <c r="AL249" s="218" t="n"/>
      <c r="AM249" s="218" t="n"/>
      <c r="AN249" s="218" t="n"/>
      <c r="AO249" s="218" t="n"/>
      <c r="AP249" s="218" t="n"/>
      <c r="AQ249" s="218" t="n"/>
      <c r="AR249" s="218" t="n"/>
      <c r="AS249" s="218" t="n"/>
      <c r="AT249" s="218" t="n"/>
      <c r="AU249" s="218" t="n"/>
      <c r="AV249" s="218" t="n"/>
      <c r="AW249" s="218" t="n"/>
      <c r="AX249" s="218" t="n"/>
      <c r="AY249" s="218" t="n"/>
      <c r="AZ249" s="218" t="n"/>
      <c r="BA249" s="218" t="n"/>
      <c r="BB249" s="218" t="n"/>
      <c r="BC249" s="218" t="n"/>
      <c r="BD249" s="218" t="n"/>
      <c r="BE249" s="218" t="n"/>
      <c r="BF249" s="218" t="n"/>
      <c r="BG249" s="218" t="n"/>
      <c r="BH249" s="218" t="n"/>
      <c r="BI249" s="218" t="n"/>
      <c r="BJ249" s="146" t="n">
        <v>169</v>
      </c>
      <c r="BK249" s="146" t="inlineStr">
        <is>
          <t>EXPLOTACION DEL SUBSUELO</t>
        </is>
      </c>
      <c r="BL249" s="146" t="n"/>
      <c r="BM249" s="146" t="n"/>
      <c r="BN249" s="146" t="n"/>
      <c r="BO249" s="146" t="n"/>
      <c r="BP249" s="146" t="n"/>
      <c r="BQ249" s="146" t="n"/>
      <c r="BR249" s="146" t="n"/>
      <c r="BS249" s="146" t="n"/>
      <c r="BT249" s="146" t="n"/>
      <c r="BU249" s="218" t="n"/>
      <c r="BV249" s="218" t="n"/>
      <c r="BW249" s="218" t="n"/>
      <c r="BX249" s="218" t="n"/>
      <c r="BY249" s="218" t="n"/>
      <c r="BZ249" s="218" t="n"/>
      <c r="CA249" s="218" t="n"/>
      <c r="CB249" s="218" t="n"/>
      <c r="CC249" s="218" t="n"/>
      <c r="CD249" s="218" t="n"/>
      <c r="CE249" s="218" t="n"/>
      <c r="CF249" s="218" t="n"/>
      <c r="CG249" s="218" t="n"/>
      <c r="CH249" s="218" t="n"/>
      <c r="CI249" s="218" t="n"/>
      <c r="CJ249" s="218" t="n"/>
      <c r="CK249" s="218" t="n"/>
      <c r="CL249" s="218" t="n"/>
      <c r="CM249" s="218" t="n"/>
      <c r="CN249" s="218" t="n"/>
      <c r="CO249" s="218" t="n"/>
      <c r="CP249" s="218" t="n"/>
      <c r="CQ249" s="218" t="n"/>
      <c r="CR249" s="218" t="n"/>
      <c r="CS249" s="218" t="n"/>
      <c r="CT249" s="218" t="n"/>
      <c r="CU249" s="218" t="n"/>
      <c r="CV249" s="218" t="n"/>
      <c r="CW249" s="218" t="n"/>
      <c r="CX249" s="218" t="n"/>
      <c r="CY249" s="218" t="n"/>
      <c r="CZ249" s="218" t="n"/>
      <c r="DA249" s="218" t="n"/>
      <c r="DB249" s="218" t="n"/>
      <c r="DC249" s="218" t="n"/>
    </row>
    <row r="250">
      <c r="A250" s="218" t="n"/>
      <c r="B250" s="218" t="n"/>
      <c r="C250" s="218" t="n"/>
      <c r="D250" s="218" t="n"/>
      <c r="E250" s="218" t="n"/>
      <c r="F250" s="218" t="n"/>
      <c r="G250" s="218" t="n"/>
      <c r="H250" s="218" t="n"/>
      <c r="I250" s="218" t="n"/>
      <c r="J250" s="218" t="n"/>
      <c r="K250" s="218" t="n"/>
      <c r="L250" s="218" t="n"/>
      <c r="M250" s="218" t="n"/>
      <c r="N250" s="218" t="n"/>
      <c r="O250" s="218" t="n"/>
      <c r="P250" s="218" t="n"/>
      <c r="Q250" s="218" t="n"/>
      <c r="R250" s="218" t="n"/>
      <c r="S250" s="218" t="n"/>
      <c r="T250" s="218" t="n"/>
      <c r="U250" s="218" t="n"/>
      <c r="V250" s="218" t="n"/>
      <c r="W250" s="218" t="n"/>
      <c r="X250" s="218" t="n"/>
      <c r="Y250" s="218" t="n"/>
      <c r="Z250" s="218" t="n"/>
      <c r="AA250" s="218" t="n"/>
      <c r="AB250" s="218" t="n"/>
      <c r="AC250" s="218" t="n"/>
      <c r="AD250" s="218" t="n"/>
      <c r="AE250" s="218" t="n"/>
      <c r="AF250" s="218" t="n"/>
      <c r="AG250" s="218" t="n"/>
      <c r="AH250" s="218" t="n"/>
      <c r="AI250" s="218" t="n"/>
      <c r="AJ250" s="218" t="n"/>
      <c r="AK250" s="218" t="n"/>
      <c r="AL250" s="218" t="n"/>
      <c r="AM250" s="218" t="n"/>
      <c r="AN250" s="218" t="n"/>
      <c r="AO250" s="218" t="n"/>
      <c r="AP250" s="218" t="n"/>
      <c r="AQ250" s="218" t="n"/>
      <c r="AR250" s="218" t="n"/>
      <c r="AS250" s="218" t="n"/>
      <c r="AT250" s="218" t="n"/>
      <c r="AU250" s="218" t="n"/>
      <c r="AV250" s="218" t="n"/>
      <c r="AW250" s="218" t="n"/>
      <c r="AX250" s="218" t="n"/>
      <c r="AY250" s="218" t="n"/>
      <c r="AZ250" s="218" t="n"/>
      <c r="BA250" s="218" t="n"/>
      <c r="BB250" s="218" t="n"/>
      <c r="BC250" s="218" t="n"/>
      <c r="BD250" s="218" t="n"/>
      <c r="BE250" s="218" t="n"/>
      <c r="BF250" s="218" t="n"/>
      <c r="BG250" s="218" t="n"/>
      <c r="BH250" s="218" t="n"/>
      <c r="BI250" s="218" t="n"/>
      <c r="BJ250" s="146" t="n">
        <v>170</v>
      </c>
      <c r="BK250" s="146" t="inlineStr">
        <is>
          <t>PARTICIPACION EN PRODUCTOS DEL SUBSUELO SUJETOS A REGIMENES FISCALES PREFERENTES</t>
        </is>
      </c>
      <c r="BL250" s="146" t="n"/>
      <c r="BM250" s="146" t="n"/>
      <c r="BN250" s="146" t="n"/>
      <c r="BO250" s="146" t="n"/>
      <c r="BP250" s="146" t="n"/>
      <c r="BQ250" s="146" t="n"/>
      <c r="BR250" s="146" t="n"/>
      <c r="BS250" s="146" t="n"/>
      <c r="BT250" s="146" t="n"/>
      <c r="BU250" s="218" t="n"/>
      <c r="BV250" s="218" t="n"/>
      <c r="BW250" s="218" t="n"/>
      <c r="BX250" s="218" t="n"/>
      <c r="BY250" s="218" t="n"/>
      <c r="BZ250" s="218" t="n"/>
      <c r="CA250" s="218" t="n"/>
      <c r="CB250" s="218" t="n"/>
      <c r="CC250" s="218" t="n"/>
      <c r="CD250" s="218" t="n"/>
      <c r="CE250" s="218" t="n"/>
      <c r="CF250" s="218" t="n"/>
      <c r="CG250" s="218" t="n"/>
      <c r="CH250" s="218" t="n"/>
      <c r="CI250" s="218" t="n"/>
      <c r="CJ250" s="218" t="n"/>
      <c r="CK250" s="218" t="n"/>
      <c r="CL250" s="218" t="n"/>
      <c r="CM250" s="218" t="n"/>
      <c r="CN250" s="218" t="n"/>
      <c r="CO250" s="218" t="n"/>
      <c r="CP250" s="218" t="n"/>
      <c r="CQ250" s="218" t="n"/>
      <c r="CR250" s="218" t="n"/>
      <c r="CS250" s="218" t="n"/>
      <c r="CT250" s="218" t="n"/>
      <c r="CU250" s="218" t="n"/>
      <c r="CV250" s="218" t="n"/>
      <c r="CW250" s="218" t="n"/>
      <c r="CX250" s="218" t="n"/>
      <c r="CY250" s="218" t="n"/>
      <c r="CZ250" s="218" t="n"/>
      <c r="DA250" s="218" t="n"/>
      <c r="DB250" s="218" t="n"/>
      <c r="DC250" s="218" t="n"/>
    </row>
    <row r="251">
      <c r="A251" s="218" t="n"/>
      <c r="B251" s="218" t="n"/>
      <c r="C251" s="218" t="n"/>
      <c r="D251" s="218" t="n"/>
      <c r="E251" s="218" t="n"/>
      <c r="F251" s="218" t="n"/>
      <c r="G251" s="218" t="n"/>
      <c r="H251" s="218" t="n"/>
      <c r="I251" s="218" t="n"/>
      <c r="J251" s="218" t="n"/>
      <c r="K251" s="218" t="n"/>
      <c r="L251" s="218" t="n"/>
      <c r="M251" s="218" t="n"/>
      <c r="N251" s="218" t="n"/>
      <c r="O251" s="218" t="n"/>
      <c r="P251" s="218" t="n"/>
      <c r="Q251" s="218" t="n"/>
      <c r="R251" s="218" t="n"/>
      <c r="S251" s="218" t="n"/>
      <c r="T251" s="218" t="n"/>
      <c r="U251" s="218" t="n"/>
      <c r="V251" s="218" t="n"/>
      <c r="W251" s="218" t="n"/>
      <c r="X251" s="218" t="n"/>
      <c r="Y251" s="218" t="n"/>
      <c r="Z251" s="218" t="n"/>
      <c r="AA251" s="218" t="n"/>
      <c r="AB251" s="218" t="n"/>
      <c r="AC251" s="218" t="n"/>
      <c r="AD251" s="218" t="n"/>
      <c r="AE251" s="218" t="n"/>
      <c r="AF251" s="218" t="n"/>
      <c r="AG251" s="218" t="n"/>
      <c r="AH251" s="218" t="n"/>
      <c r="AI251" s="218" t="n"/>
      <c r="AJ251" s="218" t="n"/>
      <c r="AK251" s="218" t="n"/>
      <c r="AL251" s="218" t="n"/>
      <c r="AM251" s="218" t="n"/>
      <c r="AN251" s="218" t="n"/>
      <c r="AO251" s="218" t="n"/>
      <c r="AP251" s="218" t="n"/>
      <c r="AQ251" s="218" t="n"/>
      <c r="AR251" s="218" t="n"/>
      <c r="AS251" s="218" t="n"/>
      <c r="AT251" s="218" t="n"/>
      <c r="AU251" s="218" t="n"/>
      <c r="AV251" s="218" t="n"/>
      <c r="AW251" s="218" t="n"/>
      <c r="AX251" s="218" t="n"/>
      <c r="AY251" s="218" t="n"/>
      <c r="AZ251" s="218" t="n"/>
      <c r="BA251" s="218" t="n"/>
      <c r="BB251" s="218" t="n"/>
      <c r="BC251" s="218" t="n"/>
      <c r="BD251" s="218" t="n"/>
      <c r="BE251" s="218" t="n"/>
      <c r="BF251" s="218" t="n"/>
      <c r="BG251" s="218" t="n"/>
      <c r="BH251" s="218" t="n"/>
      <c r="BI251" s="218" t="n"/>
      <c r="BJ251" s="146" t="n">
        <v>171</v>
      </c>
      <c r="BK251" s="146" t="inlineStr">
        <is>
          <t>PARTICIPACION EN PRODUCTOS DEL SUBSUELO</t>
        </is>
      </c>
      <c r="BL251" s="146" t="n"/>
      <c r="BM251" s="146" t="n"/>
      <c r="BN251" s="146" t="n"/>
      <c r="BO251" s="146" t="n"/>
      <c r="BP251" s="146" t="n"/>
      <c r="BQ251" s="146" t="n"/>
      <c r="BR251" s="146" t="n"/>
      <c r="BS251" s="146" t="n"/>
      <c r="BT251" s="146" t="n"/>
      <c r="BU251" s="218" t="n"/>
      <c r="BV251" s="218" t="n"/>
      <c r="BW251" s="218" t="n"/>
      <c r="BX251" s="218" t="n"/>
      <c r="BY251" s="218" t="n"/>
      <c r="BZ251" s="218" t="n"/>
      <c r="CA251" s="218" t="n"/>
      <c r="CB251" s="218" t="n"/>
      <c r="CC251" s="218" t="n"/>
      <c r="CD251" s="218" t="n"/>
      <c r="CE251" s="218" t="n"/>
      <c r="CF251" s="218" t="n"/>
      <c r="CG251" s="218" t="n"/>
      <c r="CH251" s="218" t="n"/>
      <c r="CI251" s="218" t="n"/>
      <c r="CJ251" s="218" t="n"/>
      <c r="CK251" s="218" t="n"/>
      <c r="CL251" s="218" t="n"/>
      <c r="CM251" s="218" t="n"/>
      <c r="CN251" s="218" t="n"/>
      <c r="CO251" s="218" t="n"/>
      <c r="CP251" s="218" t="n"/>
      <c r="CQ251" s="218" t="n"/>
      <c r="CR251" s="218" t="n"/>
      <c r="CS251" s="218" t="n"/>
      <c r="CT251" s="218" t="n"/>
      <c r="CU251" s="218" t="n"/>
      <c r="CV251" s="218" t="n"/>
      <c r="CW251" s="218" t="n"/>
      <c r="CX251" s="218" t="n"/>
      <c r="CY251" s="218" t="n"/>
      <c r="CZ251" s="218" t="n"/>
      <c r="DA251" s="218" t="n"/>
      <c r="DB251" s="218" t="n"/>
      <c r="DC251" s="218" t="n"/>
    </row>
    <row r="252">
      <c r="A252" s="218" t="n"/>
      <c r="B252" s="218" t="n"/>
      <c r="C252" s="218" t="n"/>
      <c r="D252" s="218" t="n"/>
      <c r="E252" s="218" t="n"/>
      <c r="F252" s="218" t="n"/>
      <c r="G252" s="218" t="n"/>
      <c r="H252" s="218" t="n"/>
      <c r="I252" s="218" t="n"/>
      <c r="J252" s="218" t="n"/>
      <c r="K252" s="218" t="n"/>
      <c r="L252" s="218" t="n"/>
      <c r="M252" s="218" t="n"/>
      <c r="N252" s="218" t="n"/>
      <c r="O252" s="218" t="n"/>
      <c r="P252" s="218" t="n"/>
      <c r="Q252" s="218" t="n"/>
      <c r="R252" s="218" t="n"/>
      <c r="S252" s="218" t="n"/>
      <c r="T252" s="218" t="n"/>
      <c r="U252" s="218" t="n"/>
      <c r="V252" s="218" t="n"/>
      <c r="W252" s="218" t="n"/>
      <c r="X252" s="218" t="n"/>
      <c r="Y252" s="218" t="n"/>
      <c r="Z252" s="218" t="n"/>
      <c r="AA252" s="218" t="n"/>
      <c r="AB252" s="218" t="n"/>
      <c r="AC252" s="218" t="n"/>
      <c r="AD252" s="218" t="n"/>
      <c r="AE252" s="218" t="n"/>
      <c r="AF252" s="218" t="n"/>
      <c r="AG252" s="218" t="n"/>
      <c r="AH252" s="218" t="n"/>
      <c r="AI252" s="218" t="n"/>
      <c r="AJ252" s="218" t="n"/>
      <c r="AK252" s="218" t="n"/>
      <c r="AL252" s="218" t="n"/>
      <c r="AM252" s="218" t="n"/>
      <c r="AN252" s="218" t="n"/>
      <c r="AO252" s="218" t="n"/>
      <c r="AP252" s="218" t="n"/>
      <c r="AQ252" s="218" t="n"/>
      <c r="AR252" s="218" t="n"/>
      <c r="AS252" s="218" t="n"/>
      <c r="AT252" s="218" t="n"/>
      <c r="AU252" s="218" t="n"/>
      <c r="AV252" s="218" t="n"/>
      <c r="AW252" s="218" t="n"/>
      <c r="AX252" s="218" t="n"/>
      <c r="AY252" s="218" t="n"/>
      <c r="AZ252" s="218" t="n"/>
      <c r="BA252" s="218" t="n"/>
      <c r="BB252" s="218" t="n"/>
      <c r="BC252" s="218" t="n"/>
      <c r="BD252" s="218" t="n"/>
      <c r="BE252" s="218" t="n"/>
      <c r="BF252" s="218" t="n"/>
      <c r="BG252" s="218" t="n"/>
      <c r="BH252" s="218" t="n"/>
      <c r="BI252" s="218" t="n"/>
      <c r="BJ252" s="146" t="n">
        <v>172</v>
      </c>
      <c r="BK252" s="146" t="inlineStr">
        <is>
          <t>VENTA DE TERRENO</t>
        </is>
      </c>
      <c r="BL252" s="146" t="n"/>
      <c r="BM252" s="146" t="n"/>
      <c r="BN252" s="146" t="n"/>
      <c r="BO252" s="146" t="n"/>
      <c r="BP252" s="146" t="n"/>
      <c r="BQ252" s="146" t="n"/>
      <c r="BR252" s="146" t="n"/>
      <c r="BS252" s="146" t="n"/>
      <c r="BT252" s="146" t="n"/>
      <c r="BU252" s="218" t="n"/>
      <c r="BV252" s="218" t="n"/>
      <c r="BW252" s="218" t="n"/>
      <c r="BX252" s="218" t="n"/>
      <c r="BY252" s="218" t="n"/>
      <c r="BZ252" s="218" t="n"/>
      <c r="CA252" s="218" t="n"/>
      <c r="CB252" s="218" t="n"/>
      <c r="CC252" s="218" t="n"/>
      <c r="CD252" s="218" t="n"/>
      <c r="CE252" s="218" t="n"/>
      <c r="CF252" s="218" t="n"/>
      <c r="CG252" s="218" t="n"/>
      <c r="CH252" s="218" t="n"/>
      <c r="CI252" s="218" t="n"/>
      <c r="CJ252" s="218" t="n"/>
      <c r="CK252" s="218" t="n"/>
      <c r="CL252" s="218" t="n"/>
      <c r="CM252" s="218" t="n"/>
      <c r="CN252" s="218" t="n"/>
      <c r="CO252" s="218" t="n"/>
      <c r="CP252" s="218" t="n"/>
      <c r="CQ252" s="218" t="n"/>
      <c r="CR252" s="218" t="n"/>
      <c r="CS252" s="218" t="n"/>
      <c r="CT252" s="218" t="n"/>
      <c r="CU252" s="218" t="n"/>
      <c r="CV252" s="218" t="n"/>
      <c r="CW252" s="218" t="n"/>
      <c r="CX252" s="218" t="n"/>
      <c r="CY252" s="218" t="n"/>
      <c r="CZ252" s="218" t="n"/>
      <c r="DA252" s="218" t="n"/>
      <c r="DB252" s="218" t="n"/>
      <c r="DC252" s="218" t="n"/>
    </row>
    <row r="253">
      <c r="A253" s="218" t="n"/>
      <c r="B253" s="218" t="n"/>
      <c r="C253" s="218" t="n"/>
      <c r="D253" s="218" t="n"/>
      <c r="E253" s="218" t="n"/>
      <c r="F253" s="218" t="n"/>
      <c r="G253" s="218" t="n"/>
      <c r="H253" s="218" t="n"/>
      <c r="I253" s="218" t="n"/>
      <c r="J253" s="218" t="n"/>
      <c r="K253" s="218" t="n"/>
      <c r="L253" s="218" t="n"/>
      <c r="M253" s="218" t="n"/>
      <c r="N253" s="218" t="n"/>
      <c r="O253" s="218" t="n"/>
      <c r="P253" s="218" t="n"/>
      <c r="Q253" s="218" t="n"/>
      <c r="R253" s="218" t="n"/>
      <c r="S253" s="218" t="n"/>
      <c r="T253" s="218" t="n"/>
      <c r="U253" s="218" t="n"/>
      <c r="V253" s="218" t="n"/>
      <c r="W253" s="218" t="n"/>
      <c r="X253" s="218" t="n"/>
      <c r="Y253" s="218" t="n"/>
      <c r="Z253" s="218" t="n"/>
      <c r="AA253" s="218" t="n"/>
      <c r="AB253" s="218" t="n"/>
      <c r="AC253" s="218" t="n"/>
      <c r="AD253" s="218" t="n"/>
      <c r="AE253" s="218" t="n"/>
      <c r="AF253" s="218" t="n"/>
      <c r="AG253" s="218" t="n"/>
      <c r="AH253" s="218" t="n"/>
      <c r="AI253" s="218" t="n"/>
      <c r="AJ253" s="218" t="n"/>
      <c r="AK253" s="218" t="n"/>
      <c r="AL253" s="218" t="n"/>
      <c r="AM253" s="218" t="n"/>
      <c r="AN253" s="218" t="n"/>
      <c r="AO253" s="218" t="n"/>
      <c r="AP253" s="218" t="n"/>
      <c r="AQ253" s="218" t="n"/>
      <c r="AR253" s="218" t="n"/>
      <c r="AS253" s="218" t="n"/>
      <c r="AT253" s="218" t="n"/>
      <c r="AU253" s="218" t="n"/>
      <c r="AV253" s="218" t="n"/>
      <c r="AW253" s="218" t="n"/>
      <c r="AX253" s="218" t="n"/>
      <c r="AY253" s="218" t="n"/>
      <c r="AZ253" s="218" t="n"/>
      <c r="BA253" s="218" t="n"/>
      <c r="BB253" s="218" t="n"/>
      <c r="BC253" s="218" t="n"/>
      <c r="BD253" s="218" t="n"/>
      <c r="BE253" s="218" t="n"/>
      <c r="BF253" s="218" t="n"/>
      <c r="BG253" s="218" t="n"/>
      <c r="BH253" s="218" t="n"/>
      <c r="BI253" s="218" t="n"/>
      <c r="BJ253" s="146" t="n">
        <v>173</v>
      </c>
      <c r="BK253" s="146" t="inlineStr">
        <is>
          <t>ENAJENACION DE ARENA, GRAVA, PIEDRA, TIERRA Y OTROS BIENES MUEBLES PROVENIENTES DEL SUELO</t>
        </is>
      </c>
      <c r="BL253" s="146" t="n"/>
      <c r="BM253" s="146" t="n"/>
      <c r="BN253" s="146" t="n"/>
      <c r="BO253" s="146" t="n"/>
      <c r="BP253" s="146" t="n"/>
      <c r="BQ253" s="146" t="n"/>
      <c r="BR253" s="146" t="n"/>
      <c r="BS253" s="146" t="n"/>
      <c r="BT253" s="146" t="n"/>
      <c r="BU253" s="218" t="n"/>
      <c r="BV253" s="218" t="n"/>
      <c r="BW253" s="218" t="n"/>
      <c r="BX253" s="218" t="n"/>
      <c r="BY253" s="218" t="n"/>
      <c r="BZ253" s="218" t="n"/>
      <c r="CA253" s="218" t="n"/>
      <c r="CB253" s="218" t="n"/>
      <c r="CC253" s="218" t="n"/>
      <c r="CD253" s="218" t="n"/>
      <c r="CE253" s="218" t="n"/>
      <c r="CF253" s="218" t="n"/>
      <c r="CG253" s="218" t="n"/>
      <c r="CH253" s="218" t="n"/>
      <c r="CI253" s="218" t="n"/>
      <c r="CJ253" s="218" t="n"/>
      <c r="CK253" s="218" t="n"/>
      <c r="CL253" s="218" t="n"/>
      <c r="CM253" s="218" t="n"/>
      <c r="CN253" s="218" t="n"/>
      <c r="CO253" s="218" t="n"/>
      <c r="CP253" s="218" t="n"/>
      <c r="CQ253" s="218" t="n"/>
      <c r="CR253" s="218" t="n"/>
      <c r="CS253" s="218" t="n"/>
      <c r="CT253" s="218" t="n"/>
      <c r="CU253" s="218" t="n"/>
      <c r="CV253" s="218" t="n"/>
      <c r="CW253" s="218" t="n"/>
      <c r="CX253" s="218" t="n"/>
      <c r="CY253" s="218" t="n"/>
      <c r="CZ253" s="218" t="n"/>
      <c r="DA253" s="218" t="n"/>
      <c r="DB253" s="218" t="n"/>
      <c r="DC253" s="218" t="n"/>
    </row>
    <row r="254">
      <c r="A254" s="218" t="n"/>
      <c r="B254" s="218" t="n"/>
      <c r="C254" s="218" t="n"/>
      <c r="D254" s="218" t="n"/>
      <c r="E254" s="218" t="n"/>
      <c r="F254" s="218" t="n"/>
      <c r="G254" s="218" t="n"/>
      <c r="H254" s="218" t="n"/>
      <c r="I254" s="218" t="n"/>
      <c r="J254" s="218" t="n"/>
      <c r="K254" s="218" t="n"/>
      <c r="L254" s="218" t="n"/>
      <c r="M254" s="218" t="n"/>
      <c r="N254" s="218" t="n"/>
      <c r="O254" s="218" t="n"/>
      <c r="P254" s="218" t="n"/>
      <c r="Q254" s="218" t="n"/>
      <c r="R254" s="218" t="n"/>
      <c r="S254" s="218" t="n"/>
      <c r="T254" s="218" t="n"/>
      <c r="U254" s="218" t="n"/>
      <c r="V254" s="218" t="n"/>
      <c r="W254" s="218" t="n"/>
      <c r="X254" s="218" t="n"/>
      <c r="Y254" s="218" t="n"/>
      <c r="Z254" s="218" t="n"/>
      <c r="AA254" s="218" t="n"/>
      <c r="AB254" s="218" t="n"/>
      <c r="AC254" s="218" t="n"/>
      <c r="AD254" s="218" t="n"/>
      <c r="AE254" s="218" t="n"/>
      <c r="AF254" s="218" t="n"/>
      <c r="AG254" s="218" t="n"/>
      <c r="AH254" s="218" t="n"/>
      <c r="AI254" s="218" t="n"/>
      <c r="AJ254" s="218" t="n"/>
      <c r="AK254" s="218" t="n"/>
      <c r="AL254" s="218" t="n"/>
      <c r="AM254" s="218" t="n"/>
      <c r="AN254" s="218" t="n"/>
      <c r="AO254" s="218" t="n"/>
      <c r="AP254" s="218" t="n"/>
      <c r="AQ254" s="218" t="n"/>
      <c r="AR254" s="218" t="n"/>
      <c r="AS254" s="218" t="n"/>
      <c r="AT254" s="218" t="n"/>
      <c r="AU254" s="218" t="n"/>
      <c r="AV254" s="218" t="n"/>
      <c r="AW254" s="218" t="n"/>
      <c r="AX254" s="218" t="n"/>
      <c r="AY254" s="218" t="n"/>
      <c r="AZ254" s="218" t="n"/>
      <c r="BA254" s="218" t="n"/>
      <c r="BB254" s="218" t="n"/>
      <c r="BC254" s="218" t="n"/>
      <c r="BD254" s="218" t="n"/>
      <c r="BE254" s="218" t="n"/>
      <c r="BF254" s="218" t="n"/>
      <c r="BG254" s="218" t="n"/>
      <c r="BH254" s="218" t="n"/>
      <c r="BI254" s="218" t="n"/>
      <c r="BJ254" s="146" t="n">
        <v>174</v>
      </c>
      <c r="BK254" s="146" t="inlineStr">
        <is>
          <t>COLOCACION DE MUROS FALSOS Y AISLAMIENTO</t>
        </is>
      </c>
      <c r="BL254" s="146" t="n"/>
      <c r="BM254" s="146" t="n"/>
      <c r="BN254" s="146" t="n"/>
      <c r="BO254" s="146" t="n"/>
      <c r="BP254" s="146" t="n"/>
      <c r="BQ254" s="146" t="n"/>
      <c r="BR254" s="146" t="n"/>
      <c r="BS254" s="146" t="n"/>
      <c r="BT254" s="146" t="n"/>
      <c r="BU254" s="218" t="n"/>
      <c r="BV254" s="218" t="n"/>
      <c r="BW254" s="218" t="n"/>
      <c r="BX254" s="218" t="n"/>
      <c r="BY254" s="218" t="n"/>
      <c r="BZ254" s="218" t="n"/>
      <c r="CA254" s="218" t="n"/>
      <c r="CB254" s="218" t="n"/>
      <c r="CC254" s="218" t="n"/>
      <c r="CD254" s="218" t="n"/>
      <c r="CE254" s="218" t="n"/>
      <c r="CF254" s="218" t="n"/>
      <c r="CG254" s="218" t="n"/>
      <c r="CH254" s="218" t="n"/>
      <c r="CI254" s="218" t="n"/>
      <c r="CJ254" s="218" t="n"/>
      <c r="CK254" s="218" t="n"/>
      <c r="CL254" s="218" t="n"/>
      <c r="CM254" s="218" t="n"/>
      <c r="CN254" s="218" t="n"/>
      <c r="CO254" s="218" t="n"/>
      <c r="CP254" s="218" t="n"/>
      <c r="CQ254" s="218" t="n"/>
      <c r="CR254" s="218" t="n"/>
      <c r="CS254" s="218" t="n"/>
      <c r="CT254" s="218" t="n"/>
      <c r="CU254" s="218" t="n"/>
      <c r="CV254" s="218" t="n"/>
      <c r="CW254" s="218" t="n"/>
      <c r="CX254" s="218" t="n"/>
      <c r="CY254" s="218" t="n"/>
      <c r="CZ254" s="218" t="n"/>
      <c r="DA254" s="218" t="n"/>
      <c r="DB254" s="218" t="n"/>
      <c r="DC254" s="218" t="n"/>
    </row>
    <row r="255">
      <c r="A255" s="218" t="n"/>
      <c r="B255" s="218" t="n"/>
      <c r="C255" s="218" t="n"/>
      <c r="D255" s="218" t="n"/>
      <c r="E255" s="218" t="n"/>
      <c r="F255" s="218" t="n"/>
      <c r="G255" s="218" t="n"/>
      <c r="H255" s="218" t="n"/>
      <c r="I255" s="218" t="n"/>
      <c r="J255" s="218" t="n"/>
      <c r="K255" s="218" t="n"/>
      <c r="L255" s="218" t="n"/>
      <c r="M255" s="218" t="n"/>
      <c r="N255" s="218" t="n"/>
      <c r="O255" s="218" t="n"/>
      <c r="P255" s="218" t="n"/>
      <c r="Q255" s="218" t="n"/>
      <c r="R255" s="218" t="n"/>
      <c r="S255" s="218" t="n"/>
      <c r="T255" s="218" t="n"/>
      <c r="U255" s="218" t="n"/>
      <c r="V255" s="218" t="n"/>
      <c r="W255" s="218" t="n"/>
      <c r="X255" s="218" t="n"/>
      <c r="Y255" s="218" t="n"/>
      <c r="Z255" s="218" t="n"/>
      <c r="AA255" s="218" t="n"/>
      <c r="AB255" s="218" t="n"/>
      <c r="AC255" s="218" t="n"/>
      <c r="AD255" s="218" t="n"/>
      <c r="AE255" s="218" t="n"/>
      <c r="AF255" s="218" t="n"/>
      <c r="AG255" s="218" t="n"/>
      <c r="AH255" s="218" t="n"/>
      <c r="AI255" s="218" t="n"/>
      <c r="AJ255" s="218" t="n"/>
      <c r="AK255" s="218" t="n"/>
      <c r="AL255" s="218" t="n"/>
      <c r="AM255" s="218" t="n"/>
      <c r="AN255" s="218" t="n"/>
      <c r="AO255" s="218" t="n"/>
      <c r="AP255" s="218" t="n"/>
      <c r="AQ255" s="218" t="n"/>
      <c r="AR255" s="218" t="n"/>
      <c r="AS255" s="218" t="n"/>
      <c r="AT255" s="218" t="n"/>
      <c r="AU255" s="218" t="n"/>
      <c r="AV255" s="218" t="n"/>
      <c r="AW255" s="218" t="n"/>
      <c r="AX255" s="218" t="n"/>
      <c r="AY255" s="218" t="n"/>
      <c r="AZ255" s="218" t="n"/>
      <c r="BA255" s="218" t="n"/>
      <c r="BB255" s="218" t="n"/>
      <c r="BC255" s="218" t="n"/>
      <c r="BD255" s="218" t="n"/>
      <c r="BE255" s="218" t="n"/>
      <c r="BF255" s="218" t="n"/>
      <c r="BG255" s="218" t="n"/>
      <c r="BH255" s="218" t="n"/>
      <c r="BI255" s="218" t="n"/>
      <c r="BJ255" s="146" t="n">
        <v>175</v>
      </c>
      <c r="BK255" s="146" t="inlineStr">
        <is>
          <t>TRABAJOS DE ENYESADO, EMPASTADO Y TIROLEADO</t>
        </is>
      </c>
      <c r="BL255" s="146" t="n"/>
      <c r="BM255" s="146" t="n"/>
      <c r="BN255" s="146" t="n"/>
      <c r="BO255" s="146" t="n"/>
      <c r="BP255" s="146" t="n"/>
      <c r="BQ255" s="146" t="n"/>
      <c r="BR255" s="146" t="n"/>
      <c r="BS255" s="146" t="n"/>
      <c r="BT255" s="146" t="n"/>
      <c r="BU255" s="218" t="n"/>
      <c r="BV255" s="218" t="n"/>
      <c r="BW255" s="218" t="n"/>
      <c r="BX255" s="218" t="n"/>
      <c r="BY255" s="218" t="n"/>
      <c r="BZ255" s="218" t="n"/>
      <c r="CA255" s="218" t="n"/>
      <c r="CB255" s="218" t="n"/>
      <c r="CC255" s="218" t="n"/>
      <c r="CD255" s="218" t="n"/>
      <c r="CE255" s="218" t="n"/>
      <c r="CF255" s="218" t="n"/>
      <c r="CG255" s="218" t="n"/>
      <c r="CH255" s="218" t="n"/>
      <c r="CI255" s="218" t="n"/>
      <c r="CJ255" s="218" t="n"/>
      <c r="CK255" s="218" t="n"/>
      <c r="CL255" s="218" t="n"/>
      <c r="CM255" s="218" t="n"/>
      <c r="CN255" s="218" t="n"/>
      <c r="CO255" s="218" t="n"/>
      <c r="CP255" s="218" t="n"/>
      <c r="CQ255" s="218" t="n"/>
      <c r="CR255" s="218" t="n"/>
      <c r="CS255" s="218" t="n"/>
      <c r="CT255" s="218" t="n"/>
      <c r="CU255" s="218" t="n"/>
      <c r="CV255" s="218" t="n"/>
      <c r="CW255" s="218" t="n"/>
      <c r="CX255" s="218" t="n"/>
      <c r="CY255" s="218" t="n"/>
      <c r="CZ255" s="218" t="n"/>
      <c r="DA255" s="218" t="n"/>
      <c r="DB255" s="218" t="n"/>
      <c r="DC255" s="218" t="n"/>
    </row>
    <row r="256">
      <c r="A256" s="218" t="n"/>
      <c r="B256" s="218" t="n"/>
      <c r="C256" s="218" t="n"/>
      <c r="D256" s="218" t="n"/>
      <c r="E256" s="218" t="n"/>
      <c r="F256" s="218" t="n"/>
      <c r="G256" s="218" t="n"/>
      <c r="H256" s="218" t="n"/>
      <c r="I256" s="218" t="n"/>
      <c r="J256" s="218" t="n"/>
      <c r="K256" s="218" t="n"/>
      <c r="L256" s="218" t="n"/>
      <c r="M256" s="218" t="n"/>
      <c r="N256" s="218" t="n"/>
      <c r="O256" s="218" t="n"/>
      <c r="P256" s="218" t="n"/>
      <c r="Q256" s="218" t="n"/>
      <c r="R256" s="218" t="n"/>
      <c r="S256" s="218" t="n"/>
      <c r="T256" s="218" t="n"/>
      <c r="U256" s="218" t="n"/>
      <c r="V256" s="218" t="n"/>
      <c r="W256" s="218" t="n"/>
      <c r="X256" s="218" t="n"/>
      <c r="Y256" s="218" t="n"/>
      <c r="Z256" s="218" t="n"/>
      <c r="AA256" s="218" t="n"/>
      <c r="AB256" s="218" t="n"/>
      <c r="AC256" s="218" t="n"/>
      <c r="AD256" s="218" t="n"/>
      <c r="AE256" s="218" t="n"/>
      <c r="AF256" s="218" t="n"/>
      <c r="AG256" s="218" t="n"/>
      <c r="AH256" s="218" t="n"/>
      <c r="AI256" s="218" t="n"/>
      <c r="AJ256" s="218" t="n"/>
      <c r="AK256" s="218" t="n"/>
      <c r="AL256" s="218" t="n"/>
      <c r="AM256" s="218" t="n"/>
      <c r="AN256" s="218" t="n"/>
      <c r="AO256" s="218" t="n"/>
      <c r="AP256" s="218" t="n"/>
      <c r="AQ256" s="218" t="n"/>
      <c r="AR256" s="218" t="n"/>
      <c r="AS256" s="218" t="n"/>
      <c r="AT256" s="218" t="n"/>
      <c r="AU256" s="218" t="n"/>
      <c r="AV256" s="218" t="n"/>
      <c r="AW256" s="218" t="n"/>
      <c r="AX256" s="218" t="n"/>
      <c r="AY256" s="218" t="n"/>
      <c r="AZ256" s="218" t="n"/>
      <c r="BA256" s="218" t="n"/>
      <c r="BB256" s="218" t="n"/>
      <c r="BC256" s="218" t="n"/>
      <c r="BD256" s="218" t="n"/>
      <c r="BE256" s="218" t="n"/>
      <c r="BF256" s="218" t="n"/>
      <c r="BG256" s="218" t="n"/>
      <c r="BH256" s="218" t="n"/>
      <c r="BI256" s="218" t="n"/>
      <c r="BJ256" s="146" t="n">
        <v>176</v>
      </c>
      <c r="BK256" s="146" t="inlineStr">
        <is>
          <t>TRABAJOS DE PINTURA Y OTROS CUBRIMIENTOS DE PAREDES</t>
        </is>
      </c>
      <c r="BL256" s="146" t="n"/>
      <c r="BM256" s="146" t="n"/>
      <c r="BN256" s="146" t="n"/>
      <c r="BO256" s="146" t="n"/>
      <c r="BP256" s="146" t="n"/>
      <c r="BQ256" s="146" t="n"/>
      <c r="BR256" s="146" t="n"/>
      <c r="BS256" s="146" t="n"/>
      <c r="BT256" s="146" t="n"/>
      <c r="BU256" s="218" t="n"/>
      <c r="BV256" s="218" t="n"/>
      <c r="BW256" s="218" t="n"/>
      <c r="BX256" s="218" t="n"/>
      <c r="BY256" s="218" t="n"/>
      <c r="BZ256" s="218" t="n"/>
      <c r="CA256" s="218" t="n"/>
      <c r="CB256" s="218" t="n"/>
      <c r="CC256" s="218" t="n"/>
      <c r="CD256" s="218" t="n"/>
      <c r="CE256" s="218" t="n"/>
      <c r="CF256" s="218" t="n"/>
      <c r="CG256" s="218" t="n"/>
      <c r="CH256" s="218" t="n"/>
      <c r="CI256" s="218" t="n"/>
      <c r="CJ256" s="218" t="n"/>
      <c r="CK256" s="218" t="n"/>
      <c r="CL256" s="218" t="n"/>
      <c r="CM256" s="218" t="n"/>
      <c r="CN256" s="218" t="n"/>
      <c r="CO256" s="218" t="n"/>
      <c r="CP256" s="218" t="n"/>
      <c r="CQ256" s="218" t="n"/>
      <c r="CR256" s="218" t="n"/>
      <c r="CS256" s="218" t="n"/>
      <c r="CT256" s="218" t="n"/>
      <c r="CU256" s="218" t="n"/>
      <c r="CV256" s="218" t="n"/>
      <c r="CW256" s="218" t="n"/>
      <c r="CX256" s="218" t="n"/>
      <c r="CY256" s="218" t="n"/>
      <c r="CZ256" s="218" t="n"/>
      <c r="DA256" s="218" t="n"/>
      <c r="DB256" s="218" t="n"/>
      <c r="DC256" s="218" t="n"/>
    </row>
    <row r="257">
      <c r="A257" s="218" t="n"/>
      <c r="B257" s="218" t="n"/>
      <c r="C257" s="218" t="n"/>
      <c r="D257" s="218" t="n"/>
      <c r="E257" s="218" t="n"/>
      <c r="F257" s="218" t="n"/>
      <c r="G257" s="218" t="n"/>
      <c r="H257" s="218" t="n"/>
      <c r="I257" s="218" t="n"/>
      <c r="J257" s="218" t="n"/>
      <c r="K257" s="218" t="n"/>
      <c r="L257" s="218" t="n"/>
      <c r="M257" s="218" t="n"/>
      <c r="N257" s="218" t="n"/>
      <c r="O257" s="218" t="n"/>
      <c r="P257" s="218" t="n"/>
      <c r="Q257" s="218" t="n"/>
      <c r="R257" s="218" t="n"/>
      <c r="S257" s="218" t="n"/>
      <c r="T257" s="218" t="n"/>
      <c r="U257" s="218" t="n"/>
      <c r="V257" s="218" t="n"/>
      <c r="W257" s="218" t="n"/>
      <c r="X257" s="218" t="n"/>
      <c r="Y257" s="218" t="n"/>
      <c r="Z257" s="218" t="n"/>
      <c r="AA257" s="218" t="n"/>
      <c r="AB257" s="218" t="n"/>
      <c r="AC257" s="218" t="n"/>
      <c r="AD257" s="218" t="n"/>
      <c r="AE257" s="218" t="n"/>
      <c r="AF257" s="218" t="n"/>
      <c r="AG257" s="218" t="n"/>
      <c r="AH257" s="218" t="n"/>
      <c r="AI257" s="218" t="n"/>
      <c r="AJ257" s="218" t="n"/>
      <c r="AK257" s="218" t="n"/>
      <c r="AL257" s="218" t="n"/>
      <c r="AM257" s="218" t="n"/>
      <c r="AN257" s="218" t="n"/>
      <c r="AO257" s="218" t="n"/>
      <c r="AP257" s="218" t="n"/>
      <c r="AQ257" s="218" t="n"/>
      <c r="AR257" s="218" t="n"/>
      <c r="AS257" s="218" t="n"/>
      <c r="AT257" s="218" t="n"/>
      <c r="AU257" s="218" t="n"/>
      <c r="AV257" s="218" t="n"/>
      <c r="AW257" s="218" t="n"/>
      <c r="AX257" s="218" t="n"/>
      <c r="AY257" s="218" t="n"/>
      <c r="AZ257" s="218" t="n"/>
      <c r="BA257" s="218" t="n"/>
      <c r="BB257" s="218" t="n"/>
      <c r="BC257" s="218" t="n"/>
      <c r="BD257" s="218" t="n"/>
      <c r="BE257" s="218" t="n"/>
      <c r="BF257" s="218" t="n"/>
      <c r="BG257" s="218" t="n"/>
      <c r="BH257" s="218" t="n"/>
      <c r="BI257" s="218" t="n"/>
      <c r="BJ257" s="146" t="n">
        <v>177</v>
      </c>
      <c r="BK257" s="146" t="inlineStr">
        <is>
          <t>COLOCACION DE PISOS FLEXIBLES (COMO ALFOMBRAS, LINOLEOS Y VINILOS) Y PISOS DE MADERA (COMO PARQUET, DUELA Y TABLON COLONIAL)</t>
        </is>
      </c>
      <c r="BL257" s="146" t="n"/>
      <c r="BM257" s="146" t="n"/>
      <c r="BN257" s="146" t="n"/>
      <c r="BO257" s="146" t="n"/>
      <c r="BP257" s="146" t="n"/>
      <c r="BQ257" s="146" t="n"/>
      <c r="BR257" s="146" t="n"/>
      <c r="BS257" s="146" t="n"/>
      <c r="BT257" s="146" t="n"/>
      <c r="BU257" s="218" t="n"/>
      <c r="BV257" s="218" t="n"/>
      <c r="BW257" s="218" t="n"/>
      <c r="BX257" s="218" t="n"/>
      <c r="BY257" s="218" t="n"/>
      <c r="BZ257" s="218" t="n"/>
      <c r="CA257" s="218" t="n"/>
      <c r="CB257" s="218" t="n"/>
      <c r="CC257" s="218" t="n"/>
      <c r="CD257" s="218" t="n"/>
      <c r="CE257" s="218" t="n"/>
      <c r="CF257" s="218" t="n"/>
      <c r="CG257" s="218" t="n"/>
      <c r="CH257" s="218" t="n"/>
      <c r="CI257" s="218" t="n"/>
      <c r="CJ257" s="218" t="n"/>
      <c r="CK257" s="218" t="n"/>
      <c r="CL257" s="218" t="n"/>
      <c r="CM257" s="218" t="n"/>
      <c r="CN257" s="218" t="n"/>
      <c r="CO257" s="218" t="n"/>
      <c r="CP257" s="218" t="n"/>
      <c r="CQ257" s="218" t="n"/>
      <c r="CR257" s="218" t="n"/>
      <c r="CS257" s="218" t="n"/>
      <c r="CT257" s="218" t="n"/>
      <c r="CU257" s="218" t="n"/>
      <c r="CV257" s="218" t="n"/>
      <c r="CW257" s="218" t="n"/>
      <c r="CX257" s="218" t="n"/>
      <c r="CY257" s="218" t="n"/>
      <c r="CZ257" s="218" t="n"/>
      <c r="DA257" s="218" t="n"/>
      <c r="DB257" s="218" t="n"/>
      <c r="DC257" s="218" t="n"/>
    </row>
    <row r="258">
      <c r="A258" s="218" t="n"/>
      <c r="B258" s="218" t="n"/>
      <c r="C258" s="218" t="n"/>
      <c r="D258" s="218" t="n"/>
      <c r="E258" s="218" t="n"/>
      <c r="F258" s="218" t="n"/>
      <c r="G258" s="218" t="n"/>
      <c r="H258" s="218" t="n"/>
      <c r="I258" s="218" t="n"/>
      <c r="J258" s="218" t="n"/>
      <c r="K258" s="218" t="n"/>
      <c r="L258" s="218" t="n"/>
      <c r="M258" s="218" t="n"/>
      <c r="N258" s="218" t="n"/>
      <c r="O258" s="218" t="n"/>
      <c r="P258" s="218" t="n"/>
      <c r="Q258" s="218" t="n"/>
      <c r="R258" s="218" t="n"/>
      <c r="S258" s="218" t="n"/>
      <c r="T258" s="218" t="n"/>
      <c r="U258" s="218" t="n"/>
      <c r="V258" s="218" t="n"/>
      <c r="W258" s="218" t="n"/>
      <c r="X258" s="218" t="n"/>
      <c r="Y258" s="218" t="n"/>
      <c r="Z258" s="218" t="n"/>
      <c r="AA258" s="218" t="n"/>
      <c r="AB258" s="218" t="n"/>
      <c r="AC258" s="218" t="n"/>
      <c r="AD258" s="218" t="n"/>
      <c r="AE258" s="218" t="n"/>
      <c r="AF258" s="218" t="n"/>
      <c r="AG258" s="218" t="n"/>
      <c r="AH258" s="218" t="n"/>
      <c r="AI258" s="218" t="n"/>
      <c r="AJ258" s="218" t="n"/>
      <c r="AK258" s="218" t="n"/>
      <c r="AL258" s="218" t="n"/>
      <c r="AM258" s="218" t="n"/>
      <c r="AN258" s="218" t="n"/>
      <c r="AO258" s="218" t="n"/>
      <c r="AP258" s="218" t="n"/>
      <c r="AQ258" s="218" t="n"/>
      <c r="AR258" s="218" t="n"/>
      <c r="AS258" s="218" t="n"/>
      <c r="AT258" s="218" t="n"/>
      <c r="AU258" s="218" t="n"/>
      <c r="AV258" s="218" t="n"/>
      <c r="AW258" s="218" t="n"/>
      <c r="AX258" s="218" t="n"/>
      <c r="AY258" s="218" t="n"/>
      <c r="AZ258" s="218" t="n"/>
      <c r="BA258" s="218" t="n"/>
      <c r="BB258" s="218" t="n"/>
      <c r="BC258" s="218" t="n"/>
      <c r="BD258" s="218" t="n"/>
      <c r="BE258" s="218" t="n"/>
      <c r="BF258" s="218" t="n"/>
      <c r="BG258" s="218" t="n"/>
      <c r="BH258" s="218" t="n"/>
      <c r="BI258" s="218" t="n"/>
      <c r="BJ258" s="146" t="n">
        <v>178</v>
      </c>
      <c r="BK258" s="146" t="inlineStr">
        <is>
          <t>COLOCACION DE PISOS CERAMICOS Y AZULEJOS</t>
        </is>
      </c>
      <c r="BL258" s="146" t="n"/>
      <c r="BM258" s="146" t="n"/>
      <c r="BN258" s="146" t="n"/>
      <c r="BO258" s="146" t="n"/>
      <c r="BP258" s="146" t="n"/>
      <c r="BQ258" s="146" t="n"/>
      <c r="BR258" s="146" t="n"/>
      <c r="BS258" s="146" t="n"/>
      <c r="BT258" s="146" t="n"/>
      <c r="BU258" s="218" t="n"/>
      <c r="BV258" s="218" t="n"/>
      <c r="BW258" s="218" t="n"/>
      <c r="BX258" s="218" t="n"/>
      <c r="BY258" s="218" t="n"/>
      <c r="BZ258" s="218" t="n"/>
      <c r="CA258" s="218" t="n"/>
      <c r="CB258" s="218" t="n"/>
      <c r="CC258" s="218" t="n"/>
      <c r="CD258" s="218" t="n"/>
      <c r="CE258" s="218" t="n"/>
      <c r="CF258" s="218" t="n"/>
      <c r="CG258" s="218" t="n"/>
      <c r="CH258" s="218" t="n"/>
      <c r="CI258" s="218" t="n"/>
      <c r="CJ258" s="218" t="n"/>
      <c r="CK258" s="218" t="n"/>
      <c r="CL258" s="218" t="n"/>
      <c r="CM258" s="218" t="n"/>
      <c r="CN258" s="218" t="n"/>
      <c r="CO258" s="218" t="n"/>
      <c r="CP258" s="218" t="n"/>
      <c r="CQ258" s="218" t="n"/>
      <c r="CR258" s="218" t="n"/>
      <c r="CS258" s="218" t="n"/>
      <c r="CT258" s="218" t="n"/>
      <c r="CU258" s="218" t="n"/>
      <c r="CV258" s="218" t="n"/>
      <c r="CW258" s="218" t="n"/>
      <c r="CX258" s="218" t="n"/>
      <c r="CY258" s="218" t="n"/>
      <c r="CZ258" s="218" t="n"/>
      <c r="DA258" s="218" t="n"/>
      <c r="DB258" s="218" t="n"/>
      <c r="DC258" s="218" t="n"/>
    </row>
    <row r="259">
      <c r="A259" s="218" t="n"/>
      <c r="B259" s="218" t="n"/>
      <c r="C259" s="218" t="n"/>
      <c r="D259" s="218" t="n"/>
      <c r="E259" s="218" t="n"/>
      <c r="F259" s="218" t="n"/>
      <c r="G259" s="218" t="n"/>
      <c r="H259" s="218" t="n"/>
      <c r="I259" s="218" t="n"/>
      <c r="J259" s="218" t="n"/>
      <c r="K259" s="218" t="n"/>
      <c r="L259" s="218" t="n"/>
      <c r="M259" s="218" t="n"/>
      <c r="N259" s="218" t="n"/>
      <c r="O259" s="218" t="n"/>
      <c r="P259" s="218" t="n"/>
      <c r="Q259" s="218" t="n"/>
      <c r="R259" s="218" t="n"/>
      <c r="S259" s="218" t="n"/>
      <c r="T259" s="218" t="n"/>
      <c r="U259" s="218" t="n"/>
      <c r="V259" s="218" t="n"/>
      <c r="W259" s="218" t="n"/>
      <c r="X259" s="218" t="n"/>
      <c r="Y259" s="218" t="n"/>
      <c r="Z259" s="218" t="n"/>
      <c r="AA259" s="218" t="n"/>
      <c r="AB259" s="218" t="n"/>
      <c r="AC259" s="218" t="n"/>
      <c r="AD259" s="218" t="n"/>
      <c r="AE259" s="218" t="n"/>
      <c r="AF259" s="218" t="n"/>
      <c r="AG259" s="218" t="n"/>
      <c r="AH259" s="218" t="n"/>
      <c r="AI259" s="218" t="n"/>
      <c r="AJ259" s="218" t="n"/>
      <c r="AK259" s="218" t="n"/>
      <c r="AL259" s="218" t="n"/>
      <c r="AM259" s="218" t="n"/>
      <c r="AN259" s="218" t="n"/>
      <c r="AO259" s="218" t="n"/>
      <c r="AP259" s="218" t="n"/>
      <c r="AQ259" s="218" t="n"/>
      <c r="AR259" s="218" t="n"/>
      <c r="AS259" s="218" t="n"/>
      <c r="AT259" s="218" t="n"/>
      <c r="AU259" s="218" t="n"/>
      <c r="AV259" s="218" t="n"/>
      <c r="AW259" s="218" t="n"/>
      <c r="AX259" s="218" t="n"/>
      <c r="AY259" s="218" t="n"/>
      <c r="AZ259" s="218" t="n"/>
      <c r="BA259" s="218" t="n"/>
      <c r="BB259" s="218" t="n"/>
      <c r="BC259" s="218" t="n"/>
      <c r="BD259" s="218" t="n"/>
      <c r="BE259" s="218" t="n"/>
      <c r="BF259" s="218" t="n"/>
      <c r="BG259" s="218" t="n"/>
      <c r="BH259" s="218" t="n"/>
      <c r="BI259" s="218" t="n"/>
      <c r="BJ259" s="146" t="n">
        <v>179</v>
      </c>
      <c r="BK259" s="146" t="inlineStr">
        <is>
          <t>INSTALACION DE PRODUCTOS DE CARPINTERIA</t>
        </is>
      </c>
      <c r="BL259" s="146" t="n"/>
      <c r="BM259" s="146" t="n"/>
      <c r="BN259" s="146" t="n"/>
      <c r="BO259" s="146" t="n"/>
      <c r="BP259" s="146" t="n"/>
      <c r="BQ259" s="146" t="n"/>
      <c r="BR259" s="146" t="n"/>
      <c r="BS259" s="146" t="n"/>
      <c r="BT259" s="146" t="n"/>
      <c r="BU259" s="218" t="n"/>
      <c r="BV259" s="218" t="n"/>
      <c r="BW259" s="218" t="n"/>
      <c r="BX259" s="218" t="n"/>
      <c r="BY259" s="218" t="n"/>
      <c r="BZ259" s="218" t="n"/>
      <c r="CA259" s="218" t="n"/>
      <c r="CB259" s="218" t="n"/>
      <c r="CC259" s="218" t="n"/>
      <c r="CD259" s="218" t="n"/>
      <c r="CE259" s="218" t="n"/>
      <c r="CF259" s="218" t="n"/>
      <c r="CG259" s="218" t="n"/>
      <c r="CH259" s="218" t="n"/>
      <c r="CI259" s="218" t="n"/>
      <c r="CJ259" s="218" t="n"/>
      <c r="CK259" s="218" t="n"/>
      <c r="CL259" s="218" t="n"/>
      <c r="CM259" s="218" t="n"/>
      <c r="CN259" s="218" t="n"/>
      <c r="CO259" s="218" t="n"/>
      <c r="CP259" s="218" t="n"/>
      <c r="CQ259" s="218" t="n"/>
      <c r="CR259" s="218" t="n"/>
      <c r="CS259" s="218" t="n"/>
      <c r="CT259" s="218" t="n"/>
      <c r="CU259" s="218" t="n"/>
      <c r="CV259" s="218" t="n"/>
      <c r="CW259" s="218" t="n"/>
      <c r="CX259" s="218" t="n"/>
      <c r="CY259" s="218" t="n"/>
      <c r="CZ259" s="218" t="n"/>
      <c r="DA259" s="218" t="n"/>
      <c r="DB259" s="218" t="n"/>
      <c r="DC259" s="218" t="n"/>
    </row>
    <row r="260">
      <c r="A260" s="218" t="n"/>
      <c r="B260" s="218" t="n"/>
      <c r="C260" s="218" t="n"/>
      <c r="D260" s="218" t="n"/>
      <c r="E260" s="218" t="n"/>
      <c r="F260" s="218" t="n"/>
      <c r="G260" s="218" t="n"/>
      <c r="H260" s="218" t="n"/>
      <c r="I260" s="218" t="n"/>
      <c r="J260" s="218" t="n"/>
      <c r="K260" s="218" t="n"/>
      <c r="L260" s="218" t="n"/>
      <c r="M260" s="218" t="n"/>
      <c r="N260" s="218" t="n"/>
      <c r="O260" s="218" t="n"/>
      <c r="P260" s="218" t="n"/>
      <c r="Q260" s="218" t="n"/>
      <c r="R260" s="218" t="n"/>
      <c r="S260" s="218" t="n"/>
      <c r="T260" s="218" t="n"/>
      <c r="U260" s="218" t="n"/>
      <c r="V260" s="218" t="n"/>
      <c r="W260" s="218" t="n"/>
      <c r="X260" s="218" t="n"/>
      <c r="Y260" s="218" t="n"/>
      <c r="Z260" s="218" t="n"/>
      <c r="AA260" s="218" t="n"/>
      <c r="AB260" s="218" t="n"/>
      <c r="AC260" s="218" t="n"/>
      <c r="AD260" s="218" t="n"/>
      <c r="AE260" s="218" t="n"/>
      <c r="AF260" s="218" t="n"/>
      <c r="AG260" s="218" t="n"/>
      <c r="AH260" s="218" t="n"/>
      <c r="AI260" s="218" t="n"/>
      <c r="AJ260" s="218" t="n"/>
      <c r="AK260" s="218" t="n"/>
      <c r="AL260" s="218" t="n"/>
      <c r="AM260" s="218" t="n"/>
      <c r="AN260" s="218" t="n"/>
      <c r="AO260" s="218" t="n"/>
      <c r="AP260" s="218" t="n"/>
      <c r="AQ260" s="218" t="n"/>
      <c r="AR260" s="218" t="n"/>
      <c r="AS260" s="218" t="n"/>
      <c r="AT260" s="218" t="n"/>
      <c r="AU260" s="218" t="n"/>
      <c r="AV260" s="218" t="n"/>
      <c r="AW260" s="218" t="n"/>
      <c r="AX260" s="218" t="n"/>
      <c r="AY260" s="218" t="n"/>
      <c r="AZ260" s="218" t="n"/>
      <c r="BA260" s="218" t="n"/>
      <c r="BB260" s="218" t="n"/>
      <c r="BC260" s="218" t="n"/>
      <c r="BD260" s="218" t="n"/>
      <c r="BE260" s="218" t="n"/>
      <c r="BF260" s="218" t="n"/>
      <c r="BG260" s="218" t="n"/>
      <c r="BH260" s="218" t="n"/>
      <c r="BI260" s="218" t="n"/>
      <c r="BJ260" s="146" t="n">
        <v>180</v>
      </c>
      <c r="BK260" s="146" t="inlineStr">
        <is>
          <t>OTROS TRABAJOS DE ACABADOS EN EDIFICACIONES</t>
        </is>
      </c>
      <c r="BL260" s="146" t="n"/>
      <c r="BM260" s="146" t="n"/>
      <c r="BN260" s="146" t="n"/>
      <c r="BO260" s="146" t="n"/>
      <c r="BP260" s="146" t="n"/>
      <c r="BQ260" s="146" t="n"/>
      <c r="BR260" s="146" t="n"/>
      <c r="BS260" s="146" t="n"/>
      <c r="BT260" s="146" t="n"/>
      <c r="BU260" s="218" t="n"/>
      <c r="BV260" s="218" t="n"/>
      <c r="BW260" s="218" t="n"/>
      <c r="BX260" s="218" t="n"/>
      <c r="BY260" s="218" t="n"/>
      <c r="BZ260" s="218" t="n"/>
      <c r="CA260" s="218" t="n"/>
      <c r="CB260" s="218" t="n"/>
      <c r="CC260" s="218" t="n"/>
      <c r="CD260" s="218" t="n"/>
      <c r="CE260" s="218" t="n"/>
      <c r="CF260" s="218" t="n"/>
      <c r="CG260" s="218" t="n"/>
      <c r="CH260" s="218" t="n"/>
      <c r="CI260" s="218" t="n"/>
      <c r="CJ260" s="218" t="n"/>
      <c r="CK260" s="218" t="n"/>
      <c r="CL260" s="218" t="n"/>
      <c r="CM260" s="218" t="n"/>
      <c r="CN260" s="218" t="n"/>
      <c r="CO260" s="218" t="n"/>
      <c r="CP260" s="218" t="n"/>
      <c r="CQ260" s="218" t="n"/>
      <c r="CR260" s="218" t="n"/>
      <c r="CS260" s="218" t="n"/>
      <c r="CT260" s="218" t="n"/>
      <c r="CU260" s="218" t="n"/>
      <c r="CV260" s="218" t="n"/>
      <c r="CW260" s="218" t="n"/>
      <c r="CX260" s="218" t="n"/>
      <c r="CY260" s="218" t="n"/>
      <c r="CZ260" s="218" t="n"/>
      <c r="DA260" s="218" t="n"/>
      <c r="DB260" s="218" t="n"/>
      <c r="DC260" s="218" t="n"/>
    </row>
    <row r="261">
      <c r="A261" s="218" t="n"/>
      <c r="B261" s="218" t="n"/>
      <c r="C261" s="218" t="n"/>
      <c r="D261" s="218" t="n"/>
      <c r="E261" s="218" t="n"/>
      <c r="F261" s="218" t="n"/>
      <c r="G261" s="218" t="n"/>
      <c r="H261" s="218" t="n"/>
      <c r="I261" s="218" t="n"/>
      <c r="J261" s="218" t="n"/>
      <c r="K261" s="218" t="n"/>
      <c r="L261" s="218" t="n"/>
      <c r="M261" s="218" t="n"/>
      <c r="N261" s="218" t="n"/>
      <c r="O261" s="218" t="n"/>
      <c r="P261" s="218" t="n"/>
      <c r="Q261" s="218" t="n"/>
      <c r="R261" s="218" t="n"/>
      <c r="S261" s="218" t="n"/>
      <c r="T261" s="218" t="n"/>
      <c r="U261" s="218" t="n"/>
      <c r="V261" s="218" t="n"/>
      <c r="W261" s="218" t="n"/>
      <c r="X261" s="218" t="n"/>
      <c r="Y261" s="218" t="n"/>
      <c r="Z261" s="218" t="n"/>
      <c r="AA261" s="218" t="n"/>
      <c r="AB261" s="218" t="n"/>
      <c r="AC261" s="218" t="n"/>
      <c r="AD261" s="218" t="n"/>
      <c r="AE261" s="218" t="n"/>
      <c r="AF261" s="218" t="n"/>
      <c r="AG261" s="218" t="n"/>
      <c r="AH261" s="218" t="n"/>
      <c r="AI261" s="218" t="n"/>
      <c r="AJ261" s="218" t="n"/>
      <c r="AK261" s="218" t="n"/>
      <c r="AL261" s="218" t="n"/>
      <c r="AM261" s="218" t="n"/>
      <c r="AN261" s="218" t="n"/>
      <c r="AO261" s="218" t="n"/>
      <c r="AP261" s="218" t="n"/>
      <c r="AQ261" s="218" t="n"/>
      <c r="AR261" s="218" t="n"/>
      <c r="AS261" s="218" t="n"/>
      <c r="AT261" s="218" t="n"/>
      <c r="AU261" s="218" t="n"/>
      <c r="AV261" s="218" t="n"/>
      <c r="AW261" s="218" t="n"/>
      <c r="AX261" s="218" t="n"/>
      <c r="AY261" s="218" t="n"/>
      <c r="AZ261" s="218" t="n"/>
      <c r="BA261" s="218" t="n"/>
      <c r="BB261" s="218" t="n"/>
      <c r="BC261" s="218" t="n"/>
      <c r="BD261" s="218" t="n"/>
      <c r="BE261" s="218" t="n"/>
      <c r="BF261" s="218" t="n"/>
      <c r="BG261" s="218" t="n"/>
      <c r="BH261" s="218" t="n"/>
      <c r="BI261" s="218" t="n"/>
      <c r="BJ261" s="146" t="n">
        <v>181</v>
      </c>
      <c r="BK261" s="146" t="inlineStr">
        <is>
          <t>PREPARACION DE TERRENOS PARA LA CONSTRUCCION</t>
        </is>
      </c>
      <c r="BL261" s="146" t="n"/>
      <c r="BM261" s="146" t="n"/>
      <c r="BN261" s="146" t="n"/>
      <c r="BO261" s="146" t="n"/>
      <c r="BP261" s="146" t="n"/>
      <c r="BQ261" s="146" t="n"/>
      <c r="BR261" s="146" t="n"/>
      <c r="BS261" s="146" t="n"/>
      <c r="BT261" s="146" t="n"/>
      <c r="BU261" s="218" t="n"/>
      <c r="BV261" s="218" t="n"/>
      <c r="BW261" s="218" t="n"/>
      <c r="BX261" s="218" t="n"/>
      <c r="BY261" s="218" t="n"/>
      <c r="BZ261" s="218" t="n"/>
      <c r="CA261" s="218" t="n"/>
      <c r="CB261" s="218" t="n"/>
      <c r="CC261" s="218" t="n"/>
      <c r="CD261" s="218" t="n"/>
      <c r="CE261" s="218" t="n"/>
      <c r="CF261" s="218" t="n"/>
      <c r="CG261" s="218" t="n"/>
      <c r="CH261" s="218" t="n"/>
      <c r="CI261" s="218" t="n"/>
      <c r="CJ261" s="218" t="n"/>
      <c r="CK261" s="218" t="n"/>
      <c r="CL261" s="218" t="n"/>
      <c r="CM261" s="218" t="n"/>
      <c r="CN261" s="218" t="n"/>
      <c r="CO261" s="218" t="n"/>
      <c r="CP261" s="218" t="n"/>
      <c r="CQ261" s="218" t="n"/>
      <c r="CR261" s="218" t="n"/>
      <c r="CS261" s="218" t="n"/>
      <c r="CT261" s="218" t="n"/>
      <c r="CU261" s="218" t="n"/>
      <c r="CV261" s="218" t="n"/>
      <c r="CW261" s="218" t="n"/>
      <c r="CX261" s="218" t="n"/>
      <c r="CY261" s="218" t="n"/>
      <c r="CZ261" s="218" t="n"/>
      <c r="DA261" s="218" t="n"/>
      <c r="DB261" s="218" t="n"/>
      <c r="DC261" s="218" t="n"/>
    </row>
    <row r="262">
      <c r="A262" s="218" t="n"/>
      <c r="B262" s="218" t="n"/>
      <c r="C262" s="218" t="n"/>
      <c r="D262" s="218" t="n"/>
      <c r="E262" s="218" t="n"/>
      <c r="F262" s="218" t="n"/>
      <c r="G262" s="218" t="n"/>
      <c r="H262" s="218" t="n"/>
      <c r="I262" s="218" t="n"/>
      <c r="J262" s="218" t="n"/>
      <c r="K262" s="218" t="n"/>
      <c r="L262" s="218" t="n"/>
      <c r="M262" s="218" t="n"/>
      <c r="N262" s="218" t="n"/>
      <c r="O262" s="218" t="n"/>
      <c r="P262" s="218" t="n"/>
      <c r="Q262" s="218" t="n"/>
      <c r="R262" s="218" t="n"/>
      <c r="S262" s="218" t="n"/>
      <c r="T262" s="218" t="n"/>
      <c r="U262" s="218" t="n"/>
      <c r="V262" s="218" t="n"/>
      <c r="W262" s="218" t="n"/>
      <c r="X262" s="218" t="n"/>
      <c r="Y262" s="218" t="n"/>
      <c r="Z262" s="218" t="n"/>
      <c r="AA262" s="218" t="n"/>
      <c r="AB262" s="218" t="n"/>
      <c r="AC262" s="218" t="n"/>
      <c r="AD262" s="218" t="n"/>
      <c r="AE262" s="218" t="n"/>
      <c r="AF262" s="218" t="n"/>
      <c r="AG262" s="218" t="n"/>
      <c r="AH262" s="218" t="n"/>
      <c r="AI262" s="218" t="n"/>
      <c r="AJ262" s="218" t="n"/>
      <c r="AK262" s="218" t="n"/>
      <c r="AL262" s="218" t="n"/>
      <c r="AM262" s="218" t="n"/>
      <c r="AN262" s="218" t="n"/>
      <c r="AO262" s="218" t="n"/>
      <c r="AP262" s="218" t="n"/>
      <c r="AQ262" s="218" t="n"/>
      <c r="AR262" s="218" t="n"/>
      <c r="AS262" s="218" t="n"/>
      <c r="AT262" s="218" t="n"/>
      <c r="AU262" s="218" t="n"/>
      <c r="AV262" s="218" t="n"/>
      <c r="AW262" s="218" t="n"/>
      <c r="AX262" s="218" t="n"/>
      <c r="AY262" s="218" t="n"/>
      <c r="AZ262" s="218" t="n"/>
      <c r="BA262" s="218" t="n"/>
      <c r="BB262" s="218" t="n"/>
      <c r="BC262" s="218" t="n"/>
      <c r="BD262" s="218" t="n"/>
      <c r="BE262" s="218" t="n"/>
      <c r="BF262" s="218" t="n"/>
      <c r="BG262" s="218" t="n"/>
      <c r="BH262" s="218" t="n"/>
      <c r="BI262" s="218" t="n"/>
      <c r="BJ262" s="146" t="n">
        <v>182</v>
      </c>
      <c r="BK262" s="146" t="inlineStr">
        <is>
          <t>OTROS TRABAJOS ESPECIALIZADOS PARA LA CONSTRUCCION</t>
        </is>
      </c>
      <c r="BL262" s="146" t="n"/>
      <c r="BM262" s="146" t="n"/>
      <c r="BN262" s="146" t="n"/>
      <c r="BO262" s="146" t="n"/>
      <c r="BP262" s="146" t="n"/>
      <c r="BQ262" s="146" t="n"/>
      <c r="BR262" s="146" t="n"/>
      <c r="BS262" s="146" t="n"/>
      <c r="BT262" s="146" t="n"/>
      <c r="BU262" s="218" t="n"/>
      <c r="BV262" s="218" t="n"/>
      <c r="BW262" s="218" t="n"/>
      <c r="BX262" s="218" t="n"/>
      <c r="BY262" s="218" t="n"/>
      <c r="BZ262" s="218" t="n"/>
      <c r="CA262" s="218" t="n"/>
      <c r="CB262" s="218" t="n"/>
      <c r="CC262" s="218" t="n"/>
      <c r="CD262" s="218" t="n"/>
      <c r="CE262" s="218" t="n"/>
      <c r="CF262" s="218" t="n"/>
      <c r="CG262" s="218" t="n"/>
      <c r="CH262" s="218" t="n"/>
      <c r="CI262" s="218" t="n"/>
      <c r="CJ262" s="218" t="n"/>
      <c r="CK262" s="218" t="n"/>
      <c r="CL262" s="218" t="n"/>
      <c r="CM262" s="218" t="n"/>
      <c r="CN262" s="218" t="n"/>
      <c r="CO262" s="218" t="n"/>
      <c r="CP262" s="218" t="n"/>
      <c r="CQ262" s="218" t="n"/>
      <c r="CR262" s="218" t="n"/>
      <c r="CS262" s="218" t="n"/>
      <c r="CT262" s="218" t="n"/>
      <c r="CU262" s="218" t="n"/>
      <c r="CV262" s="218" t="n"/>
      <c r="CW262" s="218" t="n"/>
      <c r="CX262" s="218" t="n"/>
      <c r="CY262" s="218" t="n"/>
      <c r="CZ262" s="218" t="n"/>
      <c r="DA262" s="218" t="n"/>
      <c r="DB262" s="218" t="n"/>
      <c r="DC262" s="218" t="n"/>
    </row>
    <row r="263">
      <c r="A263" s="218" t="n"/>
      <c r="B263" s="218" t="n"/>
      <c r="C263" s="218" t="n"/>
      <c r="D263" s="218" t="n"/>
      <c r="E263" s="218" t="n"/>
      <c r="F263" s="218" t="n"/>
      <c r="G263" s="218" t="n"/>
      <c r="H263" s="218" t="n"/>
      <c r="I263" s="218" t="n"/>
      <c r="J263" s="218" t="n"/>
      <c r="K263" s="218" t="n"/>
      <c r="L263" s="218" t="n"/>
      <c r="M263" s="218" t="n"/>
      <c r="N263" s="218" t="n"/>
      <c r="O263" s="218" t="n"/>
      <c r="P263" s="218" t="n"/>
      <c r="Q263" s="218" t="n"/>
      <c r="R263" s="218" t="n"/>
      <c r="S263" s="218" t="n"/>
      <c r="T263" s="218" t="n"/>
      <c r="U263" s="218" t="n"/>
      <c r="V263" s="218" t="n"/>
      <c r="W263" s="218" t="n"/>
      <c r="X263" s="218" t="n"/>
      <c r="Y263" s="218" t="n"/>
      <c r="Z263" s="218" t="n"/>
      <c r="AA263" s="218" t="n"/>
      <c r="AB263" s="218" t="n"/>
      <c r="AC263" s="218" t="n"/>
      <c r="AD263" s="218" t="n"/>
      <c r="AE263" s="218" t="n"/>
      <c r="AF263" s="218" t="n"/>
      <c r="AG263" s="218" t="n"/>
      <c r="AH263" s="218" t="n"/>
      <c r="AI263" s="218" t="n"/>
      <c r="AJ263" s="218" t="n"/>
      <c r="AK263" s="218" t="n"/>
      <c r="AL263" s="218" t="n"/>
      <c r="AM263" s="218" t="n"/>
      <c r="AN263" s="218" t="n"/>
      <c r="AO263" s="218" t="n"/>
      <c r="AP263" s="218" t="n"/>
      <c r="AQ263" s="218" t="n"/>
      <c r="AR263" s="218" t="n"/>
      <c r="AS263" s="218" t="n"/>
      <c r="AT263" s="218" t="n"/>
      <c r="AU263" s="218" t="n"/>
      <c r="AV263" s="218" t="n"/>
      <c r="AW263" s="218" t="n"/>
      <c r="AX263" s="218" t="n"/>
      <c r="AY263" s="218" t="n"/>
      <c r="AZ263" s="218" t="n"/>
      <c r="BA263" s="218" t="n"/>
      <c r="BB263" s="218" t="n"/>
      <c r="BC263" s="218" t="n"/>
      <c r="BD263" s="218" t="n"/>
      <c r="BE263" s="218" t="n"/>
      <c r="BF263" s="218" t="n"/>
      <c r="BG263" s="218" t="n"/>
      <c r="BH263" s="218" t="n"/>
      <c r="BI263" s="218" t="n"/>
      <c r="BJ263" s="146" t="n">
        <v>183</v>
      </c>
      <c r="BK263" s="146" t="inlineStr">
        <is>
          <t>ELABORACION DE ALIMENTOS PARA ANIMALES</t>
        </is>
      </c>
      <c r="BL263" s="146" t="n"/>
      <c r="BM263" s="146" t="n"/>
      <c r="BN263" s="146" t="n"/>
      <c r="BO263" s="146" t="n"/>
      <c r="BP263" s="146" t="n"/>
      <c r="BQ263" s="146" t="n"/>
      <c r="BR263" s="146" t="n"/>
      <c r="BS263" s="146" t="n"/>
      <c r="BT263" s="146" t="n"/>
      <c r="BU263" s="218" t="n"/>
      <c r="BV263" s="218" t="n"/>
      <c r="BW263" s="218" t="n"/>
      <c r="BX263" s="218" t="n"/>
      <c r="BY263" s="218" t="n"/>
      <c r="BZ263" s="218" t="n"/>
      <c r="CA263" s="218" t="n"/>
      <c r="CB263" s="218" t="n"/>
      <c r="CC263" s="218" t="n"/>
      <c r="CD263" s="218" t="n"/>
      <c r="CE263" s="218" t="n"/>
      <c r="CF263" s="218" t="n"/>
      <c r="CG263" s="218" t="n"/>
      <c r="CH263" s="218" t="n"/>
      <c r="CI263" s="218" t="n"/>
      <c r="CJ263" s="218" t="n"/>
      <c r="CK263" s="218" t="n"/>
      <c r="CL263" s="218" t="n"/>
      <c r="CM263" s="218" t="n"/>
      <c r="CN263" s="218" t="n"/>
      <c r="CO263" s="218" t="n"/>
      <c r="CP263" s="218" t="n"/>
      <c r="CQ263" s="218" t="n"/>
      <c r="CR263" s="218" t="n"/>
      <c r="CS263" s="218" t="n"/>
      <c r="CT263" s="218" t="n"/>
      <c r="CU263" s="218" t="n"/>
      <c r="CV263" s="218" t="n"/>
      <c r="CW263" s="218" t="n"/>
      <c r="CX263" s="218" t="n"/>
      <c r="CY263" s="218" t="n"/>
      <c r="CZ263" s="218" t="n"/>
      <c r="DA263" s="218" t="n"/>
      <c r="DB263" s="218" t="n"/>
      <c r="DC263" s="218" t="n"/>
    </row>
    <row r="264">
      <c r="A264" s="218" t="n"/>
      <c r="B264" s="218" t="n"/>
      <c r="C264" s="218" t="n"/>
      <c r="D264" s="218" t="n"/>
      <c r="E264" s="218" t="n"/>
      <c r="F264" s="218" t="n"/>
      <c r="G264" s="218" t="n"/>
      <c r="H264" s="218" t="n"/>
      <c r="I264" s="218" t="n"/>
      <c r="J264" s="218" t="n"/>
      <c r="K264" s="218" t="n"/>
      <c r="L264" s="218" t="n"/>
      <c r="M264" s="218" t="n"/>
      <c r="N264" s="218" t="n"/>
      <c r="O264" s="218" t="n"/>
      <c r="P264" s="218" t="n"/>
      <c r="Q264" s="218" t="n"/>
      <c r="R264" s="218" t="n"/>
      <c r="S264" s="218" t="n"/>
      <c r="T264" s="218" t="n"/>
      <c r="U264" s="218" t="n"/>
      <c r="V264" s="218" t="n"/>
      <c r="W264" s="218" t="n"/>
      <c r="X264" s="218" t="n"/>
      <c r="Y264" s="218" t="n"/>
      <c r="Z264" s="218" t="n"/>
      <c r="AA264" s="218" t="n"/>
      <c r="AB264" s="218" t="n"/>
      <c r="AC264" s="218" t="n"/>
      <c r="AD264" s="218" t="n"/>
      <c r="AE264" s="218" t="n"/>
      <c r="AF264" s="218" t="n"/>
      <c r="AG264" s="218" t="n"/>
      <c r="AH264" s="218" t="n"/>
      <c r="AI264" s="218" t="n"/>
      <c r="AJ264" s="218" t="n"/>
      <c r="AK264" s="218" t="n"/>
      <c r="AL264" s="218" t="n"/>
      <c r="AM264" s="218" t="n"/>
      <c r="AN264" s="218" t="n"/>
      <c r="AO264" s="218" t="n"/>
      <c r="AP264" s="218" t="n"/>
      <c r="AQ264" s="218" t="n"/>
      <c r="AR264" s="218" t="n"/>
      <c r="AS264" s="218" t="n"/>
      <c r="AT264" s="218" t="n"/>
      <c r="AU264" s="218" t="n"/>
      <c r="AV264" s="218" t="n"/>
      <c r="AW264" s="218" t="n"/>
      <c r="AX264" s="218" t="n"/>
      <c r="AY264" s="218" t="n"/>
      <c r="AZ264" s="218" t="n"/>
      <c r="BA264" s="218" t="n"/>
      <c r="BB264" s="218" t="n"/>
      <c r="BC264" s="218" t="n"/>
      <c r="BD264" s="218" t="n"/>
      <c r="BE264" s="218" t="n"/>
      <c r="BF264" s="218" t="n"/>
      <c r="BG264" s="218" t="n"/>
      <c r="BH264" s="218" t="n"/>
      <c r="BI264" s="218" t="n"/>
      <c r="BJ264" s="146" t="n">
        <v>184</v>
      </c>
      <c r="BK264" s="146" t="inlineStr">
        <is>
          <t>BENEFICIO DEL ARROZ</t>
        </is>
      </c>
      <c r="BL264" s="146" t="n"/>
      <c r="BM264" s="146" t="n"/>
      <c r="BN264" s="146" t="n"/>
      <c r="BO264" s="146" t="n"/>
      <c r="BP264" s="146" t="n"/>
      <c r="BQ264" s="146" t="n"/>
      <c r="BR264" s="146" t="n"/>
      <c r="BS264" s="146" t="n"/>
      <c r="BT264" s="146" t="n"/>
      <c r="BU264" s="218" t="n"/>
      <c r="BV264" s="218" t="n"/>
      <c r="BW264" s="218" t="n"/>
      <c r="BX264" s="218" t="n"/>
      <c r="BY264" s="218" t="n"/>
      <c r="BZ264" s="218" t="n"/>
      <c r="CA264" s="218" t="n"/>
      <c r="CB264" s="218" t="n"/>
      <c r="CC264" s="218" t="n"/>
      <c r="CD264" s="218" t="n"/>
      <c r="CE264" s="218" t="n"/>
      <c r="CF264" s="218" t="n"/>
      <c r="CG264" s="218" t="n"/>
      <c r="CH264" s="218" t="n"/>
      <c r="CI264" s="218" t="n"/>
      <c r="CJ264" s="218" t="n"/>
      <c r="CK264" s="218" t="n"/>
      <c r="CL264" s="218" t="n"/>
      <c r="CM264" s="218" t="n"/>
      <c r="CN264" s="218" t="n"/>
      <c r="CO264" s="218" t="n"/>
      <c r="CP264" s="218" t="n"/>
      <c r="CQ264" s="218" t="n"/>
      <c r="CR264" s="218" t="n"/>
      <c r="CS264" s="218" t="n"/>
      <c r="CT264" s="218" t="n"/>
      <c r="CU264" s="218" t="n"/>
      <c r="CV264" s="218" t="n"/>
      <c r="CW264" s="218" t="n"/>
      <c r="CX264" s="218" t="n"/>
      <c r="CY264" s="218" t="n"/>
      <c r="CZ264" s="218" t="n"/>
      <c r="DA264" s="218" t="n"/>
      <c r="DB264" s="218" t="n"/>
      <c r="DC264" s="218" t="n"/>
    </row>
    <row r="265">
      <c r="A265" s="218" t="n"/>
      <c r="B265" s="218" t="n"/>
      <c r="C265" s="218" t="n"/>
      <c r="D265" s="218" t="n"/>
      <c r="E265" s="218" t="n"/>
      <c r="F265" s="218" t="n"/>
      <c r="G265" s="218" t="n"/>
      <c r="H265" s="218" t="n"/>
      <c r="I265" s="218" t="n"/>
      <c r="J265" s="218" t="n"/>
      <c r="K265" s="218" t="n"/>
      <c r="L265" s="218" t="n"/>
      <c r="M265" s="218" t="n"/>
      <c r="N265" s="218" t="n"/>
      <c r="O265" s="218" t="n"/>
      <c r="P265" s="218" t="n"/>
      <c r="Q265" s="218" t="n"/>
      <c r="R265" s="218" t="n"/>
      <c r="S265" s="218" t="n"/>
      <c r="T265" s="218" t="n"/>
      <c r="U265" s="218" t="n"/>
      <c r="V265" s="218" t="n"/>
      <c r="W265" s="218" t="n"/>
      <c r="X265" s="218" t="n"/>
      <c r="Y265" s="218" t="n"/>
      <c r="Z265" s="218" t="n"/>
      <c r="AA265" s="218" t="n"/>
      <c r="AB265" s="218" t="n"/>
      <c r="AC265" s="218" t="n"/>
      <c r="AD265" s="218" t="n"/>
      <c r="AE265" s="218" t="n"/>
      <c r="AF265" s="218" t="n"/>
      <c r="AG265" s="218" t="n"/>
      <c r="AH265" s="218" t="n"/>
      <c r="AI265" s="218" t="n"/>
      <c r="AJ265" s="218" t="n"/>
      <c r="AK265" s="218" t="n"/>
      <c r="AL265" s="218" t="n"/>
      <c r="AM265" s="218" t="n"/>
      <c r="AN265" s="218" t="n"/>
      <c r="AO265" s="218" t="n"/>
      <c r="AP265" s="218" t="n"/>
      <c r="AQ265" s="218" t="n"/>
      <c r="AR265" s="218" t="n"/>
      <c r="AS265" s="218" t="n"/>
      <c r="AT265" s="218" t="n"/>
      <c r="AU265" s="218" t="n"/>
      <c r="AV265" s="218" t="n"/>
      <c r="AW265" s="218" t="n"/>
      <c r="AX265" s="218" t="n"/>
      <c r="AY265" s="218" t="n"/>
      <c r="AZ265" s="218" t="n"/>
      <c r="BA265" s="218" t="n"/>
      <c r="BB265" s="218" t="n"/>
      <c r="BC265" s="218" t="n"/>
      <c r="BD265" s="218" t="n"/>
      <c r="BE265" s="218" t="n"/>
      <c r="BF265" s="218" t="n"/>
      <c r="BG265" s="218" t="n"/>
      <c r="BH265" s="218" t="n"/>
      <c r="BI265" s="218" t="n"/>
      <c r="BJ265" s="146" t="n">
        <v>185</v>
      </c>
      <c r="BK265" s="146" t="inlineStr">
        <is>
          <t>ELABORACION DE HARINA DE TRIGO</t>
        </is>
      </c>
      <c r="BL265" s="146" t="n"/>
      <c r="BM265" s="146" t="n"/>
      <c r="BN265" s="146" t="n"/>
      <c r="BO265" s="146" t="n"/>
      <c r="BP265" s="146" t="n"/>
      <c r="BQ265" s="146" t="n"/>
      <c r="BR265" s="146" t="n"/>
      <c r="BS265" s="146" t="n"/>
      <c r="BT265" s="146" t="n"/>
      <c r="BU265" s="218" t="n"/>
      <c r="BV265" s="218" t="n"/>
      <c r="BW265" s="218" t="n"/>
      <c r="BX265" s="218" t="n"/>
      <c r="BY265" s="218" t="n"/>
      <c r="BZ265" s="218" t="n"/>
      <c r="CA265" s="218" t="n"/>
      <c r="CB265" s="218" t="n"/>
      <c r="CC265" s="218" t="n"/>
      <c r="CD265" s="218" t="n"/>
      <c r="CE265" s="218" t="n"/>
      <c r="CF265" s="218" t="n"/>
      <c r="CG265" s="218" t="n"/>
      <c r="CH265" s="218" t="n"/>
      <c r="CI265" s="218" t="n"/>
      <c r="CJ265" s="218" t="n"/>
      <c r="CK265" s="218" t="n"/>
      <c r="CL265" s="218" t="n"/>
      <c r="CM265" s="218" t="n"/>
      <c r="CN265" s="218" t="n"/>
      <c r="CO265" s="218" t="n"/>
      <c r="CP265" s="218" t="n"/>
      <c r="CQ265" s="218" t="n"/>
      <c r="CR265" s="218" t="n"/>
      <c r="CS265" s="218" t="n"/>
      <c r="CT265" s="218" t="n"/>
      <c r="CU265" s="218" t="n"/>
      <c r="CV265" s="218" t="n"/>
      <c r="CW265" s="218" t="n"/>
      <c r="CX265" s="218" t="n"/>
      <c r="CY265" s="218" t="n"/>
      <c r="CZ265" s="218" t="n"/>
      <c r="DA265" s="218" t="n"/>
      <c r="DB265" s="218" t="n"/>
      <c r="DC265" s="218" t="n"/>
    </row>
    <row r="266">
      <c r="A266" s="8" t="n"/>
      <c r="B266" s="8" t="n"/>
      <c r="C266" s="218" t="n"/>
      <c r="D266" s="218" t="n"/>
      <c r="E266" s="218" t="n"/>
      <c r="F266" s="218" t="n"/>
      <c r="G266" s="218" t="n"/>
      <c r="H266" s="218" t="n"/>
      <c r="I266" s="218" t="n"/>
      <c r="J266" s="218" t="n"/>
      <c r="K266" s="218" t="n"/>
      <c r="L266" s="218" t="n"/>
      <c r="M266" s="21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  <c r="AJ266" s="8" t="n"/>
      <c r="AK266" s="8" t="n"/>
      <c r="AL266" s="8" t="n"/>
      <c r="AM266" s="8" t="n"/>
      <c r="AN266" s="8" t="n"/>
      <c r="AO266" s="8" t="n"/>
      <c r="AP266" s="8" t="n"/>
      <c r="AQ266" s="8" t="n"/>
      <c r="AR266" s="8" t="n"/>
      <c r="AS266" s="8" t="n"/>
      <c r="AT266" s="8" t="n"/>
      <c r="AU266" s="8" t="n"/>
      <c r="AV266" s="8" t="n"/>
      <c r="AW266" s="8" t="n"/>
      <c r="AX266" s="8" t="n"/>
      <c r="AY266" s="8" t="n"/>
      <c r="AZ266" s="8" t="n"/>
      <c r="BA266" s="8" t="n"/>
      <c r="BB266" s="8" t="n"/>
      <c r="BC266" s="8" t="n"/>
      <c r="BD266" s="8" t="n"/>
      <c r="BE266" s="8" t="n"/>
      <c r="BF266" s="8" t="n"/>
      <c r="BG266" s="8" t="n"/>
      <c r="BH266" s="8" t="n"/>
      <c r="BI266" s="8" t="n"/>
      <c r="BJ266" s="153" t="n">
        <v>186</v>
      </c>
      <c r="BK266" s="153" t="inlineStr">
        <is>
          <t>ELABORACION DE HARINA DE MAIZ</t>
        </is>
      </c>
      <c r="BL266" s="153" t="n"/>
      <c r="BM266" s="153" t="n"/>
      <c r="BN266" s="153" t="n"/>
      <c r="BO266" s="153" t="n"/>
      <c r="BP266" s="153" t="n"/>
      <c r="BQ266" s="153" t="n"/>
      <c r="BR266" s="153" t="n"/>
      <c r="BS266" s="153" t="n"/>
      <c r="BT266" s="153" t="n"/>
      <c r="BU266" s="8" t="n"/>
      <c r="BV266" s="8" t="n"/>
      <c r="BW266" s="8" t="n"/>
      <c r="BX266" s="8" t="n"/>
      <c r="BY266" s="8" t="n"/>
      <c r="BZ266" s="8" t="n"/>
      <c r="CA266" s="8" t="n"/>
      <c r="CB266" s="8" t="n"/>
      <c r="CC266" s="8" t="n"/>
      <c r="CD266" s="8" t="n"/>
      <c r="CE266" s="8" t="n"/>
      <c r="CF266" s="8" t="n"/>
      <c r="CG266" s="8" t="n"/>
      <c r="CH266" s="8" t="n"/>
      <c r="CI266" s="8" t="n"/>
      <c r="CJ266" s="8" t="n"/>
      <c r="CK266" s="8" t="n"/>
      <c r="CL266" s="8" t="n"/>
      <c r="CM266" s="8" t="n"/>
      <c r="CN266" s="8" t="n"/>
      <c r="CO266" s="8" t="n"/>
      <c r="CP266" s="8" t="n"/>
      <c r="CQ266" s="8" t="n"/>
      <c r="CR266" s="8" t="n"/>
      <c r="CS266" s="8" t="n"/>
      <c r="CT266" s="8" t="n"/>
      <c r="CU266" s="8" t="n"/>
      <c r="CV266" s="8" t="n"/>
      <c r="CW266" s="8" t="n"/>
      <c r="CX266" s="8" t="n"/>
      <c r="CY266" s="8" t="n"/>
      <c r="CZ266" s="8" t="n"/>
      <c r="DA266" s="8" t="n"/>
      <c r="DB266" s="8" t="n"/>
      <c r="DC266" s="8" t="n"/>
    </row>
    <row r="267">
      <c r="A267" s="8" t="n"/>
      <c r="B267" s="8" t="n"/>
      <c r="C267" s="218" t="n"/>
      <c r="D267" s="218" t="n"/>
      <c r="E267" s="218" t="n"/>
      <c r="F267" s="218" t="n"/>
      <c r="G267" s="218" t="n"/>
      <c r="H267" s="218" t="n"/>
      <c r="I267" s="218" t="n"/>
      <c r="J267" s="218" t="n"/>
      <c r="K267" s="218" t="n"/>
      <c r="L267" s="218" t="n"/>
      <c r="M267" s="21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n"/>
      <c r="BH267" s="8" t="n"/>
      <c r="BI267" s="8" t="n"/>
      <c r="BJ267" s="153" t="n">
        <v>187</v>
      </c>
      <c r="BK267" s="153" t="inlineStr">
        <is>
          <t>ELABORACION DE HARINA DE OTROS PRODUCTOS AGRICOLAS</t>
        </is>
      </c>
      <c r="BL267" s="153" t="n"/>
      <c r="BM267" s="153" t="n"/>
      <c r="BN267" s="153" t="n"/>
      <c r="BO267" s="153" t="n"/>
      <c r="BP267" s="153" t="n"/>
      <c r="BQ267" s="153" t="n"/>
      <c r="BR267" s="153" t="n"/>
      <c r="BS267" s="153" t="n"/>
      <c r="BT267" s="153" t="n"/>
      <c r="BU267" s="8" t="n"/>
      <c r="BV267" s="8" t="n"/>
      <c r="BW267" s="8" t="n"/>
      <c r="BX267" s="8" t="n"/>
      <c r="BY267" s="8" t="n"/>
      <c r="BZ267" s="8" t="n"/>
      <c r="CA267" s="8" t="n"/>
      <c r="CB267" s="8" t="n"/>
      <c r="CC267" s="8" t="n"/>
      <c r="CD267" s="8" t="n"/>
      <c r="CE267" s="8" t="n"/>
      <c r="CF267" s="8" t="n"/>
      <c r="CG267" s="8" t="n"/>
      <c r="CH267" s="8" t="n"/>
      <c r="CI267" s="8" t="n"/>
      <c r="CJ267" s="8" t="n"/>
      <c r="CK267" s="8" t="n"/>
      <c r="CL267" s="8" t="n"/>
      <c r="CM267" s="8" t="n"/>
      <c r="CN267" s="8" t="n"/>
      <c r="CO267" s="8" t="n"/>
      <c r="CP267" s="8" t="n"/>
      <c r="CQ267" s="8" t="n"/>
      <c r="CR267" s="8" t="n"/>
      <c r="CS267" s="8" t="n"/>
      <c r="CT267" s="8" t="n"/>
      <c r="CU267" s="8" t="n"/>
      <c r="CV267" s="8" t="n"/>
      <c r="CW267" s="8" t="n"/>
      <c r="CX267" s="8" t="n"/>
      <c r="CY267" s="8" t="n"/>
      <c r="CZ267" s="8" t="n"/>
      <c r="DA267" s="8" t="n"/>
      <c r="DB267" s="8" t="n"/>
      <c r="DC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  <c r="AM268" s="8" t="n"/>
      <c r="AN268" s="8" t="n"/>
      <c r="AO268" s="8" t="n"/>
      <c r="AP268" s="8" t="n"/>
      <c r="AQ268" s="8" t="n"/>
      <c r="AR268" s="8" t="n"/>
      <c r="AS268" s="8" t="n"/>
      <c r="AT268" s="8" t="n"/>
      <c r="AU268" s="8" t="n"/>
      <c r="AV268" s="8" t="n"/>
      <c r="AW268" s="8" t="n"/>
      <c r="AX268" s="8" t="n"/>
      <c r="AY268" s="8" t="n"/>
      <c r="AZ268" s="8" t="n"/>
      <c r="BA268" s="8" t="n"/>
      <c r="BB268" s="8" t="n"/>
      <c r="BC268" s="8" t="n"/>
      <c r="BD268" s="8" t="n"/>
      <c r="BE268" s="8" t="n"/>
      <c r="BF268" s="8" t="n"/>
      <c r="BG268" s="8" t="n"/>
      <c r="BH268" s="8" t="n"/>
      <c r="BI268" s="8" t="n"/>
      <c r="BJ268" s="153" t="n">
        <v>188</v>
      </c>
      <c r="BK268" s="153" t="inlineStr">
        <is>
          <t>ELABORACION DE MALTA</t>
        </is>
      </c>
      <c r="BL268" s="153" t="n"/>
      <c r="BM268" s="153" t="n"/>
      <c r="BN268" s="153" t="n"/>
      <c r="BO268" s="153" t="n"/>
      <c r="BP268" s="153" t="n"/>
      <c r="BQ268" s="153" t="n"/>
      <c r="BR268" s="153" t="n"/>
      <c r="BS268" s="153" t="n"/>
      <c r="BT268" s="153" t="n"/>
      <c r="BU268" s="8" t="n"/>
      <c r="BV268" s="8" t="n"/>
      <c r="BW268" s="8" t="n"/>
      <c r="BX268" s="8" t="n"/>
      <c r="BY268" s="8" t="n"/>
      <c r="BZ268" s="8" t="n"/>
      <c r="CA268" s="8" t="n"/>
      <c r="CB268" s="8" t="n"/>
      <c r="CC268" s="8" t="n"/>
      <c r="CD268" s="8" t="n"/>
      <c r="CE268" s="8" t="n"/>
      <c r="CF268" s="8" t="n"/>
      <c r="CG268" s="8" t="n"/>
      <c r="CH268" s="8" t="n"/>
      <c r="CI268" s="8" t="n"/>
      <c r="CJ268" s="8" t="n"/>
      <c r="CK268" s="8" t="n"/>
      <c r="CL268" s="8" t="n"/>
      <c r="CM268" s="8" t="n"/>
      <c r="CN268" s="8" t="n"/>
      <c r="CO268" s="8" t="n"/>
      <c r="CP268" s="8" t="n"/>
      <c r="CQ268" s="8" t="n"/>
      <c r="CR268" s="8" t="n"/>
      <c r="CS268" s="8" t="n"/>
      <c r="CT268" s="8" t="n"/>
      <c r="CU268" s="8" t="n"/>
      <c r="CV268" s="8" t="n"/>
      <c r="CW268" s="8" t="n"/>
      <c r="CX268" s="8" t="n"/>
      <c r="CY268" s="8" t="n"/>
      <c r="CZ268" s="8" t="n"/>
      <c r="DA268" s="8" t="n"/>
      <c r="DB268" s="8" t="n"/>
      <c r="DC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  <c r="AM269" s="8" t="n"/>
      <c r="AN269" s="8" t="n"/>
      <c r="AO269" s="8" t="n"/>
      <c r="AP269" s="8" t="n"/>
      <c r="AQ269" s="8" t="n"/>
      <c r="AR269" s="8" t="n"/>
      <c r="AS269" s="8" t="n"/>
      <c r="AT269" s="8" t="n"/>
      <c r="AU269" s="8" t="n"/>
      <c r="AV269" s="8" t="n"/>
      <c r="AW269" s="8" t="n"/>
      <c r="AX269" s="8" t="n"/>
      <c r="AY269" s="8" t="n"/>
      <c r="AZ269" s="8" t="n"/>
      <c r="BA269" s="8" t="n"/>
      <c r="BB269" s="8" t="n"/>
      <c r="BC269" s="8" t="n"/>
      <c r="BD269" s="8" t="n"/>
      <c r="BE269" s="8" t="n"/>
      <c r="BF269" s="8" t="n"/>
      <c r="BG269" s="8" t="n"/>
      <c r="BH269" s="8" t="n"/>
      <c r="BI269" s="8" t="n"/>
      <c r="BJ269" s="153" t="n">
        <v>189</v>
      </c>
      <c r="BK269" s="153" t="inlineStr">
        <is>
          <t>ELABORACION DE FECULAS Y OTROS ALMIDONES</t>
        </is>
      </c>
      <c r="BL269" s="153" t="n"/>
      <c r="BM269" s="153" t="n"/>
      <c r="BN269" s="153" t="n"/>
      <c r="BO269" s="153" t="n"/>
      <c r="BP269" s="153" t="n"/>
      <c r="BQ269" s="153" t="n"/>
      <c r="BR269" s="153" t="n"/>
      <c r="BS269" s="153" t="n"/>
      <c r="BT269" s="153" t="n"/>
      <c r="BU269" s="8" t="n"/>
      <c r="BV269" s="8" t="n"/>
      <c r="BW269" s="8" t="n"/>
      <c r="BX269" s="8" t="n"/>
      <c r="BY269" s="8" t="n"/>
      <c r="BZ269" s="8" t="n"/>
      <c r="CA269" s="8" t="n"/>
      <c r="CB269" s="8" t="n"/>
      <c r="CC269" s="8" t="n"/>
      <c r="CD269" s="8" t="n"/>
      <c r="CE269" s="8" t="n"/>
      <c r="CF269" s="8" t="n"/>
      <c r="CG269" s="8" t="n"/>
      <c r="CH269" s="8" t="n"/>
      <c r="CI269" s="8" t="n"/>
      <c r="CJ269" s="8" t="n"/>
      <c r="CK269" s="8" t="n"/>
      <c r="CL269" s="8" t="n"/>
      <c r="CM269" s="8" t="n"/>
      <c r="CN269" s="8" t="n"/>
      <c r="CO269" s="8" t="n"/>
      <c r="CP269" s="8" t="n"/>
      <c r="CQ269" s="8" t="n"/>
      <c r="CR269" s="8" t="n"/>
      <c r="CS269" s="8" t="n"/>
      <c r="CT269" s="8" t="n"/>
      <c r="CU269" s="8" t="n"/>
      <c r="CV269" s="8" t="n"/>
      <c r="CW269" s="8" t="n"/>
      <c r="CX269" s="8" t="n"/>
      <c r="CY269" s="8" t="n"/>
      <c r="CZ269" s="8" t="n"/>
      <c r="DA269" s="8" t="n"/>
      <c r="DB269" s="8" t="n"/>
      <c r="DC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  <c r="AM270" s="8" t="n"/>
      <c r="AN270" s="8" t="n"/>
      <c r="AO270" s="8" t="n"/>
      <c r="AP270" s="8" t="n"/>
      <c r="AQ270" s="8" t="n"/>
      <c r="AR270" s="8" t="n"/>
      <c r="AS270" s="8" t="n"/>
      <c r="AT270" s="8" t="n"/>
      <c r="AU270" s="8" t="n"/>
      <c r="AV270" s="8" t="n"/>
      <c r="AW270" s="8" t="n"/>
      <c r="AX270" s="8" t="n"/>
      <c r="AY270" s="8" t="n"/>
      <c r="AZ270" s="8" t="n"/>
      <c r="BA270" s="8" t="n"/>
      <c r="BB270" s="8" t="n"/>
      <c r="BC270" s="8" t="n"/>
      <c r="BD270" s="8" t="n"/>
      <c r="BE270" s="8" t="n"/>
      <c r="BF270" s="8" t="n"/>
      <c r="BG270" s="8" t="n"/>
      <c r="BH270" s="8" t="n"/>
      <c r="BI270" s="8" t="n"/>
      <c r="BJ270" s="153" t="n">
        <v>190</v>
      </c>
      <c r="BK270" s="153" t="inlineStr">
        <is>
          <t>ELABORACION DE ACEITES Y GRASAS VEGETALES COMESTIBLES</t>
        </is>
      </c>
      <c r="BL270" s="153" t="n"/>
      <c r="BM270" s="153" t="n"/>
      <c r="BN270" s="153" t="n"/>
      <c r="BO270" s="153" t="n"/>
      <c r="BP270" s="153" t="n"/>
      <c r="BQ270" s="153" t="n"/>
      <c r="BR270" s="153" t="n"/>
      <c r="BS270" s="153" t="n"/>
      <c r="BT270" s="153" t="n"/>
      <c r="BU270" s="8" t="n"/>
      <c r="BV270" s="8" t="n"/>
      <c r="BW270" s="8" t="n"/>
      <c r="BX270" s="8" t="n"/>
      <c r="BY270" s="8" t="n"/>
      <c r="BZ270" s="8" t="n"/>
      <c r="CA270" s="8" t="n"/>
      <c r="CB270" s="8" t="n"/>
      <c r="CC270" s="8" t="n"/>
      <c r="CD270" s="8" t="n"/>
      <c r="CE270" s="8" t="n"/>
      <c r="CF270" s="8" t="n"/>
      <c r="CG270" s="8" t="n"/>
      <c r="CH270" s="8" t="n"/>
      <c r="CI270" s="8" t="n"/>
      <c r="CJ270" s="8" t="n"/>
      <c r="CK270" s="8" t="n"/>
      <c r="CL270" s="8" t="n"/>
      <c r="CM270" s="8" t="n"/>
      <c r="CN270" s="8" t="n"/>
      <c r="CO270" s="8" t="n"/>
      <c r="CP270" s="8" t="n"/>
      <c r="CQ270" s="8" t="n"/>
      <c r="CR270" s="8" t="n"/>
      <c r="CS270" s="8" t="n"/>
      <c r="CT270" s="8" t="n"/>
      <c r="CU270" s="8" t="n"/>
      <c r="CV270" s="8" t="n"/>
      <c r="CW270" s="8" t="n"/>
      <c r="CX270" s="8" t="n"/>
      <c r="CY270" s="8" t="n"/>
      <c r="CZ270" s="8" t="n"/>
      <c r="DA270" s="8" t="n"/>
      <c r="DB270" s="8" t="n"/>
      <c r="DC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  <c r="AK271" s="8" t="n"/>
      <c r="AL271" s="8" t="n"/>
      <c r="AM271" s="8" t="n"/>
      <c r="AN271" s="8" t="n"/>
      <c r="AO271" s="8" t="n"/>
      <c r="AP271" s="8" t="n"/>
      <c r="AQ271" s="8" t="n"/>
      <c r="AR271" s="8" t="n"/>
      <c r="AS271" s="8" t="n"/>
      <c r="AT271" s="8" t="n"/>
      <c r="AU271" s="8" t="n"/>
      <c r="AV271" s="8" t="n"/>
      <c r="AW271" s="8" t="n"/>
      <c r="AX271" s="8" t="n"/>
      <c r="AY271" s="8" t="n"/>
      <c r="AZ271" s="8" t="n"/>
      <c r="BA271" s="8" t="n"/>
      <c r="BB271" s="8" t="n"/>
      <c r="BC271" s="8" t="n"/>
      <c r="BD271" s="8" t="n"/>
      <c r="BE271" s="8" t="n"/>
      <c r="BF271" s="8" t="n"/>
      <c r="BG271" s="8" t="n"/>
      <c r="BH271" s="8" t="n"/>
      <c r="BI271" s="8" t="n"/>
      <c r="BJ271" s="153" t="n">
        <v>191</v>
      </c>
      <c r="BK271" s="153" t="inlineStr">
        <is>
          <t>ELABORACION DE CEREALES</t>
        </is>
      </c>
      <c r="BL271" s="153" t="n"/>
      <c r="BM271" s="153" t="n"/>
      <c r="BN271" s="153" t="n"/>
      <c r="BO271" s="153" t="n"/>
      <c r="BP271" s="153" t="n"/>
      <c r="BQ271" s="153" t="n"/>
      <c r="BR271" s="153" t="n"/>
      <c r="BS271" s="153" t="n"/>
      <c r="BT271" s="153" t="n"/>
      <c r="BU271" s="8" t="n"/>
      <c r="BV271" s="8" t="n"/>
      <c r="BW271" s="8" t="n"/>
      <c r="BX271" s="8" t="n"/>
      <c r="BY271" s="8" t="n"/>
      <c r="BZ271" s="8" t="n"/>
      <c r="CA271" s="8" t="n"/>
      <c r="CB271" s="8" t="n"/>
      <c r="CC271" s="8" t="n"/>
      <c r="CD271" s="8" t="n"/>
      <c r="CE271" s="8" t="n"/>
      <c r="CF271" s="8" t="n"/>
      <c r="CG271" s="8" t="n"/>
      <c r="CH271" s="8" t="n"/>
      <c r="CI271" s="8" t="n"/>
      <c r="CJ271" s="8" t="n"/>
      <c r="CK271" s="8" t="n"/>
      <c r="CL271" s="8" t="n"/>
      <c r="CM271" s="8" t="n"/>
      <c r="CN271" s="8" t="n"/>
      <c r="CO271" s="8" t="n"/>
      <c r="CP271" s="8" t="n"/>
      <c r="CQ271" s="8" t="n"/>
      <c r="CR271" s="8" t="n"/>
      <c r="CS271" s="8" t="n"/>
      <c r="CT271" s="8" t="n"/>
      <c r="CU271" s="8" t="n"/>
      <c r="CV271" s="8" t="n"/>
      <c r="CW271" s="8" t="n"/>
      <c r="CX271" s="8" t="n"/>
      <c r="CY271" s="8" t="n"/>
      <c r="CZ271" s="8" t="n"/>
      <c r="DA271" s="8" t="n"/>
      <c r="DB271" s="8" t="n"/>
      <c r="DC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n"/>
      <c r="BH272" s="8" t="n"/>
      <c r="BI272" s="8" t="n"/>
      <c r="BJ272" s="153" t="n">
        <v>192</v>
      </c>
      <c r="BK272" s="153" t="inlineStr">
        <is>
          <t>ELABORACION Y REFINACION DE AZUCAR DE CA?A</t>
        </is>
      </c>
      <c r="BL272" s="153" t="n"/>
      <c r="BM272" s="153" t="n"/>
      <c r="BN272" s="153" t="n"/>
      <c r="BO272" s="153" t="n"/>
      <c r="BP272" s="153" t="n"/>
      <c r="BQ272" s="153" t="n"/>
      <c r="BR272" s="153" t="n"/>
      <c r="BS272" s="153" t="n"/>
      <c r="BT272" s="153" t="n"/>
      <c r="BU272" s="8" t="n"/>
      <c r="BV272" s="8" t="n"/>
      <c r="BW272" s="8" t="n"/>
      <c r="BX272" s="8" t="n"/>
      <c r="BY272" s="8" t="n"/>
      <c r="BZ272" s="8" t="n"/>
      <c r="CA272" s="8" t="n"/>
      <c r="CB272" s="8" t="n"/>
      <c r="CC272" s="8" t="n"/>
      <c r="CD272" s="8" t="n"/>
      <c r="CE272" s="8" t="n"/>
      <c r="CF272" s="8" t="n"/>
      <c r="CG272" s="8" t="n"/>
      <c r="CH272" s="8" t="n"/>
      <c r="CI272" s="8" t="n"/>
      <c r="CJ272" s="8" t="n"/>
      <c r="CK272" s="8" t="n"/>
      <c r="CL272" s="8" t="n"/>
      <c r="CM272" s="8" t="n"/>
      <c r="CN272" s="8" t="n"/>
      <c r="CO272" s="8" t="n"/>
      <c r="CP272" s="8" t="n"/>
      <c r="CQ272" s="8" t="n"/>
      <c r="CR272" s="8" t="n"/>
      <c r="CS272" s="8" t="n"/>
      <c r="CT272" s="8" t="n"/>
      <c r="CU272" s="8" t="n"/>
      <c r="CV272" s="8" t="n"/>
      <c r="CW272" s="8" t="n"/>
      <c r="CX272" s="8" t="n"/>
      <c r="CY272" s="8" t="n"/>
      <c r="CZ272" s="8" t="n"/>
      <c r="DA272" s="8" t="n"/>
      <c r="DB272" s="8" t="n"/>
      <c r="DC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8" t="n"/>
      <c r="AJ273" s="8" t="n"/>
      <c r="AK273" s="8" t="n"/>
      <c r="AL273" s="8" t="n"/>
      <c r="AM273" s="8" t="n"/>
      <c r="AN273" s="8" t="n"/>
      <c r="AO273" s="8" t="n"/>
      <c r="AP273" s="8" t="n"/>
      <c r="AQ273" s="8" t="n"/>
      <c r="AR273" s="8" t="n"/>
      <c r="AS273" s="8" t="n"/>
      <c r="AT273" s="8" t="n"/>
      <c r="AU273" s="8" t="n"/>
      <c r="AV273" s="8" t="n"/>
      <c r="AW273" s="8" t="n"/>
      <c r="AX273" s="8" t="n"/>
      <c r="AY273" s="8" t="n"/>
      <c r="AZ273" s="8" t="n"/>
      <c r="BA273" s="8" t="n"/>
      <c r="BB273" s="8" t="n"/>
      <c r="BC273" s="8" t="n"/>
      <c r="BD273" s="8" t="n"/>
      <c r="BE273" s="8" t="n"/>
      <c r="BF273" s="8" t="n"/>
      <c r="BG273" s="8" t="n"/>
      <c r="BH273" s="8" t="n"/>
      <c r="BI273" s="8" t="n"/>
      <c r="BJ273" s="153" t="n">
        <v>193</v>
      </c>
      <c r="BK273" s="153" t="inlineStr">
        <is>
          <t>ELABORACION DE OTROS AZUCARES COMO DE PILONCILLO O CANELA Y AZUCAR DE REMOLACHA</t>
        </is>
      </c>
      <c r="BL273" s="153" t="n"/>
      <c r="BM273" s="153" t="n"/>
      <c r="BN273" s="153" t="n"/>
      <c r="BO273" s="153" t="n"/>
      <c r="BP273" s="153" t="n"/>
      <c r="BQ273" s="153" t="n"/>
      <c r="BR273" s="153" t="n"/>
      <c r="BS273" s="153" t="n"/>
      <c r="BT273" s="153" t="n"/>
      <c r="BU273" s="8" t="n"/>
      <c r="BV273" s="8" t="n"/>
      <c r="BW273" s="8" t="n"/>
      <c r="BX273" s="8" t="n"/>
      <c r="BY273" s="8" t="n"/>
      <c r="BZ273" s="8" t="n"/>
      <c r="CA273" s="8" t="n"/>
      <c r="CB273" s="8" t="n"/>
      <c r="CC273" s="8" t="n"/>
      <c r="CD273" s="8" t="n"/>
      <c r="CE273" s="8" t="n"/>
      <c r="CF273" s="8" t="n"/>
      <c r="CG273" s="8" t="n"/>
      <c r="CH273" s="8" t="n"/>
      <c r="CI273" s="8" t="n"/>
      <c r="CJ273" s="8" t="n"/>
      <c r="CK273" s="8" t="n"/>
      <c r="CL273" s="8" t="n"/>
      <c r="CM273" s="8" t="n"/>
      <c r="CN273" s="8" t="n"/>
      <c r="CO273" s="8" t="n"/>
      <c r="CP273" s="8" t="n"/>
      <c r="CQ273" s="8" t="n"/>
      <c r="CR273" s="8" t="n"/>
      <c r="CS273" s="8" t="n"/>
      <c r="CT273" s="8" t="n"/>
      <c r="CU273" s="8" t="n"/>
      <c r="CV273" s="8" t="n"/>
      <c r="CW273" s="8" t="n"/>
      <c r="CX273" s="8" t="n"/>
      <c r="CY273" s="8" t="n"/>
      <c r="CZ273" s="8" t="n"/>
      <c r="DA273" s="8" t="n"/>
      <c r="DB273" s="8" t="n"/>
      <c r="DC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8" t="n"/>
      <c r="AJ274" s="8" t="n"/>
      <c r="AK274" s="8" t="n"/>
      <c r="AL274" s="8" t="n"/>
      <c r="AM274" s="8" t="n"/>
      <c r="AN274" s="8" t="n"/>
      <c r="AO274" s="8" t="n"/>
      <c r="AP274" s="8" t="n"/>
      <c r="AQ274" s="8" t="n"/>
      <c r="AR274" s="8" t="n"/>
      <c r="AS274" s="8" t="n"/>
      <c r="AT274" s="8" t="n"/>
      <c r="AU274" s="8" t="n"/>
      <c r="AV274" s="8" t="n"/>
      <c r="AW274" s="8" t="n"/>
      <c r="AX274" s="8" t="n"/>
      <c r="AY274" s="8" t="n"/>
      <c r="AZ274" s="8" t="n"/>
      <c r="BA274" s="8" t="n"/>
      <c r="BB274" s="8" t="n"/>
      <c r="BC274" s="8" t="n"/>
      <c r="BD274" s="8" t="n"/>
      <c r="BE274" s="8" t="n"/>
      <c r="BF274" s="8" t="n"/>
      <c r="BG274" s="8" t="n"/>
      <c r="BH274" s="8" t="n"/>
      <c r="BI274" s="8" t="n"/>
      <c r="BJ274" s="153" t="n">
        <v>194</v>
      </c>
      <c r="BK274" s="153" t="inlineStr">
        <is>
          <t>ELABORACION DE CHOCOLATE Y PRODUCTOS DE CHOCOLATE A PARTIR DE CACAO</t>
        </is>
      </c>
      <c r="BL274" s="153" t="n"/>
      <c r="BM274" s="153" t="n"/>
      <c r="BN274" s="153" t="n"/>
      <c r="BO274" s="153" t="n"/>
      <c r="BP274" s="153" t="n"/>
      <c r="BQ274" s="153" t="n"/>
      <c r="BR274" s="153" t="n"/>
      <c r="BS274" s="153" t="n"/>
      <c r="BT274" s="153" t="n"/>
      <c r="BU274" s="8" t="n"/>
      <c r="BV274" s="8" t="n"/>
      <c r="BW274" s="8" t="n"/>
      <c r="BX274" s="8" t="n"/>
      <c r="BY274" s="8" t="n"/>
      <c r="BZ274" s="8" t="n"/>
      <c r="CA274" s="8" t="n"/>
      <c r="CB274" s="8" t="n"/>
      <c r="CC274" s="8" t="n"/>
      <c r="CD274" s="8" t="n"/>
      <c r="CE274" s="8" t="n"/>
      <c r="CF274" s="8" t="n"/>
      <c r="CG274" s="8" t="n"/>
      <c r="CH274" s="8" t="n"/>
      <c r="CI274" s="8" t="n"/>
      <c r="CJ274" s="8" t="n"/>
      <c r="CK274" s="8" t="n"/>
      <c r="CL274" s="8" t="n"/>
      <c r="CM274" s="8" t="n"/>
      <c r="CN274" s="8" t="n"/>
      <c r="CO274" s="8" t="n"/>
      <c r="CP274" s="8" t="n"/>
      <c r="CQ274" s="8" t="n"/>
      <c r="CR274" s="8" t="n"/>
      <c r="CS274" s="8" t="n"/>
      <c r="CT274" s="8" t="n"/>
      <c r="CU274" s="8" t="n"/>
      <c r="CV274" s="8" t="n"/>
      <c r="CW274" s="8" t="n"/>
      <c r="CX274" s="8" t="n"/>
      <c r="CY274" s="8" t="n"/>
      <c r="CZ274" s="8" t="n"/>
      <c r="DA274" s="8" t="n"/>
      <c r="DB274" s="8" t="n"/>
      <c r="DC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  <c r="AM275" s="8" t="n"/>
      <c r="AN275" s="8" t="n"/>
      <c r="AO275" s="8" t="n"/>
      <c r="AP275" s="8" t="n"/>
      <c r="AQ275" s="8" t="n"/>
      <c r="AR275" s="8" t="n"/>
      <c r="AS275" s="8" t="n"/>
      <c r="AT275" s="8" t="n"/>
      <c r="AU275" s="8" t="n"/>
      <c r="AV275" s="8" t="n"/>
      <c r="AW275" s="8" t="n"/>
      <c r="AX275" s="8" t="n"/>
      <c r="AY275" s="8" t="n"/>
      <c r="AZ275" s="8" t="n"/>
      <c r="BA275" s="8" t="n"/>
      <c r="BB275" s="8" t="n"/>
      <c r="BC275" s="8" t="n"/>
      <c r="BD275" s="8" t="n"/>
      <c r="BE275" s="8" t="n"/>
      <c r="BF275" s="8" t="n"/>
      <c r="BG275" s="8" t="n"/>
      <c r="BH275" s="8" t="n"/>
      <c r="BI275" s="8" t="n"/>
      <c r="BJ275" s="153" t="n">
        <v>195</v>
      </c>
      <c r="BK275" s="153" t="inlineStr">
        <is>
          <t>ELABORACION DE PRODUCTOS DE CHOCOLATE A PARTIR DE CHOCOLATE</t>
        </is>
      </c>
      <c r="BL275" s="153" t="n"/>
      <c r="BM275" s="153" t="n"/>
      <c r="BN275" s="153" t="n"/>
      <c r="BO275" s="153" t="n"/>
      <c r="BP275" s="153" t="n"/>
      <c r="BQ275" s="153" t="n"/>
      <c r="BR275" s="153" t="n"/>
      <c r="BS275" s="153" t="n"/>
      <c r="BT275" s="153" t="n"/>
      <c r="BU275" s="8" t="n"/>
      <c r="BV275" s="8" t="n"/>
      <c r="BW275" s="8" t="n"/>
      <c r="BX275" s="8" t="n"/>
      <c r="BY275" s="8" t="n"/>
      <c r="BZ275" s="8" t="n"/>
      <c r="CA275" s="8" t="n"/>
      <c r="CB275" s="8" t="n"/>
      <c r="CC275" s="8" t="n"/>
      <c r="CD275" s="8" t="n"/>
      <c r="CE275" s="8" t="n"/>
      <c r="CF275" s="8" t="n"/>
      <c r="CG275" s="8" t="n"/>
      <c r="CH275" s="8" t="n"/>
      <c r="CI275" s="8" t="n"/>
      <c r="CJ275" s="8" t="n"/>
      <c r="CK275" s="8" t="n"/>
      <c r="CL275" s="8" t="n"/>
      <c r="CM275" s="8" t="n"/>
      <c r="CN275" s="8" t="n"/>
      <c r="CO275" s="8" t="n"/>
      <c r="CP275" s="8" t="n"/>
      <c r="CQ275" s="8" t="n"/>
      <c r="CR275" s="8" t="n"/>
      <c r="CS275" s="8" t="n"/>
      <c r="CT275" s="8" t="n"/>
      <c r="CU275" s="8" t="n"/>
      <c r="CV275" s="8" t="n"/>
      <c r="CW275" s="8" t="n"/>
      <c r="CX275" s="8" t="n"/>
      <c r="CY275" s="8" t="n"/>
      <c r="CZ275" s="8" t="n"/>
      <c r="DA275" s="8" t="n"/>
      <c r="DB275" s="8" t="n"/>
      <c r="DC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  <c r="AM276" s="8" t="n"/>
      <c r="AN276" s="8" t="n"/>
      <c r="AO276" s="8" t="n"/>
      <c r="AP276" s="8" t="n"/>
      <c r="AQ276" s="8" t="n"/>
      <c r="AR276" s="8" t="n"/>
      <c r="AS276" s="8" t="n"/>
      <c r="AT276" s="8" t="n"/>
      <c r="AU276" s="8" t="n"/>
      <c r="AV276" s="8" t="n"/>
      <c r="AW276" s="8" t="n"/>
      <c r="AX276" s="8" t="n"/>
      <c r="AY276" s="8" t="n"/>
      <c r="AZ276" s="8" t="n"/>
      <c r="BA276" s="8" t="n"/>
      <c r="BB276" s="8" t="n"/>
      <c r="BC276" s="8" t="n"/>
      <c r="BD276" s="8" t="n"/>
      <c r="BE276" s="8" t="n"/>
      <c r="BF276" s="8" t="n"/>
      <c r="BG276" s="8" t="n"/>
      <c r="BH276" s="8" t="n"/>
      <c r="BI276" s="8" t="n"/>
      <c r="BJ276" s="153" t="n">
        <v>196</v>
      </c>
      <c r="BK276" s="153" t="inlineStr">
        <is>
          <t>ELABORACION DE DULCES, CHICLES Y PRODUCTOS DE CONFITERIA QUE NO SEAN DE CHOCOLATE</t>
        </is>
      </c>
      <c r="BL276" s="153" t="n"/>
      <c r="BM276" s="153" t="n"/>
      <c r="BN276" s="153" t="n"/>
      <c r="BO276" s="153" t="n"/>
      <c r="BP276" s="153" t="n"/>
      <c r="BQ276" s="153" t="n"/>
      <c r="BR276" s="153" t="n"/>
      <c r="BS276" s="153" t="n"/>
      <c r="BT276" s="153" t="n"/>
      <c r="BU276" s="8" t="n"/>
      <c r="BV276" s="8" t="n"/>
      <c r="BW276" s="8" t="n"/>
      <c r="BX276" s="8" t="n"/>
      <c r="BY276" s="8" t="n"/>
      <c r="BZ276" s="8" t="n"/>
      <c r="CA276" s="8" t="n"/>
      <c r="CB276" s="8" t="n"/>
      <c r="CC276" s="8" t="n"/>
      <c r="CD276" s="8" t="n"/>
      <c r="CE276" s="8" t="n"/>
      <c r="CF276" s="8" t="n"/>
      <c r="CG276" s="8" t="n"/>
      <c r="CH276" s="8" t="n"/>
      <c r="CI276" s="8" t="n"/>
      <c r="CJ276" s="8" t="n"/>
      <c r="CK276" s="8" t="n"/>
      <c r="CL276" s="8" t="n"/>
      <c r="CM276" s="8" t="n"/>
      <c r="CN276" s="8" t="n"/>
      <c r="CO276" s="8" t="n"/>
      <c r="CP276" s="8" t="n"/>
      <c r="CQ276" s="8" t="n"/>
      <c r="CR276" s="8" t="n"/>
      <c r="CS276" s="8" t="n"/>
      <c r="CT276" s="8" t="n"/>
      <c r="CU276" s="8" t="n"/>
      <c r="CV276" s="8" t="n"/>
      <c r="CW276" s="8" t="n"/>
      <c r="CX276" s="8" t="n"/>
      <c r="CY276" s="8" t="n"/>
      <c r="CZ276" s="8" t="n"/>
      <c r="DA276" s="8" t="n"/>
      <c r="DB276" s="8" t="n"/>
      <c r="DC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/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n"/>
      <c r="BH277" s="8" t="n"/>
      <c r="BI277" s="8" t="n"/>
      <c r="BJ277" s="153" t="n">
        <v>197</v>
      </c>
      <c r="BK277" s="153" t="inlineStr">
        <is>
          <t>CONGELACION DE FRUTAS Y VERDURAS</t>
        </is>
      </c>
      <c r="BL277" s="153" t="n"/>
      <c r="BM277" s="153" t="n"/>
      <c r="BN277" s="153" t="n"/>
      <c r="BO277" s="153" t="n"/>
      <c r="BP277" s="153" t="n"/>
      <c r="BQ277" s="153" t="n"/>
      <c r="BR277" s="153" t="n"/>
      <c r="BS277" s="153" t="n"/>
      <c r="BT277" s="153" t="n"/>
      <c r="BU277" s="8" t="n"/>
      <c r="BV277" s="8" t="n"/>
      <c r="BW277" s="8" t="n"/>
      <c r="BX277" s="8" t="n"/>
      <c r="BY277" s="8" t="n"/>
      <c r="BZ277" s="8" t="n"/>
      <c r="CA277" s="8" t="n"/>
      <c r="CB277" s="8" t="n"/>
      <c r="CC277" s="8" t="n"/>
      <c r="CD277" s="8" t="n"/>
      <c r="CE277" s="8" t="n"/>
      <c r="CF277" s="8" t="n"/>
      <c r="CG277" s="8" t="n"/>
      <c r="CH277" s="8" t="n"/>
      <c r="CI277" s="8" t="n"/>
      <c r="CJ277" s="8" t="n"/>
      <c r="CK277" s="8" t="n"/>
      <c r="CL277" s="8" t="n"/>
      <c r="CM277" s="8" t="n"/>
      <c r="CN277" s="8" t="n"/>
      <c r="CO277" s="8" t="n"/>
      <c r="CP277" s="8" t="n"/>
      <c r="CQ277" s="8" t="n"/>
      <c r="CR277" s="8" t="n"/>
      <c r="CS277" s="8" t="n"/>
      <c r="CT277" s="8" t="n"/>
      <c r="CU277" s="8" t="n"/>
      <c r="CV277" s="8" t="n"/>
      <c r="CW277" s="8" t="n"/>
      <c r="CX277" s="8" t="n"/>
      <c r="CY277" s="8" t="n"/>
      <c r="CZ277" s="8" t="n"/>
      <c r="DA277" s="8" t="n"/>
      <c r="DB277" s="8" t="n"/>
      <c r="DC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8" t="n"/>
      <c r="AK278" s="8" t="n"/>
      <c r="AL278" s="8" t="n"/>
      <c r="AM278" s="8" t="n"/>
      <c r="AN278" s="8" t="n"/>
      <c r="AO278" s="8" t="n"/>
      <c r="AP278" s="8" t="n"/>
      <c r="AQ278" s="8" t="n"/>
      <c r="AR278" s="8" t="n"/>
      <c r="AS278" s="8" t="n"/>
      <c r="AT278" s="8" t="n"/>
      <c r="AU278" s="8" t="n"/>
      <c r="AV278" s="8" t="n"/>
      <c r="AW278" s="8" t="n"/>
      <c r="AX278" s="8" t="n"/>
      <c r="AY278" s="8" t="n"/>
      <c r="AZ278" s="8" t="n"/>
      <c r="BA278" s="8" t="n"/>
      <c r="BB278" s="8" t="n"/>
      <c r="BC278" s="8" t="n"/>
      <c r="BD278" s="8" t="n"/>
      <c r="BE278" s="8" t="n"/>
      <c r="BF278" s="8" t="n"/>
      <c r="BG278" s="8" t="n"/>
      <c r="BH278" s="8" t="n"/>
      <c r="BI278" s="8" t="n"/>
      <c r="BJ278" s="153" t="n">
        <v>198</v>
      </c>
      <c r="BK278" s="153" t="inlineStr">
        <is>
          <t>CONGELACION DE GUISOS</t>
        </is>
      </c>
      <c r="BL278" s="153" t="n"/>
      <c r="BM278" s="153" t="n"/>
      <c r="BN278" s="153" t="n"/>
      <c r="BO278" s="153" t="n"/>
      <c r="BP278" s="153" t="n"/>
      <c r="BQ278" s="153" t="n"/>
      <c r="BR278" s="153" t="n"/>
      <c r="BS278" s="153" t="n"/>
      <c r="BT278" s="153" t="n"/>
      <c r="BU278" s="8" t="n"/>
      <c r="BV278" s="8" t="n"/>
      <c r="BW278" s="8" t="n"/>
      <c r="BX278" s="8" t="n"/>
      <c r="BY278" s="8" t="n"/>
      <c r="BZ278" s="8" t="n"/>
      <c r="CA278" s="8" t="n"/>
      <c r="CB278" s="8" t="n"/>
      <c r="CC278" s="8" t="n"/>
      <c r="CD278" s="8" t="n"/>
      <c r="CE278" s="8" t="n"/>
      <c r="CF278" s="8" t="n"/>
      <c r="CG278" s="8" t="n"/>
      <c r="CH278" s="8" t="n"/>
      <c r="CI278" s="8" t="n"/>
      <c r="CJ278" s="8" t="n"/>
      <c r="CK278" s="8" t="n"/>
      <c r="CL278" s="8" t="n"/>
      <c r="CM278" s="8" t="n"/>
      <c r="CN278" s="8" t="n"/>
      <c r="CO278" s="8" t="n"/>
      <c r="CP278" s="8" t="n"/>
      <c r="CQ278" s="8" t="n"/>
      <c r="CR278" s="8" t="n"/>
      <c r="CS278" s="8" t="n"/>
      <c r="CT278" s="8" t="n"/>
      <c r="CU278" s="8" t="n"/>
      <c r="CV278" s="8" t="n"/>
      <c r="CW278" s="8" t="n"/>
      <c r="CX278" s="8" t="n"/>
      <c r="CY278" s="8" t="n"/>
      <c r="CZ278" s="8" t="n"/>
      <c r="DA278" s="8" t="n"/>
      <c r="DB278" s="8" t="n"/>
      <c r="DC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8" t="n"/>
      <c r="AJ279" s="8" t="n"/>
      <c r="AK279" s="8" t="n"/>
      <c r="AL279" s="8" t="n"/>
      <c r="AM279" s="8" t="n"/>
      <c r="AN279" s="8" t="n"/>
      <c r="AO279" s="8" t="n"/>
      <c r="AP279" s="8" t="n"/>
      <c r="AQ279" s="8" t="n"/>
      <c r="AR279" s="8" t="n"/>
      <c r="AS279" s="8" t="n"/>
      <c r="AT279" s="8" t="n"/>
      <c r="AU279" s="8" t="n"/>
      <c r="AV279" s="8" t="n"/>
      <c r="AW279" s="8" t="n"/>
      <c r="AX279" s="8" t="n"/>
      <c r="AY279" s="8" t="n"/>
      <c r="AZ279" s="8" t="n"/>
      <c r="BA279" s="8" t="n"/>
      <c r="BB279" s="8" t="n"/>
      <c r="BC279" s="8" t="n"/>
      <c r="BD279" s="8" t="n"/>
      <c r="BE279" s="8" t="n"/>
      <c r="BF279" s="8" t="n"/>
      <c r="BG279" s="8" t="n"/>
      <c r="BH279" s="8" t="n"/>
      <c r="BI279" s="8" t="n"/>
      <c r="BJ279" s="153" t="n">
        <v>199</v>
      </c>
      <c r="BK279" s="153" t="inlineStr">
        <is>
          <t>DESHIDRATACION DE FRUTAS Y VERDURAS</t>
        </is>
      </c>
      <c r="BL279" s="153" t="n"/>
      <c r="BM279" s="153" t="n"/>
      <c r="BN279" s="153" t="n"/>
      <c r="BO279" s="153" t="n"/>
      <c r="BP279" s="153" t="n"/>
      <c r="BQ279" s="153" t="n"/>
      <c r="BR279" s="153" t="n"/>
      <c r="BS279" s="153" t="n"/>
      <c r="BT279" s="153" t="n"/>
      <c r="BU279" s="8" t="n"/>
      <c r="BV279" s="8" t="n"/>
      <c r="BW279" s="8" t="n"/>
      <c r="BX279" s="8" t="n"/>
      <c r="BY279" s="8" t="n"/>
      <c r="BZ279" s="8" t="n"/>
      <c r="CA279" s="8" t="n"/>
      <c r="CB279" s="8" t="n"/>
      <c r="CC279" s="8" t="n"/>
      <c r="CD279" s="8" t="n"/>
      <c r="CE279" s="8" t="n"/>
      <c r="CF279" s="8" t="n"/>
      <c r="CG279" s="8" t="n"/>
      <c r="CH279" s="8" t="n"/>
      <c r="CI279" s="8" t="n"/>
      <c r="CJ279" s="8" t="n"/>
      <c r="CK279" s="8" t="n"/>
      <c r="CL279" s="8" t="n"/>
      <c r="CM279" s="8" t="n"/>
      <c r="CN279" s="8" t="n"/>
      <c r="CO279" s="8" t="n"/>
      <c r="CP279" s="8" t="n"/>
      <c r="CQ279" s="8" t="n"/>
      <c r="CR279" s="8" t="n"/>
      <c r="CS279" s="8" t="n"/>
      <c r="CT279" s="8" t="n"/>
      <c r="CU279" s="8" t="n"/>
      <c r="CV279" s="8" t="n"/>
      <c r="CW279" s="8" t="n"/>
      <c r="CX279" s="8" t="n"/>
      <c r="CY279" s="8" t="n"/>
      <c r="CZ279" s="8" t="n"/>
      <c r="DA279" s="8" t="n"/>
      <c r="DB279" s="8" t="n"/>
      <c r="DC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  <c r="AM280" s="8" t="n"/>
      <c r="AN280" s="8" t="n"/>
      <c r="AO280" s="8" t="n"/>
      <c r="AP280" s="8" t="n"/>
      <c r="AQ280" s="8" t="n"/>
      <c r="AR280" s="8" t="n"/>
      <c r="AS280" s="8" t="n"/>
      <c r="AT280" s="8" t="n"/>
      <c r="AU280" s="8" t="n"/>
      <c r="AV280" s="8" t="n"/>
      <c r="AW280" s="8" t="n"/>
      <c r="AX280" s="8" t="n"/>
      <c r="AY280" s="8" t="n"/>
      <c r="AZ280" s="8" t="n"/>
      <c r="BA280" s="8" t="n"/>
      <c r="BB280" s="8" t="n"/>
      <c r="BC280" s="8" t="n"/>
      <c r="BD280" s="8" t="n"/>
      <c r="BE280" s="8" t="n"/>
      <c r="BF280" s="8" t="n"/>
      <c r="BG280" s="8" t="n"/>
      <c r="BH280" s="8" t="n"/>
      <c r="BI280" s="8" t="n"/>
      <c r="BJ280" s="153" t="n">
        <v>200</v>
      </c>
      <c r="BK280" s="153" t="inlineStr">
        <is>
          <t>CONSERVACION DE FRUTAS Y VERDURAS POR PROCESOS DISTINTOS A LA CONGELACION Y LA DESHIDRATACION. INCLUYE LA ELABORACION DE JUGOS</t>
        </is>
      </c>
      <c r="BL280" s="153" t="n"/>
      <c r="BM280" s="153" t="n"/>
      <c r="BN280" s="153" t="n"/>
      <c r="BO280" s="153" t="n"/>
      <c r="BP280" s="153" t="n"/>
      <c r="BQ280" s="153" t="n"/>
      <c r="BR280" s="153" t="n"/>
      <c r="BS280" s="153" t="n"/>
      <c r="BT280" s="153" t="n"/>
      <c r="BU280" s="8" t="n"/>
      <c r="BV280" s="8" t="n"/>
      <c r="BW280" s="8" t="n"/>
      <c r="BX280" s="8" t="n"/>
      <c r="BY280" s="8" t="n"/>
      <c r="BZ280" s="8" t="n"/>
      <c r="CA280" s="8" t="n"/>
      <c r="CB280" s="8" t="n"/>
      <c r="CC280" s="8" t="n"/>
      <c r="CD280" s="8" t="n"/>
      <c r="CE280" s="8" t="n"/>
      <c r="CF280" s="8" t="n"/>
      <c r="CG280" s="8" t="n"/>
      <c r="CH280" s="8" t="n"/>
      <c r="CI280" s="8" t="n"/>
      <c r="CJ280" s="8" t="n"/>
      <c r="CK280" s="8" t="n"/>
      <c r="CL280" s="8" t="n"/>
      <c r="CM280" s="8" t="n"/>
      <c r="CN280" s="8" t="n"/>
      <c r="CO280" s="8" t="n"/>
      <c r="CP280" s="8" t="n"/>
      <c r="CQ280" s="8" t="n"/>
      <c r="CR280" s="8" t="n"/>
      <c r="CS280" s="8" t="n"/>
      <c r="CT280" s="8" t="n"/>
      <c r="CU280" s="8" t="n"/>
      <c r="CV280" s="8" t="n"/>
      <c r="CW280" s="8" t="n"/>
      <c r="CX280" s="8" t="n"/>
      <c r="CY280" s="8" t="n"/>
      <c r="CZ280" s="8" t="n"/>
      <c r="DA280" s="8" t="n"/>
      <c r="DB280" s="8" t="n"/>
      <c r="DC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  <c r="AJ281" s="8" t="n"/>
      <c r="AK281" s="8" t="n"/>
      <c r="AL281" s="8" t="n"/>
      <c r="AM281" s="8" t="n"/>
      <c r="AN281" s="8" t="n"/>
      <c r="AO281" s="8" t="n"/>
      <c r="AP281" s="8" t="n"/>
      <c r="AQ281" s="8" t="n"/>
      <c r="AR281" s="8" t="n"/>
      <c r="AS281" s="8" t="n"/>
      <c r="AT281" s="8" t="n"/>
      <c r="AU281" s="8" t="n"/>
      <c r="AV281" s="8" t="n"/>
      <c r="AW281" s="8" t="n"/>
      <c r="AX281" s="8" t="n"/>
      <c r="AY281" s="8" t="n"/>
      <c r="AZ281" s="8" t="n"/>
      <c r="BA281" s="8" t="n"/>
      <c r="BB281" s="8" t="n"/>
      <c r="BC281" s="8" t="n"/>
      <c r="BD281" s="8" t="n"/>
      <c r="BE281" s="8" t="n"/>
      <c r="BF281" s="8" t="n"/>
      <c r="BG281" s="8" t="n"/>
      <c r="BH281" s="8" t="n"/>
      <c r="BI281" s="8" t="n"/>
      <c r="BJ281" s="153" t="n">
        <v>201</v>
      </c>
      <c r="BK281" s="153" t="inlineStr">
        <is>
          <t>CONSERVACION DE GUISOS POR PROCESOS DISTINTOS A LA CONGELACION</t>
        </is>
      </c>
      <c r="BL281" s="153" t="n"/>
      <c r="BM281" s="153" t="n"/>
      <c r="BN281" s="153" t="n"/>
      <c r="BO281" s="153" t="n"/>
      <c r="BP281" s="153" t="n"/>
      <c r="BQ281" s="153" t="n"/>
      <c r="BR281" s="153" t="n"/>
      <c r="BS281" s="153" t="n"/>
      <c r="BT281" s="153" t="n"/>
      <c r="BU281" s="8" t="n"/>
      <c r="BV281" s="8" t="n"/>
      <c r="BW281" s="8" t="n"/>
      <c r="BX281" s="8" t="n"/>
      <c r="BY281" s="8" t="n"/>
      <c r="BZ281" s="8" t="n"/>
      <c r="CA281" s="8" t="n"/>
      <c r="CB281" s="8" t="n"/>
      <c r="CC281" s="8" t="n"/>
      <c r="CD281" s="8" t="n"/>
      <c r="CE281" s="8" t="n"/>
      <c r="CF281" s="8" t="n"/>
      <c r="CG281" s="8" t="n"/>
      <c r="CH281" s="8" t="n"/>
      <c r="CI281" s="8" t="n"/>
      <c r="CJ281" s="8" t="n"/>
      <c r="CK281" s="8" t="n"/>
      <c r="CL281" s="8" t="n"/>
      <c r="CM281" s="8" t="n"/>
      <c r="CN281" s="8" t="n"/>
      <c r="CO281" s="8" t="n"/>
      <c r="CP281" s="8" t="n"/>
      <c r="CQ281" s="8" t="n"/>
      <c r="CR281" s="8" t="n"/>
      <c r="CS281" s="8" t="n"/>
      <c r="CT281" s="8" t="n"/>
      <c r="CU281" s="8" t="n"/>
      <c r="CV281" s="8" t="n"/>
      <c r="CW281" s="8" t="n"/>
      <c r="CX281" s="8" t="n"/>
      <c r="CY281" s="8" t="n"/>
      <c r="CZ281" s="8" t="n"/>
      <c r="DA281" s="8" t="n"/>
      <c r="DB281" s="8" t="n"/>
      <c r="DC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  <c r="AM282" s="8" t="n"/>
      <c r="AN282" s="8" t="n"/>
      <c r="AO282" s="8" t="n"/>
      <c r="AP282" s="8" t="n"/>
      <c r="AQ282" s="8" t="n"/>
      <c r="AR282" s="8" t="n"/>
      <c r="AS282" s="8" t="n"/>
      <c r="AT282" s="8" t="n"/>
      <c r="AU282" s="8" t="n"/>
      <c r="AV282" s="8" t="n"/>
      <c r="AW282" s="8" t="n"/>
      <c r="AX282" s="8" t="n"/>
      <c r="AY282" s="8" t="n"/>
      <c r="AZ282" s="8" t="n"/>
      <c r="BA282" s="8" t="n"/>
      <c r="BB282" s="8" t="n"/>
      <c r="BC282" s="8" t="n"/>
      <c r="BD282" s="8" t="n"/>
      <c r="BE282" s="8" t="n"/>
      <c r="BF282" s="8" t="n"/>
      <c r="BG282" s="8" t="n"/>
      <c r="BH282" s="8" t="n"/>
      <c r="BI282" s="8" t="n"/>
      <c r="BJ282" s="153" t="n">
        <v>202</v>
      </c>
      <c r="BK282" s="153" t="inlineStr">
        <is>
          <t>TRATAMIENTO Y ENVASADO DE LECHE LIQUIDA</t>
        </is>
      </c>
      <c r="BL282" s="153" t="n"/>
      <c r="BM282" s="153" t="n"/>
      <c r="BN282" s="153" t="n"/>
      <c r="BO282" s="153" t="n"/>
      <c r="BP282" s="153" t="n"/>
      <c r="BQ282" s="153" t="n"/>
      <c r="BR282" s="153" t="n"/>
      <c r="BS282" s="153" t="n"/>
      <c r="BT282" s="153" t="n"/>
      <c r="BU282" s="8" t="n"/>
      <c r="BV282" s="8" t="n"/>
      <c r="BW282" s="8" t="n"/>
      <c r="BX282" s="8" t="n"/>
      <c r="BY282" s="8" t="n"/>
      <c r="BZ282" s="8" t="n"/>
      <c r="CA282" s="8" t="n"/>
      <c r="CB282" s="8" t="n"/>
      <c r="CC282" s="8" t="n"/>
      <c r="CD282" s="8" t="n"/>
      <c r="CE282" s="8" t="n"/>
      <c r="CF282" s="8" t="n"/>
      <c r="CG282" s="8" t="n"/>
      <c r="CH282" s="8" t="n"/>
      <c r="CI282" s="8" t="n"/>
      <c r="CJ282" s="8" t="n"/>
      <c r="CK282" s="8" t="n"/>
      <c r="CL282" s="8" t="n"/>
      <c r="CM282" s="8" t="n"/>
      <c r="CN282" s="8" t="n"/>
      <c r="CO282" s="8" t="n"/>
      <c r="CP282" s="8" t="n"/>
      <c r="CQ282" s="8" t="n"/>
      <c r="CR282" s="8" t="n"/>
      <c r="CS282" s="8" t="n"/>
      <c r="CT282" s="8" t="n"/>
      <c r="CU282" s="8" t="n"/>
      <c r="CV282" s="8" t="n"/>
      <c r="CW282" s="8" t="n"/>
      <c r="CX282" s="8" t="n"/>
      <c r="CY282" s="8" t="n"/>
      <c r="CZ282" s="8" t="n"/>
      <c r="DA282" s="8" t="n"/>
      <c r="DB282" s="8" t="n"/>
      <c r="DC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8" t="n"/>
      <c r="AJ283" s="8" t="n"/>
      <c r="AK283" s="8" t="n"/>
      <c r="AL283" s="8" t="n"/>
      <c r="AM283" s="8" t="n"/>
      <c r="AN283" s="8" t="n"/>
      <c r="AO283" s="8" t="n"/>
      <c r="AP283" s="8" t="n"/>
      <c r="AQ283" s="8" t="n"/>
      <c r="AR283" s="8" t="n"/>
      <c r="AS283" s="8" t="n"/>
      <c r="AT283" s="8" t="n"/>
      <c r="AU283" s="8" t="n"/>
      <c r="AV283" s="8" t="n"/>
      <c r="AW283" s="8" t="n"/>
      <c r="AX283" s="8" t="n"/>
      <c r="AY283" s="8" t="n"/>
      <c r="AZ283" s="8" t="n"/>
      <c r="BA283" s="8" t="n"/>
      <c r="BB283" s="8" t="n"/>
      <c r="BC283" s="8" t="n"/>
      <c r="BD283" s="8" t="n"/>
      <c r="BE283" s="8" t="n"/>
      <c r="BF283" s="8" t="n"/>
      <c r="BG283" s="8" t="n"/>
      <c r="BH283" s="8" t="n"/>
      <c r="BI283" s="8" t="n"/>
      <c r="BJ283" s="153" t="n">
        <v>203</v>
      </c>
      <c r="BK283" s="153" t="inlineStr">
        <is>
          <t>ELABORACION DE LECHE EN POLVO, CONDENSADA Y EVAPORADA</t>
        </is>
      </c>
      <c r="BL283" s="153" t="n"/>
      <c r="BM283" s="153" t="n"/>
      <c r="BN283" s="153" t="n"/>
      <c r="BO283" s="153" t="n"/>
      <c r="BP283" s="153" t="n"/>
      <c r="BQ283" s="153" t="n"/>
      <c r="BR283" s="153" t="n"/>
      <c r="BS283" s="153" t="n"/>
      <c r="BT283" s="153" t="n"/>
      <c r="BU283" s="8" t="n"/>
      <c r="BV283" s="8" t="n"/>
      <c r="BW283" s="8" t="n"/>
      <c r="BX283" s="8" t="n"/>
      <c r="BY283" s="8" t="n"/>
      <c r="BZ283" s="8" t="n"/>
      <c r="CA283" s="8" t="n"/>
      <c r="CB283" s="8" t="n"/>
      <c r="CC283" s="8" t="n"/>
      <c r="CD283" s="8" t="n"/>
      <c r="CE283" s="8" t="n"/>
      <c r="CF283" s="8" t="n"/>
      <c r="CG283" s="8" t="n"/>
      <c r="CH283" s="8" t="n"/>
      <c r="CI283" s="8" t="n"/>
      <c r="CJ283" s="8" t="n"/>
      <c r="CK283" s="8" t="n"/>
      <c r="CL283" s="8" t="n"/>
      <c r="CM283" s="8" t="n"/>
      <c r="CN283" s="8" t="n"/>
      <c r="CO283" s="8" t="n"/>
      <c r="CP283" s="8" t="n"/>
      <c r="CQ283" s="8" t="n"/>
      <c r="CR283" s="8" t="n"/>
      <c r="CS283" s="8" t="n"/>
      <c r="CT283" s="8" t="n"/>
      <c r="CU283" s="8" t="n"/>
      <c r="CV283" s="8" t="n"/>
      <c r="CW283" s="8" t="n"/>
      <c r="CX283" s="8" t="n"/>
      <c r="CY283" s="8" t="n"/>
      <c r="CZ283" s="8" t="n"/>
      <c r="DA283" s="8" t="n"/>
      <c r="DB283" s="8" t="n"/>
      <c r="DC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  <c r="AJ284" s="8" t="n"/>
      <c r="AK284" s="8" t="n"/>
      <c r="AL284" s="8" t="n"/>
      <c r="AM284" s="8" t="n"/>
      <c r="AN284" s="8" t="n"/>
      <c r="AO284" s="8" t="n"/>
      <c r="AP284" s="8" t="n"/>
      <c r="AQ284" s="8" t="n"/>
      <c r="AR284" s="8" t="n"/>
      <c r="AS284" s="8" t="n"/>
      <c r="AT284" s="8" t="n"/>
      <c r="AU284" s="8" t="n"/>
      <c r="AV284" s="8" t="n"/>
      <c r="AW284" s="8" t="n"/>
      <c r="AX284" s="8" t="n"/>
      <c r="AY284" s="8" t="n"/>
      <c r="AZ284" s="8" t="n"/>
      <c r="BA284" s="8" t="n"/>
      <c r="BB284" s="8" t="n"/>
      <c r="BC284" s="8" t="n"/>
      <c r="BD284" s="8" t="n"/>
      <c r="BE284" s="8" t="n"/>
      <c r="BF284" s="8" t="n"/>
      <c r="BG284" s="8" t="n"/>
      <c r="BH284" s="8" t="n"/>
      <c r="BI284" s="8" t="n"/>
      <c r="BJ284" s="153" t="n">
        <v>204</v>
      </c>
      <c r="BK284" s="153" t="inlineStr">
        <is>
          <t>ELABORACION DE DERIVADOS Y FERMENTOS LACTEOS</t>
        </is>
      </c>
      <c r="BL284" s="153" t="n"/>
      <c r="BM284" s="153" t="n"/>
      <c r="BN284" s="153" t="n"/>
      <c r="BO284" s="153" t="n"/>
      <c r="BP284" s="153" t="n"/>
      <c r="BQ284" s="153" t="n"/>
      <c r="BR284" s="153" t="n"/>
      <c r="BS284" s="153" t="n"/>
      <c r="BT284" s="153" t="n"/>
      <c r="BU284" s="8" t="n"/>
      <c r="BV284" s="8" t="n"/>
      <c r="BW284" s="8" t="n"/>
      <c r="BX284" s="8" t="n"/>
      <c r="BY284" s="8" t="n"/>
      <c r="BZ284" s="8" t="n"/>
      <c r="CA284" s="8" t="n"/>
      <c r="CB284" s="8" t="n"/>
      <c r="CC284" s="8" t="n"/>
      <c r="CD284" s="8" t="n"/>
      <c r="CE284" s="8" t="n"/>
      <c r="CF284" s="8" t="n"/>
      <c r="CG284" s="8" t="n"/>
      <c r="CH284" s="8" t="n"/>
      <c r="CI284" s="8" t="n"/>
      <c r="CJ284" s="8" t="n"/>
      <c r="CK284" s="8" t="n"/>
      <c r="CL284" s="8" t="n"/>
      <c r="CM284" s="8" t="n"/>
      <c r="CN284" s="8" t="n"/>
      <c r="CO284" s="8" t="n"/>
      <c r="CP284" s="8" t="n"/>
      <c r="CQ284" s="8" t="n"/>
      <c r="CR284" s="8" t="n"/>
      <c r="CS284" s="8" t="n"/>
      <c r="CT284" s="8" t="n"/>
      <c r="CU284" s="8" t="n"/>
      <c r="CV284" s="8" t="n"/>
      <c r="CW284" s="8" t="n"/>
      <c r="CX284" s="8" t="n"/>
      <c r="CY284" s="8" t="n"/>
      <c r="CZ284" s="8" t="n"/>
      <c r="DA284" s="8" t="n"/>
      <c r="DB284" s="8" t="n"/>
      <c r="DC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8" t="n"/>
      <c r="AJ285" s="8" t="n"/>
      <c r="AK285" s="8" t="n"/>
      <c r="AL285" s="8" t="n"/>
      <c r="AM285" s="8" t="n"/>
      <c r="AN285" s="8" t="n"/>
      <c r="AO285" s="8" t="n"/>
      <c r="AP285" s="8" t="n"/>
      <c r="AQ285" s="8" t="n"/>
      <c r="AR285" s="8" t="n"/>
      <c r="AS285" s="8" t="n"/>
      <c r="AT285" s="8" t="n"/>
      <c r="AU285" s="8" t="n"/>
      <c r="AV285" s="8" t="n"/>
      <c r="AW285" s="8" t="n"/>
      <c r="AX285" s="8" t="n"/>
      <c r="AY285" s="8" t="n"/>
      <c r="AZ285" s="8" t="n"/>
      <c r="BA285" s="8" t="n"/>
      <c r="BB285" s="8" t="n"/>
      <c r="BC285" s="8" t="n"/>
      <c r="BD285" s="8" t="n"/>
      <c r="BE285" s="8" t="n"/>
      <c r="BF285" s="8" t="n"/>
      <c r="BG285" s="8" t="n"/>
      <c r="BH285" s="8" t="n"/>
      <c r="BI285" s="8" t="n"/>
      <c r="BJ285" s="153" t="n">
        <v>205</v>
      </c>
      <c r="BK285" s="153" t="inlineStr">
        <is>
          <t>ELABORACION DE HELADOS Y PALETAS</t>
        </is>
      </c>
      <c r="BL285" s="153" t="n"/>
      <c r="BM285" s="153" t="n"/>
      <c r="BN285" s="153" t="n"/>
      <c r="BO285" s="153" t="n"/>
      <c r="BP285" s="153" t="n"/>
      <c r="BQ285" s="153" t="n"/>
      <c r="BR285" s="153" t="n"/>
      <c r="BS285" s="153" t="n"/>
      <c r="BT285" s="153" t="n"/>
      <c r="BU285" s="8" t="n"/>
      <c r="BV285" s="8" t="n"/>
      <c r="BW285" s="8" t="n"/>
      <c r="BX285" s="8" t="n"/>
      <c r="BY285" s="8" t="n"/>
      <c r="BZ285" s="8" t="n"/>
      <c r="CA285" s="8" t="n"/>
      <c r="CB285" s="8" t="n"/>
      <c r="CC285" s="8" t="n"/>
      <c r="CD285" s="8" t="n"/>
      <c r="CE285" s="8" t="n"/>
      <c r="CF285" s="8" t="n"/>
      <c r="CG285" s="8" t="n"/>
      <c r="CH285" s="8" t="n"/>
      <c r="CI285" s="8" t="n"/>
      <c r="CJ285" s="8" t="n"/>
      <c r="CK285" s="8" t="n"/>
      <c r="CL285" s="8" t="n"/>
      <c r="CM285" s="8" t="n"/>
      <c r="CN285" s="8" t="n"/>
      <c r="CO285" s="8" t="n"/>
      <c r="CP285" s="8" t="n"/>
      <c r="CQ285" s="8" t="n"/>
      <c r="CR285" s="8" t="n"/>
      <c r="CS285" s="8" t="n"/>
      <c r="CT285" s="8" t="n"/>
      <c r="CU285" s="8" t="n"/>
      <c r="CV285" s="8" t="n"/>
      <c r="CW285" s="8" t="n"/>
      <c r="CX285" s="8" t="n"/>
      <c r="CY285" s="8" t="n"/>
      <c r="CZ285" s="8" t="n"/>
      <c r="DA285" s="8" t="n"/>
      <c r="DB285" s="8" t="n"/>
      <c r="DC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8" t="n"/>
      <c r="AM286" s="8" t="n"/>
      <c r="AN286" s="8" t="n"/>
      <c r="AO286" s="8" t="n"/>
      <c r="AP286" s="8" t="n"/>
      <c r="AQ286" s="8" t="n"/>
      <c r="AR286" s="8" t="n"/>
      <c r="AS286" s="8" t="n"/>
      <c r="AT286" s="8" t="n"/>
      <c r="AU286" s="8" t="n"/>
      <c r="AV286" s="8" t="n"/>
      <c r="AW286" s="8" t="n"/>
      <c r="AX286" s="8" t="n"/>
      <c r="AY286" s="8" t="n"/>
      <c r="AZ286" s="8" t="n"/>
      <c r="BA286" s="8" t="n"/>
      <c r="BB286" s="8" t="n"/>
      <c r="BC286" s="8" t="n"/>
      <c r="BD286" s="8" t="n"/>
      <c r="BE286" s="8" t="n"/>
      <c r="BF286" s="8" t="n"/>
      <c r="BG286" s="8" t="n"/>
      <c r="BH286" s="8" t="n"/>
      <c r="BI286" s="8" t="n"/>
      <c r="BJ286" s="153" t="n">
        <v>206</v>
      </c>
      <c r="BK286" s="153" t="inlineStr">
        <is>
          <t>MATANZA DE GANADO Y AVES</t>
        </is>
      </c>
      <c r="BL286" s="153" t="n"/>
      <c r="BM286" s="153" t="n"/>
      <c r="BN286" s="153" t="n"/>
      <c r="BO286" s="153" t="n"/>
      <c r="BP286" s="153" t="n"/>
      <c r="BQ286" s="153" t="n"/>
      <c r="BR286" s="153" t="n"/>
      <c r="BS286" s="153" t="n"/>
      <c r="BT286" s="153" t="n"/>
      <c r="BU286" s="8" t="n"/>
      <c r="BV286" s="8" t="n"/>
      <c r="BW286" s="8" t="n"/>
      <c r="BX286" s="8" t="n"/>
      <c r="BY286" s="8" t="n"/>
      <c r="BZ286" s="8" t="n"/>
      <c r="CA286" s="8" t="n"/>
      <c r="CB286" s="8" t="n"/>
      <c r="CC286" s="8" t="n"/>
      <c r="CD286" s="8" t="n"/>
      <c r="CE286" s="8" t="n"/>
      <c r="CF286" s="8" t="n"/>
      <c r="CG286" s="8" t="n"/>
      <c r="CH286" s="8" t="n"/>
      <c r="CI286" s="8" t="n"/>
      <c r="CJ286" s="8" t="n"/>
      <c r="CK286" s="8" t="n"/>
      <c r="CL286" s="8" t="n"/>
      <c r="CM286" s="8" t="n"/>
      <c r="CN286" s="8" t="n"/>
      <c r="CO286" s="8" t="n"/>
      <c r="CP286" s="8" t="n"/>
      <c r="CQ286" s="8" t="n"/>
      <c r="CR286" s="8" t="n"/>
      <c r="CS286" s="8" t="n"/>
      <c r="CT286" s="8" t="n"/>
      <c r="CU286" s="8" t="n"/>
      <c r="CV286" s="8" t="n"/>
      <c r="CW286" s="8" t="n"/>
      <c r="CX286" s="8" t="n"/>
      <c r="CY286" s="8" t="n"/>
      <c r="CZ286" s="8" t="n"/>
      <c r="DA286" s="8" t="n"/>
      <c r="DB286" s="8" t="n"/>
      <c r="DC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  <c r="AM287" s="8" t="n"/>
      <c r="AN287" s="8" t="n"/>
      <c r="AO287" s="8" t="n"/>
      <c r="AP287" s="8" t="n"/>
      <c r="AQ287" s="8" t="n"/>
      <c r="AR287" s="8" t="n"/>
      <c r="AS287" s="8" t="n"/>
      <c r="AT287" s="8" t="n"/>
      <c r="AU287" s="8" t="n"/>
      <c r="AV287" s="8" t="n"/>
      <c r="AW287" s="8" t="n"/>
      <c r="AX287" s="8" t="n"/>
      <c r="AY287" s="8" t="n"/>
      <c r="AZ287" s="8" t="n"/>
      <c r="BA287" s="8" t="n"/>
      <c r="BB287" s="8" t="n"/>
      <c r="BC287" s="8" t="n"/>
      <c r="BD287" s="8" t="n"/>
      <c r="BE287" s="8" t="n"/>
      <c r="BF287" s="8" t="n"/>
      <c r="BG287" s="8" t="n"/>
      <c r="BH287" s="8" t="n"/>
      <c r="BI287" s="8" t="n"/>
      <c r="BJ287" s="153" t="n">
        <v>207</v>
      </c>
      <c r="BK287" s="153" t="inlineStr">
        <is>
          <t>CORTE Y EMPACADO DE CARNE DE GANADO Y AVES</t>
        </is>
      </c>
      <c r="BL287" s="153" t="n"/>
      <c r="BM287" s="153" t="n"/>
      <c r="BN287" s="153" t="n"/>
      <c r="BO287" s="153" t="n"/>
      <c r="BP287" s="153" t="n"/>
      <c r="BQ287" s="153" t="n"/>
      <c r="BR287" s="153" t="n"/>
      <c r="BS287" s="153" t="n"/>
      <c r="BT287" s="153" t="n"/>
      <c r="BU287" s="8" t="n"/>
      <c r="BV287" s="8" t="n"/>
      <c r="BW287" s="8" t="n"/>
      <c r="BX287" s="8" t="n"/>
      <c r="BY287" s="8" t="n"/>
      <c r="BZ287" s="8" t="n"/>
      <c r="CA287" s="8" t="n"/>
      <c r="CB287" s="8" t="n"/>
      <c r="CC287" s="8" t="n"/>
      <c r="CD287" s="8" t="n"/>
      <c r="CE287" s="8" t="n"/>
      <c r="CF287" s="8" t="n"/>
      <c r="CG287" s="8" t="n"/>
      <c r="CH287" s="8" t="n"/>
      <c r="CI287" s="8" t="n"/>
      <c r="CJ287" s="8" t="n"/>
      <c r="CK287" s="8" t="n"/>
      <c r="CL287" s="8" t="n"/>
      <c r="CM287" s="8" t="n"/>
      <c r="CN287" s="8" t="n"/>
      <c r="CO287" s="8" t="n"/>
      <c r="CP287" s="8" t="n"/>
      <c r="CQ287" s="8" t="n"/>
      <c r="CR287" s="8" t="n"/>
      <c r="CS287" s="8" t="n"/>
      <c r="CT287" s="8" t="n"/>
      <c r="CU287" s="8" t="n"/>
      <c r="CV287" s="8" t="n"/>
      <c r="CW287" s="8" t="n"/>
      <c r="CX287" s="8" t="n"/>
      <c r="CY287" s="8" t="n"/>
      <c r="CZ287" s="8" t="n"/>
      <c r="DA287" s="8" t="n"/>
      <c r="DB287" s="8" t="n"/>
      <c r="DC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8" t="n"/>
      <c r="AK288" s="8" t="n"/>
      <c r="AL288" s="8" t="n"/>
      <c r="AM288" s="8" t="n"/>
      <c r="AN288" s="8" t="n"/>
      <c r="AO288" s="8" t="n"/>
      <c r="AP288" s="8" t="n"/>
      <c r="AQ288" s="8" t="n"/>
      <c r="AR288" s="8" t="n"/>
      <c r="AS288" s="8" t="n"/>
      <c r="AT288" s="8" t="n"/>
      <c r="AU288" s="8" t="n"/>
      <c r="AV288" s="8" t="n"/>
      <c r="AW288" s="8" t="n"/>
      <c r="AX288" s="8" t="n"/>
      <c r="AY288" s="8" t="n"/>
      <c r="AZ288" s="8" t="n"/>
      <c r="BA288" s="8" t="n"/>
      <c r="BB288" s="8" t="n"/>
      <c r="BC288" s="8" t="n"/>
      <c r="BD288" s="8" t="n"/>
      <c r="BE288" s="8" t="n"/>
      <c r="BF288" s="8" t="n"/>
      <c r="BG288" s="8" t="n"/>
      <c r="BH288" s="8" t="n"/>
      <c r="BI288" s="8" t="n"/>
      <c r="BJ288" s="153" t="n">
        <v>209</v>
      </c>
      <c r="BK288" s="153" t="inlineStr">
        <is>
          <t>PREPARACION DE EMBUTIDOS Y OTRAS CONSERVAS DE CARNE DE GANADO Y AVES</t>
        </is>
      </c>
      <c r="BL288" s="153" t="n"/>
      <c r="BM288" s="153" t="n"/>
      <c r="BN288" s="153" t="n"/>
      <c r="BO288" s="153" t="n"/>
      <c r="BP288" s="153" t="n"/>
      <c r="BQ288" s="153" t="n"/>
      <c r="BR288" s="153" t="n"/>
      <c r="BS288" s="153" t="n"/>
      <c r="BT288" s="153" t="n"/>
      <c r="BU288" s="8" t="n"/>
      <c r="BV288" s="8" t="n"/>
      <c r="BW288" s="8" t="n"/>
      <c r="BX288" s="8" t="n"/>
      <c r="BY288" s="8" t="n"/>
      <c r="BZ288" s="8" t="n"/>
      <c r="CA288" s="8" t="n"/>
      <c r="CB288" s="8" t="n"/>
      <c r="CC288" s="8" t="n"/>
      <c r="CD288" s="8" t="n"/>
      <c r="CE288" s="8" t="n"/>
      <c r="CF288" s="8" t="n"/>
      <c r="CG288" s="8" t="n"/>
      <c r="CH288" s="8" t="n"/>
      <c r="CI288" s="8" t="n"/>
      <c r="CJ288" s="8" t="n"/>
      <c r="CK288" s="8" t="n"/>
      <c r="CL288" s="8" t="n"/>
      <c r="CM288" s="8" t="n"/>
      <c r="CN288" s="8" t="n"/>
      <c r="CO288" s="8" t="n"/>
      <c r="CP288" s="8" t="n"/>
      <c r="CQ288" s="8" t="n"/>
      <c r="CR288" s="8" t="n"/>
      <c r="CS288" s="8" t="n"/>
      <c r="CT288" s="8" t="n"/>
      <c r="CU288" s="8" t="n"/>
      <c r="CV288" s="8" t="n"/>
      <c r="CW288" s="8" t="n"/>
      <c r="CX288" s="8" t="n"/>
      <c r="CY288" s="8" t="n"/>
      <c r="CZ288" s="8" t="n"/>
      <c r="DA288" s="8" t="n"/>
      <c r="DB288" s="8" t="n"/>
      <c r="DC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8" t="n"/>
      <c r="AJ289" s="8" t="n"/>
      <c r="AK289" s="8" t="n"/>
      <c r="AL289" s="8" t="n"/>
      <c r="AM289" s="8" t="n"/>
      <c r="AN289" s="8" t="n"/>
      <c r="AO289" s="8" t="n"/>
      <c r="AP289" s="8" t="n"/>
      <c r="AQ289" s="8" t="n"/>
      <c r="AR289" s="8" t="n"/>
      <c r="AS289" s="8" t="n"/>
      <c r="AT289" s="8" t="n"/>
      <c r="AU289" s="8" t="n"/>
      <c r="AV289" s="8" t="n"/>
      <c r="AW289" s="8" t="n"/>
      <c r="AX289" s="8" t="n"/>
      <c r="AY289" s="8" t="n"/>
      <c r="AZ289" s="8" t="n"/>
      <c r="BA289" s="8" t="n"/>
      <c r="BB289" s="8" t="n"/>
      <c r="BC289" s="8" t="n"/>
      <c r="BD289" s="8" t="n"/>
      <c r="BE289" s="8" t="n"/>
      <c r="BF289" s="8" t="n"/>
      <c r="BG289" s="8" t="n"/>
      <c r="BH289" s="8" t="n"/>
      <c r="BI289" s="8" t="n"/>
      <c r="BJ289" s="153" t="n">
        <v>210</v>
      </c>
      <c r="BK289" s="153" t="inlineStr">
        <is>
          <t>ELABORACION DE MANTECA Y OTRAS GRASAS ANIMALES COMESTIBLES</t>
        </is>
      </c>
      <c r="BL289" s="153" t="n"/>
      <c r="BM289" s="153" t="n"/>
      <c r="BN289" s="153" t="n"/>
      <c r="BO289" s="153" t="n"/>
      <c r="BP289" s="153" t="n"/>
      <c r="BQ289" s="153" t="n"/>
      <c r="BR289" s="153" t="n"/>
      <c r="BS289" s="153" t="n"/>
      <c r="BT289" s="153" t="n"/>
      <c r="BU289" s="8" t="n"/>
      <c r="BV289" s="8" t="n"/>
      <c r="BW289" s="8" t="n"/>
      <c r="BX289" s="8" t="n"/>
      <c r="BY289" s="8" t="n"/>
      <c r="BZ289" s="8" t="n"/>
      <c r="CA289" s="8" t="n"/>
      <c r="CB289" s="8" t="n"/>
      <c r="CC289" s="8" t="n"/>
      <c r="CD289" s="8" t="n"/>
      <c r="CE289" s="8" t="n"/>
      <c r="CF289" s="8" t="n"/>
      <c r="CG289" s="8" t="n"/>
      <c r="CH289" s="8" t="n"/>
      <c r="CI289" s="8" t="n"/>
      <c r="CJ289" s="8" t="n"/>
      <c r="CK289" s="8" t="n"/>
      <c r="CL289" s="8" t="n"/>
      <c r="CM289" s="8" t="n"/>
      <c r="CN289" s="8" t="n"/>
      <c r="CO289" s="8" t="n"/>
      <c r="CP289" s="8" t="n"/>
      <c r="CQ289" s="8" t="n"/>
      <c r="CR289" s="8" t="n"/>
      <c r="CS289" s="8" t="n"/>
      <c r="CT289" s="8" t="n"/>
      <c r="CU289" s="8" t="n"/>
      <c r="CV289" s="8" t="n"/>
      <c r="CW289" s="8" t="n"/>
      <c r="CX289" s="8" t="n"/>
      <c r="CY289" s="8" t="n"/>
      <c r="CZ289" s="8" t="n"/>
      <c r="DA289" s="8" t="n"/>
      <c r="DB289" s="8" t="n"/>
      <c r="DC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  <c r="AJ290" s="8" t="n"/>
      <c r="AK290" s="8" t="n"/>
      <c r="AL290" s="8" t="n"/>
      <c r="AM290" s="8" t="n"/>
      <c r="AN290" s="8" t="n"/>
      <c r="AO290" s="8" t="n"/>
      <c r="AP290" s="8" t="n"/>
      <c r="AQ290" s="8" t="n"/>
      <c r="AR290" s="8" t="n"/>
      <c r="AS290" s="8" t="n"/>
      <c r="AT290" s="8" t="n"/>
      <c r="AU290" s="8" t="n"/>
      <c r="AV290" s="8" t="n"/>
      <c r="AW290" s="8" t="n"/>
      <c r="AX290" s="8" t="n"/>
      <c r="AY290" s="8" t="n"/>
      <c r="AZ290" s="8" t="n"/>
      <c r="BA290" s="8" t="n"/>
      <c r="BB290" s="8" t="n"/>
      <c r="BC290" s="8" t="n"/>
      <c r="BD290" s="8" t="n"/>
      <c r="BE290" s="8" t="n"/>
      <c r="BF290" s="8" t="n"/>
      <c r="BG290" s="8" t="n"/>
      <c r="BH290" s="8" t="n"/>
      <c r="BI290" s="8" t="n"/>
      <c r="BJ290" s="153" t="n">
        <v>211</v>
      </c>
      <c r="BK290" s="153" t="inlineStr">
        <is>
          <t>PREPARACION Y ENVASADO DE PESCADOS Y MARISCOS</t>
        </is>
      </c>
      <c r="BL290" s="153" t="n"/>
      <c r="BM290" s="153" t="n"/>
      <c r="BN290" s="153" t="n"/>
      <c r="BO290" s="153" t="n"/>
      <c r="BP290" s="153" t="n"/>
      <c r="BQ290" s="153" t="n"/>
      <c r="BR290" s="153" t="n"/>
      <c r="BS290" s="153" t="n"/>
      <c r="BT290" s="153" t="n"/>
      <c r="BU290" s="8" t="n"/>
      <c r="BV290" s="8" t="n"/>
      <c r="BW290" s="8" t="n"/>
      <c r="BX290" s="8" t="n"/>
      <c r="BY290" s="8" t="n"/>
      <c r="BZ290" s="8" t="n"/>
      <c r="CA290" s="8" t="n"/>
      <c r="CB290" s="8" t="n"/>
      <c r="CC290" s="8" t="n"/>
      <c r="CD290" s="8" t="n"/>
      <c r="CE290" s="8" t="n"/>
      <c r="CF290" s="8" t="n"/>
      <c r="CG290" s="8" t="n"/>
      <c r="CH290" s="8" t="n"/>
      <c r="CI290" s="8" t="n"/>
      <c r="CJ290" s="8" t="n"/>
      <c r="CK290" s="8" t="n"/>
      <c r="CL290" s="8" t="n"/>
      <c r="CM290" s="8" t="n"/>
      <c r="CN290" s="8" t="n"/>
      <c r="CO290" s="8" t="n"/>
      <c r="CP290" s="8" t="n"/>
      <c r="CQ290" s="8" t="n"/>
      <c r="CR290" s="8" t="n"/>
      <c r="CS290" s="8" t="n"/>
      <c r="CT290" s="8" t="n"/>
      <c r="CU290" s="8" t="n"/>
      <c r="CV290" s="8" t="n"/>
      <c r="CW290" s="8" t="n"/>
      <c r="CX290" s="8" t="n"/>
      <c r="CY290" s="8" t="n"/>
      <c r="CZ290" s="8" t="n"/>
      <c r="DA290" s="8" t="n"/>
      <c r="DB290" s="8" t="n"/>
      <c r="DC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8" t="n"/>
      <c r="AK291" s="8" t="n"/>
      <c r="AL291" s="8" t="n"/>
      <c r="AM291" s="8" t="n"/>
      <c r="AN291" s="8" t="n"/>
      <c r="AO291" s="8" t="n"/>
      <c r="AP291" s="8" t="n"/>
      <c r="AQ291" s="8" t="n"/>
      <c r="AR291" s="8" t="n"/>
      <c r="AS291" s="8" t="n"/>
      <c r="AT291" s="8" t="n"/>
      <c r="AU291" s="8" t="n"/>
      <c r="AV291" s="8" t="n"/>
      <c r="AW291" s="8" t="n"/>
      <c r="AX291" s="8" t="n"/>
      <c r="AY291" s="8" t="n"/>
      <c r="AZ291" s="8" t="n"/>
      <c r="BA291" s="8" t="n"/>
      <c r="BB291" s="8" t="n"/>
      <c r="BC291" s="8" t="n"/>
      <c r="BD291" s="8" t="n"/>
      <c r="BE291" s="8" t="n"/>
      <c r="BF291" s="8" t="n"/>
      <c r="BG291" s="8" t="n"/>
      <c r="BH291" s="8" t="n"/>
      <c r="BI291" s="8" t="n"/>
      <c r="BJ291" s="153" t="n">
        <v>213</v>
      </c>
      <c r="BK291" s="153" t="inlineStr">
        <is>
          <t>PANIFICACION INDUSTRIAL</t>
        </is>
      </c>
      <c r="BL291" s="153" t="n"/>
      <c r="BM291" s="153" t="n"/>
      <c r="BN291" s="153" t="n"/>
      <c r="BO291" s="153" t="n"/>
      <c r="BP291" s="153" t="n"/>
      <c r="BQ291" s="153" t="n"/>
      <c r="BR291" s="153" t="n"/>
      <c r="BS291" s="153" t="n"/>
      <c r="BT291" s="153" t="n"/>
      <c r="BU291" s="8" t="n"/>
      <c r="BV291" s="8" t="n"/>
      <c r="BW291" s="8" t="n"/>
      <c r="BX291" s="8" t="n"/>
      <c r="BY291" s="8" t="n"/>
      <c r="BZ291" s="8" t="n"/>
      <c r="CA291" s="8" t="n"/>
      <c r="CB291" s="8" t="n"/>
      <c r="CC291" s="8" t="n"/>
      <c r="CD291" s="8" t="n"/>
      <c r="CE291" s="8" t="n"/>
      <c r="CF291" s="8" t="n"/>
      <c r="CG291" s="8" t="n"/>
      <c r="CH291" s="8" t="n"/>
      <c r="CI291" s="8" t="n"/>
      <c r="CJ291" s="8" t="n"/>
      <c r="CK291" s="8" t="n"/>
      <c r="CL291" s="8" t="n"/>
      <c r="CM291" s="8" t="n"/>
      <c r="CN291" s="8" t="n"/>
      <c r="CO291" s="8" t="n"/>
      <c r="CP291" s="8" t="n"/>
      <c r="CQ291" s="8" t="n"/>
      <c r="CR291" s="8" t="n"/>
      <c r="CS291" s="8" t="n"/>
      <c r="CT291" s="8" t="n"/>
      <c r="CU291" s="8" t="n"/>
      <c r="CV291" s="8" t="n"/>
      <c r="CW291" s="8" t="n"/>
      <c r="CX291" s="8" t="n"/>
      <c r="CY291" s="8" t="n"/>
      <c r="CZ291" s="8" t="n"/>
      <c r="DA291" s="8" t="n"/>
      <c r="DB291" s="8" t="n"/>
      <c r="DC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8" t="n"/>
      <c r="AJ292" s="8" t="n"/>
      <c r="AK292" s="8" t="n"/>
      <c r="AL292" s="8" t="n"/>
      <c r="AM292" s="8" t="n"/>
      <c r="AN292" s="8" t="n"/>
      <c r="AO292" s="8" t="n"/>
      <c r="AP292" s="8" t="n"/>
      <c r="AQ292" s="8" t="n"/>
      <c r="AR292" s="8" t="n"/>
      <c r="AS292" s="8" t="n"/>
      <c r="AT292" s="8" t="n"/>
      <c r="AU292" s="8" t="n"/>
      <c r="AV292" s="8" t="n"/>
      <c r="AW292" s="8" t="n"/>
      <c r="AX292" s="8" t="n"/>
      <c r="AY292" s="8" t="n"/>
      <c r="AZ292" s="8" t="n"/>
      <c r="BA292" s="8" t="n"/>
      <c r="BB292" s="8" t="n"/>
      <c r="BC292" s="8" t="n"/>
      <c r="BD292" s="8" t="n"/>
      <c r="BE292" s="8" t="n"/>
      <c r="BF292" s="8" t="n"/>
      <c r="BG292" s="8" t="n"/>
      <c r="BH292" s="8" t="n"/>
      <c r="BI292" s="8" t="n"/>
      <c r="BJ292" s="153" t="n">
        <v>214</v>
      </c>
      <c r="BK292" s="153" t="inlineStr">
        <is>
          <t>PANIFICACION TRADICIONAL</t>
        </is>
      </c>
      <c r="BL292" s="153" t="n"/>
      <c r="BM292" s="153" t="n"/>
      <c r="BN292" s="153" t="n"/>
      <c r="BO292" s="153" t="n"/>
      <c r="BP292" s="153" t="n"/>
      <c r="BQ292" s="153" t="n"/>
      <c r="BR292" s="153" t="n"/>
      <c r="BS292" s="153" t="n"/>
      <c r="BT292" s="153" t="n"/>
      <c r="BU292" s="8" t="n"/>
      <c r="BV292" s="8" t="n"/>
      <c r="BW292" s="8" t="n"/>
      <c r="BX292" s="8" t="n"/>
      <c r="BY292" s="8" t="n"/>
      <c r="BZ292" s="8" t="n"/>
      <c r="CA292" s="8" t="n"/>
      <c r="CB292" s="8" t="n"/>
      <c r="CC292" s="8" t="n"/>
      <c r="CD292" s="8" t="n"/>
      <c r="CE292" s="8" t="n"/>
      <c r="CF292" s="8" t="n"/>
      <c r="CG292" s="8" t="n"/>
      <c r="CH292" s="8" t="n"/>
      <c r="CI292" s="8" t="n"/>
      <c r="CJ292" s="8" t="n"/>
      <c r="CK292" s="8" t="n"/>
      <c r="CL292" s="8" t="n"/>
      <c r="CM292" s="8" t="n"/>
      <c r="CN292" s="8" t="n"/>
      <c r="CO292" s="8" t="n"/>
      <c r="CP292" s="8" t="n"/>
      <c r="CQ292" s="8" t="n"/>
      <c r="CR292" s="8" t="n"/>
      <c r="CS292" s="8" t="n"/>
      <c r="CT292" s="8" t="n"/>
      <c r="CU292" s="8" t="n"/>
      <c r="CV292" s="8" t="n"/>
      <c r="CW292" s="8" t="n"/>
      <c r="CX292" s="8" t="n"/>
      <c r="CY292" s="8" t="n"/>
      <c r="CZ292" s="8" t="n"/>
      <c r="DA292" s="8" t="n"/>
      <c r="DB292" s="8" t="n"/>
      <c r="DC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8" t="n"/>
      <c r="AJ293" s="8" t="n"/>
      <c r="AK293" s="8" t="n"/>
      <c r="AL293" s="8" t="n"/>
      <c r="AM293" s="8" t="n"/>
      <c r="AN293" s="8" t="n"/>
      <c r="AO293" s="8" t="n"/>
      <c r="AP293" s="8" t="n"/>
      <c r="AQ293" s="8" t="n"/>
      <c r="AR293" s="8" t="n"/>
      <c r="AS293" s="8" t="n"/>
      <c r="AT293" s="8" t="n"/>
      <c r="AU293" s="8" t="n"/>
      <c r="AV293" s="8" t="n"/>
      <c r="AW293" s="8" t="n"/>
      <c r="AX293" s="8" t="n"/>
      <c r="AY293" s="8" t="n"/>
      <c r="AZ293" s="8" t="n"/>
      <c r="BA293" s="8" t="n"/>
      <c r="BB293" s="8" t="n"/>
      <c r="BC293" s="8" t="n"/>
      <c r="BD293" s="8" t="n"/>
      <c r="BE293" s="8" t="n"/>
      <c r="BF293" s="8" t="n"/>
      <c r="BG293" s="8" t="n"/>
      <c r="BH293" s="8" t="n"/>
      <c r="BI293" s="8" t="n"/>
      <c r="BJ293" s="153" t="n">
        <v>215</v>
      </c>
      <c r="BK293" s="153" t="inlineStr">
        <is>
          <t>ELABORACION DE GALLETAS, PASTAS PARA SOPA Y HARINAS PREMEZCLADAS</t>
        </is>
      </c>
      <c r="BL293" s="153" t="n"/>
      <c r="BM293" s="153" t="n"/>
      <c r="BN293" s="153" t="n"/>
      <c r="BO293" s="153" t="n"/>
      <c r="BP293" s="153" t="n"/>
      <c r="BQ293" s="153" t="n"/>
      <c r="BR293" s="153" t="n"/>
      <c r="BS293" s="153" t="n"/>
      <c r="BT293" s="153" t="n"/>
      <c r="BU293" s="8" t="n"/>
      <c r="BV293" s="8" t="n"/>
      <c r="BW293" s="8" t="n"/>
      <c r="BX293" s="8" t="n"/>
      <c r="BY293" s="8" t="n"/>
      <c r="BZ293" s="8" t="n"/>
      <c r="CA293" s="8" t="n"/>
      <c r="CB293" s="8" t="n"/>
      <c r="CC293" s="8" t="n"/>
      <c r="CD293" s="8" t="n"/>
      <c r="CE293" s="8" t="n"/>
      <c r="CF293" s="8" t="n"/>
      <c r="CG293" s="8" t="n"/>
      <c r="CH293" s="8" t="n"/>
      <c r="CI293" s="8" t="n"/>
      <c r="CJ293" s="8" t="n"/>
      <c r="CK293" s="8" t="n"/>
      <c r="CL293" s="8" t="n"/>
      <c r="CM293" s="8" t="n"/>
      <c r="CN293" s="8" t="n"/>
      <c r="CO293" s="8" t="n"/>
      <c r="CP293" s="8" t="n"/>
      <c r="CQ293" s="8" t="n"/>
      <c r="CR293" s="8" t="n"/>
      <c r="CS293" s="8" t="n"/>
      <c r="CT293" s="8" t="n"/>
      <c r="CU293" s="8" t="n"/>
      <c r="CV293" s="8" t="n"/>
      <c r="CW293" s="8" t="n"/>
      <c r="CX293" s="8" t="n"/>
      <c r="CY293" s="8" t="n"/>
      <c r="CZ293" s="8" t="n"/>
      <c r="DA293" s="8" t="n"/>
      <c r="DB293" s="8" t="n"/>
      <c r="DC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/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  <c r="BF294" s="8" t="n"/>
      <c r="BG294" s="8" t="n"/>
      <c r="BH294" s="8" t="n"/>
      <c r="BI294" s="8" t="n"/>
      <c r="BJ294" s="153" t="n">
        <v>216</v>
      </c>
      <c r="BK294" s="153" t="inlineStr">
        <is>
          <t>ELABORACION DE TORTILLAS DE MAIZ Y MOLIENDA DE NIXTAMAL</t>
        </is>
      </c>
      <c r="BL294" s="153" t="n"/>
      <c r="BM294" s="153" t="n"/>
      <c r="BN294" s="153" t="n"/>
      <c r="BO294" s="153" t="n"/>
      <c r="BP294" s="153" t="n"/>
      <c r="BQ294" s="153" t="n"/>
      <c r="BR294" s="153" t="n"/>
      <c r="BS294" s="153" t="n"/>
      <c r="BT294" s="153" t="n"/>
      <c r="BU294" s="8" t="n"/>
      <c r="BV294" s="8" t="n"/>
      <c r="BW294" s="8" t="n"/>
      <c r="BX294" s="8" t="n"/>
      <c r="BY294" s="8" t="n"/>
      <c r="BZ294" s="8" t="n"/>
      <c r="CA294" s="8" t="n"/>
      <c r="CB294" s="8" t="n"/>
      <c r="CC294" s="8" t="n"/>
      <c r="CD294" s="8" t="n"/>
      <c r="CE294" s="8" t="n"/>
      <c r="CF294" s="8" t="n"/>
      <c r="CG294" s="8" t="n"/>
      <c r="CH294" s="8" t="n"/>
      <c r="CI294" s="8" t="n"/>
      <c r="CJ294" s="8" t="n"/>
      <c r="CK294" s="8" t="n"/>
      <c r="CL294" s="8" t="n"/>
      <c r="CM294" s="8" t="n"/>
      <c r="CN294" s="8" t="n"/>
      <c r="CO294" s="8" t="n"/>
      <c r="CP294" s="8" t="n"/>
      <c r="CQ294" s="8" t="n"/>
      <c r="CR294" s="8" t="n"/>
      <c r="CS294" s="8" t="n"/>
      <c r="CT294" s="8" t="n"/>
      <c r="CU294" s="8" t="n"/>
      <c r="CV294" s="8" t="n"/>
      <c r="CW294" s="8" t="n"/>
      <c r="CX294" s="8" t="n"/>
      <c r="CY294" s="8" t="n"/>
      <c r="CZ294" s="8" t="n"/>
      <c r="DA294" s="8" t="n"/>
      <c r="DB294" s="8" t="n"/>
      <c r="DC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8" t="n"/>
      <c r="AJ295" s="8" t="n"/>
      <c r="AK295" s="8" t="n"/>
      <c r="AL295" s="8" t="n"/>
      <c r="AM295" s="8" t="n"/>
      <c r="AN295" s="8" t="n"/>
      <c r="AO295" s="8" t="n"/>
      <c r="AP295" s="8" t="n"/>
      <c r="AQ295" s="8" t="n"/>
      <c r="AR295" s="8" t="n"/>
      <c r="AS295" s="8" t="n"/>
      <c r="AT295" s="8" t="n"/>
      <c r="AU295" s="8" t="n"/>
      <c r="AV295" s="8" t="n"/>
      <c r="AW295" s="8" t="n"/>
      <c r="AX295" s="8" t="n"/>
      <c r="AY295" s="8" t="n"/>
      <c r="AZ295" s="8" t="n"/>
      <c r="BA295" s="8" t="n"/>
      <c r="BB295" s="8" t="n"/>
      <c r="BC295" s="8" t="n"/>
      <c r="BD295" s="8" t="n"/>
      <c r="BE295" s="8" t="n"/>
      <c r="BF295" s="8" t="n"/>
      <c r="BG295" s="8" t="n"/>
      <c r="BH295" s="8" t="n"/>
      <c r="BI295" s="8" t="n"/>
      <c r="BJ295" s="153" t="n">
        <v>217</v>
      </c>
      <c r="BK295" s="153" t="inlineStr">
        <is>
          <t>ELABORACION DE BOTANAS</t>
        </is>
      </c>
      <c r="BL295" s="153" t="n"/>
      <c r="BM295" s="153" t="n"/>
      <c r="BN295" s="153" t="n"/>
      <c r="BO295" s="153" t="n"/>
      <c r="BP295" s="153" t="n"/>
      <c r="BQ295" s="153" t="n"/>
      <c r="BR295" s="153" t="n"/>
      <c r="BS295" s="153" t="n"/>
      <c r="BT295" s="153" t="n"/>
      <c r="BU295" s="8" t="n"/>
      <c r="BV295" s="8" t="n"/>
      <c r="BW295" s="8" t="n"/>
      <c r="BX295" s="8" t="n"/>
      <c r="BY295" s="8" t="n"/>
      <c r="BZ295" s="8" t="n"/>
      <c r="CA295" s="8" t="n"/>
      <c r="CB295" s="8" t="n"/>
      <c r="CC295" s="8" t="n"/>
      <c r="CD295" s="8" t="n"/>
      <c r="CE295" s="8" t="n"/>
      <c r="CF295" s="8" t="n"/>
      <c r="CG295" s="8" t="n"/>
      <c r="CH295" s="8" t="n"/>
      <c r="CI295" s="8" t="n"/>
      <c r="CJ295" s="8" t="n"/>
      <c r="CK295" s="8" t="n"/>
      <c r="CL295" s="8" t="n"/>
      <c r="CM295" s="8" t="n"/>
      <c r="CN295" s="8" t="n"/>
      <c r="CO295" s="8" t="n"/>
      <c r="CP295" s="8" t="n"/>
      <c r="CQ295" s="8" t="n"/>
      <c r="CR295" s="8" t="n"/>
      <c r="CS295" s="8" t="n"/>
      <c r="CT295" s="8" t="n"/>
      <c r="CU295" s="8" t="n"/>
      <c r="CV295" s="8" t="n"/>
      <c r="CW295" s="8" t="n"/>
      <c r="CX295" s="8" t="n"/>
      <c r="CY295" s="8" t="n"/>
      <c r="CZ295" s="8" t="n"/>
      <c r="DA295" s="8" t="n"/>
      <c r="DB295" s="8" t="n"/>
      <c r="DC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  <c r="AM296" s="8" t="n"/>
      <c r="AN296" s="8" t="n"/>
      <c r="AO296" s="8" t="n"/>
      <c r="AP296" s="8" t="n"/>
      <c r="AQ296" s="8" t="n"/>
      <c r="AR296" s="8" t="n"/>
      <c r="AS296" s="8" t="n"/>
      <c r="AT296" s="8" t="n"/>
      <c r="AU296" s="8" t="n"/>
      <c r="AV296" s="8" t="n"/>
      <c r="AW296" s="8" t="n"/>
      <c r="AX296" s="8" t="n"/>
      <c r="AY296" s="8" t="n"/>
      <c r="AZ296" s="8" t="n"/>
      <c r="BA296" s="8" t="n"/>
      <c r="BB296" s="8" t="n"/>
      <c r="BC296" s="8" t="n"/>
      <c r="BD296" s="8" t="n"/>
      <c r="BE296" s="8" t="n"/>
      <c r="BF296" s="8" t="n"/>
      <c r="BG296" s="8" t="n"/>
      <c r="BH296" s="8" t="n"/>
      <c r="BI296" s="8" t="n"/>
      <c r="BJ296" s="153" t="n">
        <v>218</v>
      </c>
      <c r="BK296" s="153" t="inlineStr">
        <is>
          <t>BENEFICIO DEL CAFE</t>
        </is>
      </c>
      <c r="BL296" s="153" t="n"/>
      <c r="BM296" s="153" t="n"/>
      <c r="BN296" s="153" t="n"/>
      <c r="BO296" s="153" t="n"/>
      <c r="BP296" s="153" t="n"/>
      <c r="BQ296" s="153" t="n"/>
      <c r="BR296" s="153" t="n"/>
      <c r="BS296" s="153" t="n"/>
      <c r="BT296" s="153" t="n"/>
      <c r="BU296" s="8" t="n"/>
      <c r="BV296" s="8" t="n"/>
      <c r="BW296" s="8" t="n"/>
      <c r="BX296" s="8" t="n"/>
      <c r="BY296" s="8" t="n"/>
      <c r="BZ296" s="8" t="n"/>
      <c r="CA296" s="8" t="n"/>
      <c r="CB296" s="8" t="n"/>
      <c r="CC296" s="8" t="n"/>
      <c r="CD296" s="8" t="n"/>
      <c r="CE296" s="8" t="n"/>
      <c r="CF296" s="8" t="n"/>
      <c r="CG296" s="8" t="n"/>
      <c r="CH296" s="8" t="n"/>
      <c r="CI296" s="8" t="n"/>
      <c r="CJ296" s="8" t="n"/>
      <c r="CK296" s="8" t="n"/>
      <c r="CL296" s="8" t="n"/>
      <c r="CM296" s="8" t="n"/>
      <c r="CN296" s="8" t="n"/>
      <c r="CO296" s="8" t="n"/>
      <c r="CP296" s="8" t="n"/>
      <c r="CQ296" s="8" t="n"/>
      <c r="CR296" s="8" t="n"/>
      <c r="CS296" s="8" t="n"/>
      <c r="CT296" s="8" t="n"/>
      <c r="CU296" s="8" t="n"/>
      <c r="CV296" s="8" t="n"/>
      <c r="CW296" s="8" t="n"/>
      <c r="CX296" s="8" t="n"/>
      <c r="CY296" s="8" t="n"/>
      <c r="CZ296" s="8" t="n"/>
      <c r="DA296" s="8" t="n"/>
      <c r="DB296" s="8" t="n"/>
      <c r="DC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8" t="n"/>
      <c r="AJ297" s="8" t="n"/>
      <c r="AK297" s="8" t="n"/>
      <c r="AL297" s="8" t="n"/>
      <c r="AM297" s="8" t="n"/>
      <c r="AN297" s="8" t="n"/>
      <c r="AO297" s="8" t="n"/>
      <c r="AP297" s="8" t="n"/>
      <c r="AQ297" s="8" t="n"/>
      <c r="AR297" s="8" t="n"/>
      <c r="AS297" s="8" t="n"/>
      <c r="AT297" s="8" t="n"/>
      <c r="AU297" s="8" t="n"/>
      <c r="AV297" s="8" t="n"/>
      <c r="AW297" s="8" t="n"/>
      <c r="AX297" s="8" t="n"/>
      <c r="AY297" s="8" t="n"/>
      <c r="AZ297" s="8" t="n"/>
      <c r="BA297" s="8" t="n"/>
      <c r="BB297" s="8" t="n"/>
      <c r="BC297" s="8" t="n"/>
      <c r="BD297" s="8" t="n"/>
      <c r="BE297" s="8" t="n"/>
      <c r="BF297" s="8" t="n"/>
      <c r="BG297" s="8" t="n"/>
      <c r="BH297" s="8" t="n"/>
      <c r="BI297" s="8" t="n"/>
      <c r="BJ297" s="153" t="n">
        <v>219</v>
      </c>
      <c r="BK297" s="153" t="inlineStr">
        <is>
          <t>TOSTADO Y MOLIENDA DE CAFE</t>
        </is>
      </c>
      <c r="BL297" s="153" t="n"/>
      <c r="BM297" s="153" t="n"/>
      <c r="BN297" s="153" t="n"/>
      <c r="BO297" s="153" t="n"/>
      <c r="BP297" s="153" t="n"/>
      <c r="BQ297" s="153" t="n"/>
      <c r="BR297" s="153" t="n"/>
      <c r="BS297" s="153" t="n"/>
      <c r="BT297" s="153" t="n"/>
      <c r="BU297" s="8" t="n"/>
      <c r="BV297" s="8" t="n"/>
      <c r="BW297" s="8" t="n"/>
      <c r="BX297" s="8" t="n"/>
      <c r="BY297" s="8" t="n"/>
      <c r="BZ297" s="8" t="n"/>
      <c r="CA297" s="8" t="n"/>
      <c r="CB297" s="8" t="n"/>
      <c r="CC297" s="8" t="n"/>
      <c r="CD297" s="8" t="n"/>
      <c r="CE297" s="8" t="n"/>
      <c r="CF297" s="8" t="n"/>
      <c r="CG297" s="8" t="n"/>
      <c r="CH297" s="8" t="n"/>
      <c r="CI297" s="8" t="n"/>
      <c r="CJ297" s="8" t="n"/>
      <c r="CK297" s="8" t="n"/>
      <c r="CL297" s="8" t="n"/>
      <c r="CM297" s="8" t="n"/>
      <c r="CN297" s="8" t="n"/>
      <c r="CO297" s="8" t="n"/>
      <c r="CP297" s="8" t="n"/>
      <c r="CQ297" s="8" t="n"/>
      <c r="CR297" s="8" t="n"/>
      <c r="CS297" s="8" t="n"/>
      <c r="CT297" s="8" t="n"/>
      <c r="CU297" s="8" t="n"/>
      <c r="CV297" s="8" t="n"/>
      <c r="CW297" s="8" t="n"/>
      <c r="CX297" s="8" t="n"/>
      <c r="CY297" s="8" t="n"/>
      <c r="CZ297" s="8" t="n"/>
      <c r="DA297" s="8" t="n"/>
      <c r="DB297" s="8" t="n"/>
      <c r="DC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  <c r="AE298" s="8" t="n"/>
      <c r="AF298" s="8" t="n"/>
      <c r="AG298" s="8" t="n"/>
      <c r="AH298" s="8" t="n"/>
      <c r="AI298" s="8" t="n"/>
      <c r="AJ298" s="8" t="n"/>
      <c r="AK298" s="8" t="n"/>
      <c r="AL298" s="8" t="n"/>
      <c r="AM298" s="8" t="n"/>
      <c r="AN298" s="8" t="n"/>
      <c r="AO298" s="8" t="n"/>
      <c r="AP298" s="8" t="n"/>
      <c r="AQ298" s="8" t="n"/>
      <c r="AR298" s="8" t="n"/>
      <c r="AS298" s="8" t="n"/>
      <c r="AT298" s="8" t="n"/>
      <c r="AU298" s="8" t="n"/>
      <c r="AV298" s="8" t="n"/>
      <c r="AW298" s="8" t="n"/>
      <c r="AX298" s="8" t="n"/>
      <c r="AY298" s="8" t="n"/>
      <c r="AZ298" s="8" t="n"/>
      <c r="BA298" s="8" t="n"/>
      <c r="BB298" s="8" t="n"/>
      <c r="BC298" s="8" t="n"/>
      <c r="BD298" s="8" t="n"/>
      <c r="BE298" s="8" t="n"/>
      <c r="BF298" s="8" t="n"/>
      <c r="BG298" s="8" t="n"/>
      <c r="BH298" s="8" t="n"/>
      <c r="BI298" s="8" t="n"/>
      <c r="BJ298" s="153" t="n">
        <v>220</v>
      </c>
      <c r="BK298" s="153" t="inlineStr">
        <is>
          <t>ELABORACION DE CAFE SOLUBLE</t>
        </is>
      </c>
      <c r="BL298" s="153" t="n"/>
      <c r="BM298" s="153" t="n"/>
      <c r="BN298" s="153" t="n"/>
      <c r="BO298" s="153" t="n"/>
      <c r="BP298" s="153" t="n"/>
      <c r="BQ298" s="153" t="n"/>
      <c r="BR298" s="153" t="n"/>
      <c r="BS298" s="153" t="n"/>
      <c r="BT298" s="153" t="n"/>
      <c r="BU298" s="8" t="n"/>
      <c r="BV298" s="8" t="n"/>
      <c r="BW298" s="8" t="n"/>
      <c r="BX298" s="8" t="n"/>
      <c r="BY298" s="8" t="n"/>
      <c r="BZ298" s="8" t="n"/>
      <c r="CA298" s="8" t="n"/>
      <c r="CB298" s="8" t="n"/>
      <c r="CC298" s="8" t="n"/>
      <c r="CD298" s="8" t="n"/>
      <c r="CE298" s="8" t="n"/>
      <c r="CF298" s="8" t="n"/>
      <c r="CG298" s="8" t="n"/>
      <c r="CH298" s="8" t="n"/>
      <c r="CI298" s="8" t="n"/>
      <c r="CJ298" s="8" t="n"/>
      <c r="CK298" s="8" t="n"/>
      <c r="CL298" s="8" t="n"/>
      <c r="CM298" s="8" t="n"/>
      <c r="CN298" s="8" t="n"/>
      <c r="CO298" s="8" t="n"/>
      <c r="CP298" s="8" t="n"/>
      <c r="CQ298" s="8" t="n"/>
      <c r="CR298" s="8" t="n"/>
      <c r="CS298" s="8" t="n"/>
      <c r="CT298" s="8" t="n"/>
      <c r="CU298" s="8" t="n"/>
      <c r="CV298" s="8" t="n"/>
      <c r="CW298" s="8" t="n"/>
      <c r="CX298" s="8" t="n"/>
      <c r="CY298" s="8" t="n"/>
      <c r="CZ298" s="8" t="n"/>
      <c r="DA298" s="8" t="n"/>
      <c r="DB298" s="8" t="n"/>
      <c r="DC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8" t="n"/>
      <c r="AJ299" s="8" t="n"/>
      <c r="AK299" s="8" t="n"/>
      <c r="AL299" s="8" t="n"/>
      <c r="AM299" s="8" t="n"/>
      <c r="AN299" s="8" t="n"/>
      <c r="AO299" s="8" t="n"/>
      <c r="AP299" s="8" t="n"/>
      <c r="AQ299" s="8" t="n"/>
      <c r="AR299" s="8" t="n"/>
      <c r="AS299" s="8" t="n"/>
      <c r="AT299" s="8" t="n"/>
      <c r="AU299" s="8" t="n"/>
      <c r="AV299" s="8" t="n"/>
      <c r="AW299" s="8" t="n"/>
      <c r="AX299" s="8" t="n"/>
      <c r="AY299" s="8" t="n"/>
      <c r="AZ299" s="8" t="n"/>
      <c r="BA299" s="8" t="n"/>
      <c r="BB299" s="8" t="n"/>
      <c r="BC299" s="8" t="n"/>
      <c r="BD299" s="8" t="n"/>
      <c r="BE299" s="8" t="n"/>
      <c r="BF299" s="8" t="n"/>
      <c r="BG299" s="8" t="n"/>
      <c r="BH299" s="8" t="n"/>
      <c r="BI299" s="8" t="n"/>
      <c r="BJ299" s="153" t="n">
        <v>221</v>
      </c>
      <c r="BK299" s="153" t="inlineStr">
        <is>
          <t>PREPARACION Y ENVASADO DE TE</t>
        </is>
      </c>
      <c r="BL299" s="153" t="n"/>
      <c r="BM299" s="153" t="n"/>
      <c r="BN299" s="153" t="n"/>
      <c r="BO299" s="153" t="n"/>
      <c r="BP299" s="153" t="n"/>
      <c r="BQ299" s="153" t="n"/>
      <c r="BR299" s="153" t="n"/>
      <c r="BS299" s="153" t="n"/>
      <c r="BT299" s="153" t="n"/>
      <c r="BU299" s="8" t="n"/>
      <c r="BV299" s="8" t="n"/>
      <c r="BW299" s="8" t="n"/>
      <c r="BX299" s="8" t="n"/>
      <c r="BY299" s="8" t="n"/>
      <c r="BZ299" s="8" t="n"/>
      <c r="CA299" s="8" t="n"/>
      <c r="CB299" s="8" t="n"/>
      <c r="CC299" s="8" t="n"/>
      <c r="CD299" s="8" t="n"/>
      <c r="CE299" s="8" t="n"/>
      <c r="CF299" s="8" t="n"/>
      <c r="CG299" s="8" t="n"/>
      <c r="CH299" s="8" t="n"/>
      <c r="CI299" s="8" t="n"/>
      <c r="CJ299" s="8" t="n"/>
      <c r="CK299" s="8" t="n"/>
      <c r="CL299" s="8" t="n"/>
      <c r="CM299" s="8" t="n"/>
      <c r="CN299" s="8" t="n"/>
      <c r="CO299" s="8" t="n"/>
      <c r="CP299" s="8" t="n"/>
      <c r="CQ299" s="8" t="n"/>
      <c r="CR299" s="8" t="n"/>
      <c r="CS299" s="8" t="n"/>
      <c r="CT299" s="8" t="n"/>
      <c r="CU299" s="8" t="n"/>
      <c r="CV299" s="8" t="n"/>
      <c r="CW299" s="8" t="n"/>
      <c r="CX299" s="8" t="n"/>
      <c r="CY299" s="8" t="n"/>
      <c r="CZ299" s="8" t="n"/>
      <c r="DA299" s="8" t="n"/>
      <c r="DB299" s="8" t="n"/>
      <c r="DC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8" t="n"/>
      <c r="AK300" s="8" t="n"/>
      <c r="AL300" s="8" t="n"/>
      <c r="AM300" s="8" t="n"/>
      <c r="AN300" s="8" t="n"/>
      <c r="AO300" s="8" t="n"/>
      <c r="AP300" s="8" t="n"/>
      <c r="AQ300" s="8" t="n"/>
      <c r="AR300" s="8" t="n"/>
      <c r="AS300" s="8" t="n"/>
      <c r="AT300" s="8" t="n"/>
      <c r="AU300" s="8" t="n"/>
      <c r="AV300" s="8" t="n"/>
      <c r="AW300" s="8" t="n"/>
      <c r="AX300" s="8" t="n"/>
      <c r="AY300" s="8" t="n"/>
      <c r="AZ300" s="8" t="n"/>
      <c r="BA300" s="8" t="n"/>
      <c r="BB300" s="8" t="n"/>
      <c r="BC300" s="8" t="n"/>
      <c r="BD300" s="8" t="n"/>
      <c r="BE300" s="8" t="n"/>
      <c r="BF300" s="8" t="n"/>
      <c r="BG300" s="8" t="n"/>
      <c r="BH300" s="8" t="n"/>
      <c r="BI300" s="8" t="n"/>
      <c r="BJ300" s="153" t="n">
        <v>222</v>
      </c>
      <c r="BK300" s="153" t="inlineStr">
        <is>
          <t>ELABORACION DE CONCENTRADOS, POLVOS, JARABES Y ESENCIAS DE SABOR PARA PREPARAR REFRESCOS, BEBIDAS HIDRATANTES O REHIDRATANTES QUE NO TIENEN AZUCARES A?ADIDOS.</t>
        </is>
      </c>
      <c r="BL300" s="153" t="n"/>
      <c r="BM300" s="153" t="n"/>
      <c r="BN300" s="153" t="n"/>
      <c r="BO300" s="153" t="n"/>
      <c r="BP300" s="153" t="n"/>
      <c r="BQ300" s="153" t="n"/>
      <c r="BR300" s="153" t="n"/>
      <c r="BS300" s="153" t="n"/>
      <c r="BT300" s="153" t="n"/>
      <c r="BU300" s="8" t="n"/>
      <c r="BV300" s="8" t="n"/>
      <c r="BW300" s="8" t="n"/>
      <c r="BX300" s="8" t="n"/>
      <c r="BY300" s="8" t="n"/>
      <c r="BZ300" s="8" t="n"/>
      <c r="CA300" s="8" t="n"/>
      <c r="CB300" s="8" t="n"/>
      <c r="CC300" s="8" t="n"/>
      <c r="CD300" s="8" t="n"/>
      <c r="CE300" s="8" t="n"/>
      <c r="CF300" s="8" t="n"/>
      <c r="CG300" s="8" t="n"/>
      <c r="CH300" s="8" t="n"/>
      <c r="CI300" s="8" t="n"/>
      <c r="CJ300" s="8" t="n"/>
      <c r="CK300" s="8" t="n"/>
      <c r="CL300" s="8" t="n"/>
      <c r="CM300" s="8" t="n"/>
      <c r="CN300" s="8" t="n"/>
      <c r="CO300" s="8" t="n"/>
      <c r="CP300" s="8" t="n"/>
      <c r="CQ300" s="8" t="n"/>
      <c r="CR300" s="8" t="n"/>
      <c r="CS300" s="8" t="n"/>
      <c r="CT300" s="8" t="n"/>
      <c r="CU300" s="8" t="n"/>
      <c r="CV300" s="8" t="n"/>
      <c r="CW300" s="8" t="n"/>
      <c r="CX300" s="8" t="n"/>
      <c r="CY300" s="8" t="n"/>
      <c r="CZ300" s="8" t="n"/>
      <c r="DA300" s="8" t="n"/>
      <c r="DB300" s="8" t="n"/>
      <c r="DC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8" t="n"/>
      <c r="AJ301" s="8" t="n"/>
      <c r="AK301" s="8" t="n"/>
      <c r="AL301" s="8" t="n"/>
      <c r="AM301" s="8" t="n"/>
      <c r="AN301" s="8" t="n"/>
      <c r="AO301" s="8" t="n"/>
      <c r="AP301" s="8" t="n"/>
      <c r="AQ301" s="8" t="n"/>
      <c r="AR301" s="8" t="n"/>
      <c r="AS301" s="8" t="n"/>
      <c r="AT301" s="8" t="n"/>
      <c r="AU301" s="8" t="n"/>
      <c r="AV301" s="8" t="n"/>
      <c r="AW301" s="8" t="n"/>
      <c r="AX301" s="8" t="n"/>
      <c r="AY301" s="8" t="n"/>
      <c r="AZ301" s="8" t="n"/>
      <c r="BA301" s="8" t="n"/>
      <c r="BB301" s="8" t="n"/>
      <c r="BC301" s="8" t="n"/>
      <c r="BD301" s="8" t="n"/>
      <c r="BE301" s="8" t="n"/>
      <c r="BF301" s="8" t="n"/>
      <c r="BG301" s="8" t="n"/>
      <c r="BH301" s="8" t="n"/>
      <c r="BI301" s="8" t="n"/>
      <c r="BJ301" s="153" t="n">
        <v>223</v>
      </c>
      <c r="BK301" s="153" t="inlineStr">
        <is>
          <t>ELABORACION DE COLORANTES Y SABORIZANTES NATURALES PARA ALIMENTOS, O CUALQUIER PRODUCTO DISTINTO A REFRESCOS</t>
        </is>
      </c>
      <c r="BL301" s="153" t="n"/>
      <c r="BM301" s="153" t="n"/>
      <c r="BN301" s="153" t="n"/>
      <c r="BO301" s="153" t="n"/>
      <c r="BP301" s="153" t="n"/>
      <c r="BQ301" s="153" t="n"/>
      <c r="BR301" s="153" t="n"/>
      <c r="BS301" s="153" t="n"/>
      <c r="BT301" s="153" t="n"/>
      <c r="BU301" s="8" t="n"/>
      <c r="BV301" s="8" t="n"/>
      <c r="BW301" s="8" t="n"/>
      <c r="BX301" s="8" t="n"/>
      <c r="BY301" s="8" t="n"/>
      <c r="BZ301" s="8" t="n"/>
      <c r="CA301" s="8" t="n"/>
      <c r="CB301" s="8" t="n"/>
      <c r="CC301" s="8" t="n"/>
      <c r="CD301" s="8" t="n"/>
      <c r="CE301" s="8" t="n"/>
      <c r="CF301" s="8" t="n"/>
      <c r="CG301" s="8" t="n"/>
      <c r="CH301" s="8" t="n"/>
      <c r="CI301" s="8" t="n"/>
      <c r="CJ301" s="8" t="n"/>
      <c r="CK301" s="8" t="n"/>
      <c r="CL301" s="8" t="n"/>
      <c r="CM301" s="8" t="n"/>
      <c r="CN301" s="8" t="n"/>
      <c r="CO301" s="8" t="n"/>
      <c r="CP301" s="8" t="n"/>
      <c r="CQ301" s="8" t="n"/>
      <c r="CR301" s="8" t="n"/>
      <c r="CS301" s="8" t="n"/>
      <c r="CT301" s="8" t="n"/>
      <c r="CU301" s="8" t="n"/>
      <c r="CV301" s="8" t="n"/>
      <c r="CW301" s="8" t="n"/>
      <c r="CX301" s="8" t="n"/>
      <c r="CY301" s="8" t="n"/>
      <c r="CZ301" s="8" t="n"/>
      <c r="DA301" s="8" t="n"/>
      <c r="DB301" s="8" t="n"/>
      <c r="DC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  <c r="AJ302" s="8" t="n"/>
      <c r="AK302" s="8" t="n"/>
      <c r="AL302" s="8" t="n"/>
      <c r="AM302" s="8" t="n"/>
      <c r="AN302" s="8" t="n"/>
      <c r="AO302" s="8" t="n"/>
      <c r="AP302" s="8" t="n"/>
      <c r="AQ302" s="8" t="n"/>
      <c r="AR302" s="8" t="n"/>
      <c r="AS302" s="8" t="n"/>
      <c r="AT302" s="8" t="n"/>
      <c r="AU302" s="8" t="n"/>
      <c r="AV302" s="8" t="n"/>
      <c r="AW302" s="8" t="n"/>
      <c r="AX302" s="8" t="n"/>
      <c r="AY302" s="8" t="n"/>
      <c r="AZ302" s="8" t="n"/>
      <c r="BA302" s="8" t="n"/>
      <c r="BB302" s="8" t="n"/>
      <c r="BC302" s="8" t="n"/>
      <c r="BD302" s="8" t="n"/>
      <c r="BE302" s="8" t="n"/>
      <c r="BF302" s="8" t="n"/>
      <c r="BG302" s="8" t="n"/>
      <c r="BH302" s="8" t="n"/>
      <c r="BI302" s="8" t="n"/>
      <c r="BJ302" s="153" t="n">
        <v>224</v>
      </c>
      <c r="BK302" s="153" t="inlineStr">
        <is>
          <t>PRODUCTOR, ENVASADOR O FABRICANTE DE CONCENTRADOS O JARABES PARA PREPARAR REFRESCO QUE SE EXPANDA EN ENVASE ABIERTO UTILIZANDO APARATOS AUTOMATICOS, ELECTRICOS O MECANICOS QUE NO TIENEN AZUCARES A?ADIDOS</t>
        </is>
      </c>
      <c r="BL302" s="153" t="n"/>
      <c r="BM302" s="153" t="n"/>
      <c r="BN302" s="153" t="n"/>
      <c r="BO302" s="153" t="n"/>
      <c r="BP302" s="153" t="n"/>
      <c r="BQ302" s="153" t="n"/>
      <c r="BR302" s="153" t="n"/>
      <c r="BS302" s="153" t="n"/>
      <c r="BT302" s="153" t="n"/>
      <c r="BU302" s="8" t="n"/>
      <c r="BV302" s="8" t="n"/>
      <c r="BW302" s="8" t="n"/>
      <c r="BX302" s="8" t="n"/>
      <c r="BY302" s="8" t="n"/>
      <c r="BZ302" s="8" t="n"/>
      <c r="CA302" s="8" t="n"/>
      <c r="CB302" s="8" t="n"/>
      <c r="CC302" s="8" t="n"/>
      <c r="CD302" s="8" t="n"/>
      <c r="CE302" s="8" t="n"/>
      <c r="CF302" s="8" t="n"/>
      <c r="CG302" s="8" t="n"/>
      <c r="CH302" s="8" t="n"/>
      <c r="CI302" s="8" t="n"/>
      <c r="CJ302" s="8" t="n"/>
      <c r="CK302" s="8" t="n"/>
      <c r="CL302" s="8" t="n"/>
      <c r="CM302" s="8" t="n"/>
      <c r="CN302" s="8" t="n"/>
      <c r="CO302" s="8" t="n"/>
      <c r="CP302" s="8" t="n"/>
      <c r="CQ302" s="8" t="n"/>
      <c r="CR302" s="8" t="n"/>
      <c r="CS302" s="8" t="n"/>
      <c r="CT302" s="8" t="n"/>
      <c r="CU302" s="8" t="n"/>
      <c r="CV302" s="8" t="n"/>
      <c r="CW302" s="8" t="n"/>
      <c r="CX302" s="8" t="n"/>
      <c r="CY302" s="8" t="n"/>
      <c r="CZ302" s="8" t="n"/>
      <c r="DA302" s="8" t="n"/>
      <c r="DB302" s="8" t="n"/>
      <c r="DC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/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n"/>
      <c r="BF303" s="8" t="n"/>
      <c r="BG303" s="8" t="n"/>
      <c r="BH303" s="8" t="n"/>
      <c r="BI303" s="8" t="n"/>
      <c r="BJ303" s="153" t="n">
        <v>225</v>
      </c>
      <c r="BK303" s="153" t="inlineStr">
        <is>
          <t>ELABORACION DE CONDIMENTOS Y ADEREZOS</t>
        </is>
      </c>
      <c r="BL303" s="153" t="n"/>
      <c r="BM303" s="153" t="n"/>
      <c r="BN303" s="153" t="n"/>
      <c r="BO303" s="153" t="n"/>
      <c r="BP303" s="153" t="n"/>
      <c r="BQ303" s="153" t="n"/>
      <c r="BR303" s="153" t="n"/>
      <c r="BS303" s="153" t="n"/>
      <c r="BT303" s="153" t="n"/>
      <c r="BU303" s="8" t="n"/>
      <c r="BV303" s="8" t="n"/>
      <c r="BW303" s="8" t="n"/>
      <c r="BX303" s="8" t="n"/>
      <c r="BY303" s="8" t="n"/>
      <c r="BZ303" s="8" t="n"/>
      <c r="CA303" s="8" t="n"/>
      <c r="CB303" s="8" t="n"/>
      <c r="CC303" s="8" t="n"/>
      <c r="CD303" s="8" t="n"/>
      <c r="CE303" s="8" t="n"/>
      <c r="CF303" s="8" t="n"/>
      <c r="CG303" s="8" t="n"/>
      <c r="CH303" s="8" t="n"/>
      <c r="CI303" s="8" t="n"/>
      <c r="CJ303" s="8" t="n"/>
      <c r="CK303" s="8" t="n"/>
      <c r="CL303" s="8" t="n"/>
      <c r="CM303" s="8" t="n"/>
      <c r="CN303" s="8" t="n"/>
      <c r="CO303" s="8" t="n"/>
      <c r="CP303" s="8" t="n"/>
      <c r="CQ303" s="8" t="n"/>
      <c r="CR303" s="8" t="n"/>
      <c r="CS303" s="8" t="n"/>
      <c r="CT303" s="8" t="n"/>
      <c r="CU303" s="8" t="n"/>
      <c r="CV303" s="8" t="n"/>
      <c r="CW303" s="8" t="n"/>
      <c r="CX303" s="8" t="n"/>
      <c r="CY303" s="8" t="n"/>
      <c r="CZ303" s="8" t="n"/>
      <c r="DA303" s="8" t="n"/>
      <c r="DB303" s="8" t="n"/>
      <c r="DC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  <c r="AH304" s="8" t="n"/>
      <c r="AI304" s="8" t="n"/>
      <c r="AJ304" s="8" t="n"/>
      <c r="AK304" s="8" t="n"/>
      <c r="AL304" s="8" t="n"/>
      <c r="AM304" s="8" t="n"/>
      <c r="AN304" s="8" t="n"/>
      <c r="AO304" s="8" t="n"/>
      <c r="AP304" s="8" t="n"/>
      <c r="AQ304" s="8" t="n"/>
      <c r="AR304" s="8" t="n"/>
      <c r="AS304" s="8" t="n"/>
      <c r="AT304" s="8" t="n"/>
      <c r="AU304" s="8" t="n"/>
      <c r="AV304" s="8" t="n"/>
      <c r="AW304" s="8" t="n"/>
      <c r="AX304" s="8" t="n"/>
      <c r="AY304" s="8" t="n"/>
      <c r="AZ304" s="8" t="n"/>
      <c r="BA304" s="8" t="n"/>
      <c r="BB304" s="8" t="n"/>
      <c r="BC304" s="8" t="n"/>
      <c r="BD304" s="8" t="n"/>
      <c r="BE304" s="8" t="n"/>
      <c r="BF304" s="8" t="n"/>
      <c r="BG304" s="8" t="n"/>
      <c r="BH304" s="8" t="n"/>
      <c r="BI304" s="8" t="n"/>
      <c r="BJ304" s="153" t="n">
        <v>226</v>
      </c>
      <c r="BK304" s="153" t="inlineStr">
        <is>
          <t>ELABORACION DE POSTRES EN POLVO</t>
        </is>
      </c>
      <c r="BL304" s="153" t="n"/>
      <c r="BM304" s="153" t="n"/>
      <c r="BN304" s="153" t="n"/>
      <c r="BO304" s="153" t="n"/>
      <c r="BP304" s="153" t="n"/>
      <c r="BQ304" s="153" t="n"/>
      <c r="BR304" s="153" t="n"/>
      <c r="BS304" s="153" t="n"/>
      <c r="BT304" s="153" t="n"/>
      <c r="BU304" s="8" t="n"/>
      <c r="BV304" s="8" t="n"/>
      <c r="BW304" s="8" t="n"/>
      <c r="BX304" s="8" t="n"/>
      <c r="BY304" s="8" t="n"/>
      <c r="BZ304" s="8" t="n"/>
      <c r="CA304" s="8" t="n"/>
      <c r="CB304" s="8" t="n"/>
      <c r="CC304" s="8" t="n"/>
      <c r="CD304" s="8" t="n"/>
      <c r="CE304" s="8" t="n"/>
      <c r="CF304" s="8" t="n"/>
      <c r="CG304" s="8" t="n"/>
      <c r="CH304" s="8" t="n"/>
      <c r="CI304" s="8" t="n"/>
      <c r="CJ304" s="8" t="n"/>
      <c r="CK304" s="8" t="n"/>
      <c r="CL304" s="8" t="n"/>
      <c r="CM304" s="8" t="n"/>
      <c r="CN304" s="8" t="n"/>
      <c r="CO304" s="8" t="n"/>
      <c r="CP304" s="8" t="n"/>
      <c r="CQ304" s="8" t="n"/>
      <c r="CR304" s="8" t="n"/>
      <c r="CS304" s="8" t="n"/>
      <c r="CT304" s="8" t="n"/>
      <c r="CU304" s="8" t="n"/>
      <c r="CV304" s="8" t="n"/>
      <c r="CW304" s="8" t="n"/>
      <c r="CX304" s="8" t="n"/>
      <c r="CY304" s="8" t="n"/>
      <c r="CZ304" s="8" t="n"/>
      <c r="DA304" s="8" t="n"/>
      <c r="DB304" s="8" t="n"/>
      <c r="DC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8" t="n"/>
      <c r="AJ305" s="8" t="n"/>
      <c r="AK305" s="8" t="n"/>
      <c r="AL305" s="8" t="n"/>
      <c r="AM305" s="8" t="n"/>
      <c r="AN305" s="8" t="n"/>
      <c r="AO305" s="8" t="n"/>
      <c r="AP305" s="8" t="n"/>
      <c r="AQ305" s="8" t="n"/>
      <c r="AR305" s="8" t="n"/>
      <c r="AS305" s="8" t="n"/>
      <c r="AT305" s="8" t="n"/>
      <c r="AU305" s="8" t="n"/>
      <c r="AV305" s="8" t="n"/>
      <c r="AW305" s="8" t="n"/>
      <c r="AX305" s="8" t="n"/>
      <c r="AY305" s="8" t="n"/>
      <c r="AZ305" s="8" t="n"/>
      <c r="BA305" s="8" t="n"/>
      <c r="BB305" s="8" t="n"/>
      <c r="BC305" s="8" t="n"/>
      <c r="BD305" s="8" t="n"/>
      <c r="BE305" s="8" t="n"/>
      <c r="BF305" s="8" t="n"/>
      <c r="BG305" s="8" t="n"/>
      <c r="BH305" s="8" t="n"/>
      <c r="BI305" s="8" t="n"/>
      <c r="BJ305" s="153" t="n">
        <v>227</v>
      </c>
      <c r="BK305" s="153" t="inlineStr">
        <is>
          <t>ELABORACION DE LEVADURA</t>
        </is>
      </c>
      <c r="BL305" s="153" t="n"/>
      <c r="BM305" s="153" t="n"/>
      <c r="BN305" s="153" t="n"/>
      <c r="BO305" s="153" t="n"/>
      <c r="BP305" s="153" t="n"/>
      <c r="BQ305" s="153" t="n"/>
      <c r="BR305" s="153" t="n"/>
      <c r="BS305" s="153" t="n"/>
      <c r="BT305" s="153" t="n"/>
      <c r="BU305" s="8" t="n"/>
      <c r="BV305" s="8" t="n"/>
      <c r="BW305" s="8" t="n"/>
      <c r="BX305" s="8" t="n"/>
      <c r="BY305" s="8" t="n"/>
      <c r="BZ305" s="8" t="n"/>
      <c r="CA305" s="8" t="n"/>
      <c r="CB305" s="8" t="n"/>
      <c r="CC305" s="8" t="n"/>
      <c r="CD305" s="8" t="n"/>
      <c r="CE305" s="8" t="n"/>
      <c r="CF305" s="8" t="n"/>
      <c r="CG305" s="8" t="n"/>
      <c r="CH305" s="8" t="n"/>
      <c r="CI305" s="8" t="n"/>
      <c r="CJ305" s="8" t="n"/>
      <c r="CK305" s="8" t="n"/>
      <c r="CL305" s="8" t="n"/>
      <c r="CM305" s="8" t="n"/>
      <c r="CN305" s="8" t="n"/>
      <c r="CO305" s="8" t="n"/>
      <c r="CP305" s="8" t="n"/>
      <c r="CQ305" s="8" t="n"/>
      <c r="CR305" s="8" t="n"/>
      <c r="CS305" s="8" t="n"/>
      <c r="CT305" s="8" t="n"/>
      <c r="CU305" s="8" t="n"/>
      <c r="CV305" s="8" t="n"/>
      <c r="CW305" s="8" t="n"/>
      <c r="CX305" s="8" t="n"/>
      <c r="CY305" s="8" t="n"/>
      <c r="CZ305" s="8" t="n"/>
      <c r="DA305" s="8" t="n"/>
      <c r="DB305" s="8" t="n"/>
      <c r="DC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  <c r="AC306" s="8" t="n"/>
      <c r="AD306" s="8" t="n"/>
      <c r="AE306" s="8" t="n"/>
      <c r="AF306" s="8" t="n"/>
      <c r="AG306" s="8" t="n"/>
      <c r="AH306" s="8" t="n"/>
      <c r="AI306" s="8" t="n"/>
      <c r="AJ306" s="8" t="n"/>
      <c r="AK306" s="8" t="n"/>
      <c r="AL306" s="8" t="n"/>
      <c r="AM306" s="8" t="n"/>
      <c r="AN306" s="8" t="n"/>
      <c r="AO306" s="8" t="n"/>
      <c r="AP306" s="8" t="n"/>
      <c r="AQ306" s="8" t="n"/>
      <c r="AR306" s="8" t="n"/>
      <c r="AS306" s="8" t="n"/>
      <c r="AT306" s="8" t="n"/>
      <c r="AU306" s="8" t="n"/>
      <c r="AV306" s="8" t="n"/>
      <c r="AW306" s="8" t="n"/>
      <c r="AX306" s="8" t="n"/>
      <c r="AY306" s="8" t="n"/>
      <c r="AZ306" s="8" t="n"/>
      <c r="BA306" s="8" t="n"/>
      <c r="BB306" s="8" t="n"/>
      <c r="BC306" s="8" t="n"/>
      <c r="BD306" s="8" t="n"/>
      <c r="BE306" s="8" t="n"/>
      <c r="BF306" s="8" t="n"/>
      <c r="BG306" s="8" t="n"/>
      <c r="BH306" s="8" t="n"/>
      <c r="BI306" s="8" t="n"/>
      <c r="BJ306" s="153" t="n">
        <v>228</v>
      </c>
      <c r="BK306" s="153" t="inlineStr">
        <is>
          <t>ELABORACION DE ALIMENTOS FRESCOS PARA CONSUMO INMEDIATO</t>
        </is>
      </c>
      <c r="BL306" s="153" t="n"/>
      <c r="BM306" s="153" t="n"/>
      <c r="BN306" s="153" t="n"/>
      <c r="BO306" s="153" t="n"/>
      <c r="BP306" s="153" t="n"/>
      <c r="BQ306" s="153" t="n"/>
      <c r="BR306" s="153" t="n"/>
      <c r="BS306" s="153" t="n"/>
      <c r="BT306" s="153" t="n"/>
      <c r="BU306" s="8" t="n"/>
      <c r="BV306" s="8" t="n"/>
      <c r="BW306" s="8" t="n"/>
      <c r="BX306" s="8" t="n"/>
      <c r="BY306" s="8" t="n"/>
      <c r="BZ306" s="8" t="n"/>
      <c r="CA306" s="8" t="n"/>
      <c r="CB306" s="8" t="n"/>
      <c r="CC306" s="8" t="n"/>
      <c r="CD306" s="8" t="n"/>
      <c r="CE306" s="8" t="n"/>
      <c r="CF306" s="8" t="n"/>
      <c r="CG306" s="8" t="n"/>
      <c r="CH306" s="8" t="n"/>
      <c r="CI306" s="8" t="n"/>
      <c r="CJ306" s="8" t="n"/>
      <c r="CK306" s="8" t="n"/>
      <c r="CL306" s="8" t="n"/>
      <c r="CM306" s="8" t="n"/>
      <c r="CN306" s="8" t="n"/>
      <c r="CO306" s="8" t="n"/>
      <c r="CP306" s="8" t="n"/>
      <c r="CQ306" s="8" t="n"/>
      <c r="CR306" s="8" t="n"/>
      <c r="CS306" s="8" t="n"/>
      <c r="CT306" s="8" t="n"/>
      <c r="CU306" s="8" t="n"/>
      <c r="CV306" s="8" t="n"/>
      <c r="CW306" s="8" t="n"/>
      <c r="CX306" s="8" t="n"/>
      <c r="CY306" s="8" t="n"/>
      <c r="CZ306" s="8" t="n"/>
      <c r="DA306" s="8" t="n"/>
      <c r="DB306" s="8" t="n"/>
      <c r="DC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  <c r="AC307" s="8" t="n"/>
      <c r="AD307" s="8" t="n"/>
      <c r="AE307" s="8" t="n"/>
      <c r="AF307" s="8" t="n"/>
      <c r="AG307" s="8" t="n"/>
      <c r="AH307" s="8" t="n"/>
      <c r="AI307" s="8" t="n"/>
      <c r="AJ307" s="8" t="n"/>
      <c r="AK307" s="8" t="n"/>
      <c r="AL307" s="8" t="n"/>
      <c r="AM307" s="8" t="n"/>
      <c r="AN307" s="8" t="n"/>
      <c r="AO307" s="8" t="n"/>
      <c r="AP307" s="8" t="n"/>
      <c r="AQ307" s="8" t="n"/>
      <c r="AR307" s="8" t="n"/>
      <c r="AS307" s="8" t="n"/>
      <c r="AT307" s="8" t="n"/>
      <c r="AU307" s="8" t="n"/>
      <c r="AV307" s="8" t="n"/>
      <c r="AW307" s="8" t="n"/>
      <c r="AX307" s="8" t="n"/>
      <c r="AY307" s="8" t="n"/>
      <c r="AZ307" s="8" t="n"/>
      <c r="BA307" s="8" t="n"/>
      <c r="BB307" s="8" t="n"/>
      <c r="BC307" s="8" t="n"/>
      <c r="BD307" s="8" t="n"/>
      <c r="BE307" s="8" t="n"/>
      <c r="BF307" s="8" t="n"/>
      <c r="BG307" s="8" t="n"/>
      <c r="BH307" s="8" t="n"/>
      <c r="BI307" s="8" t="n"/>
      <c r="BJ307" s="153" t="n">
        <v>229</v>
      </c>
      <c r="BK307" s="153" t="inlineStr">
        <is>
          <t>ELABORACION DE OTROS ALIMENTOS</t>
        </is>
      </c>
      <c r="BL307" s="153" t="n"/>
      <c r="BM307" s="153" t="n"/>
      <c r="BN307" s="153" t="n"/>
      <c r="BO307" s="153" t="n"/>
      <c r="BP307" s="153" t="n"/>
      <c r="BQ307" s="153" t="n"/>
      <c r="BR307" s="153" t="n"/>
      <c r="BS307" s="153" t="n"/>
      <c r="BT307" s="153" t="n"/>
      <c r="BU307" s="8" t="n"/>
      <c r="BV307" s="8" t="n"/>
      <c r="BW307" s="8" t="n"/>
      <c r="BX307" s="8" t="n"/>
      <c r="BY307" s="8" t="n"/>
      <c r="BZ307" s="8" t="n"/>
      <c r="CA307" s="8" t="n"/>
      <c r="CB307" s="8" t="n"/>
      <c r="CC307" s="8" t="n"/>
      <c r="CD307" s="8" t="n"/>
      <c r="CE307" s="8" t="n"/>
      <c r="CF307" s="8" t="n"/>
      <c r="CG307" s="8" t="n"/>
      <c r="CH307" s="8" t="n"/>
      <c r="CI307" s="8" t="n"/>
      <c r="CJ307" s="8" t="n"/>
      <c r="CK307" s="8" t="n"/>
      <c r="CL307" s="8" t="n"/>
      <c r="CM307" s="8" t="n"/>
      <c r="CN307" s="8" t="n"/>
      <c r="CO307" s="8" t="n"/>
      <c r="CP307" s="8" t="n"/>
      <c r="CQ307" s="8" t="n"/>
      <c r="CR307" s="8" t="n"/>
      <c r="CS307" s="8" t="n"/>
      <c r="CT307" s="8" t="n"/>
      <c r="CU307" s="8" t="n"/>
      <c r="CV307" s="8" t="n"/>
      <c r="CW307" s="8" t="n"/>
      <c r="CX307" s="8" t="n"/>
      <c r="CY307" s="8" t="n"/>
      <c r="CZ307" s="8" t="n"/>
      <c r="DA307" s="8" t="n"/>
      <c r="DB307" s="8" t="n"/>
      <c r="DC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  <c r="AM308" s="8" t="n"/>
      <c r="AN308" s="8" t="n"/>
      <c r="AO308" s="8" t="n"/>
      <c r="AP308" s="8" t="n"/>
      <c r="AQ308" s="8" t="n"/>
      <c r="AR308" s="8" t="n"/>
      <c r="AS308" s="8" t="n"/>
      <c r="AT308" s="8" t="n"/>
      <c r="AU308" s="8" t="n"/>
      <c r="AV308" s="8" t="n"/>
      <c r="AW308" s="8" t="n"/>
      <c r="AX308" s="8" t="n"/>
      <c r="AY308" s="8" t="n"/>
      <c r="AZ308" s="8" t="n"/>
      <c r="BA308" s="8" t="n"/>
      <c r="BB308" s="8" t="n"/>
      <c r="BC308" s="8" t="n"/>
      <c r="BD308" s="8" t="n"/>
      <c r="BE308" s="8" t="n"/>
      <c r="BF308" s="8" t="n"/>
      <c r="BG308" s="8" t="n"/>
      <c r="BH308" s="8" t="n"/>
      <c r="BI308" s="8" t="n"/>
      <c r="BJ308" s="153" t="n">
        <v>230</v>
      </c>
      <c r="BK308" s="153" t="inlineStr">
        <is>
          <t>PRODUCTOR, ENVASADOR O FABRICANTE DE REFRESCOS QUE NO UTILIZA EN SU ELABORACION COMO EDULCORANTE UNICAMENTE LA CA?A DE AZUCAR</t>
        </is>
      </c>
      <c r="BL308" s="153" t="n"/>
      <c r="BM308" s="153" t="n"/>
      <c r="BN308" s="153" t="n"/>
      <c r="BO308" s="153" t="n"/>
      <c r="BP308" s="153" t="n"/>
      <c r="BQ308" s="153" t="n"/>
      <c r="BR308" s="153" t="n"/>
      <c r="BS308" s="153" t="n"/>
      <c r="BT308" s="153" t="n"/>
      <c r="BU308" s="8" t="n"/>
      <c r="BV308" s="8" t="n"/>
      <c r="BW308" s="8" t="n"/>
      <c r="BX308" s="8" t="n"/>
      <c r="BY308" s="8" t="n"/>
      <c r="BZ308" s="8" t="n"/>
      <c r="CA308" s="8" t="n"/>
      <c r="CB308" s="8" t="n"/>
      <c r="CC308" s="8" t="n"/>
      <c r="CD308" s="8" t="n"/>
      <c r="CE308" s="8" t="n"/>
      <c r="CF308" s="8" t="n"/>
      <c r="CG308" s="8" t="n"/>
      <c r="CH308" s="8" t="n"/>
      <c r="CI308" s="8" t="n"/>
      <c r="CJ308" s="8" t="n"/>
      <c r="CK308" s="8" t="n"/>
      <c r="CL308" s="8" t="n"/>
      <c r="CM308" s="8" t="n"/>
      <c r="CN308" s="8" t="n"/>
      <c r="CO308" s="8" t="n"/>
      <c r="CP308" s="8" t="n"/>
      <c r="CQ308" s="8" t="n"/>
      <c r="CR308" s="8" t="n"/>
      <c r="CS308" s="8" t="n"/>
      <c r="CT308" s="8" t="n"/>
      <c r="CU308" s="8" t="n"/>
      <c r="CV308" s="8" t="n"/>
      <c r="CW308" s="8" t="n"/>
      <c r="CX308" s="8" t="n"/>
      <c r="CY308" s="8" t="n"/>
      <c r="CZ308" s="8" t="n"/>
      <c r="DA308" s="8" t="n"/>
      <c r="DB308" s="8" t="n"/>
      <c r="DC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8" t="n"/>
      <c r="AJ309" s="8" t="n"/>
      <c r="AK309" s="8" t="n"/>
      <c r="AL309" s="8" t="n"/>
      <c r="AM309" s="8" t="n"/>
      <c r="AN309" s="8" t="n"/>
      <c r="AO309" s="8" t="n"/>
      <c r="AP309" s="8" t="n"/>
      <c r="AQ309" s="8" t="n"/>
      <c r="AR309" s="8" t="n"/>
      <c r="AS309" s="8" t="n"/>
      <c r="AT309" s="8" t="n"/>
      <c r="AU309" s="8" t="n"/>
      <c r="AV309" s="8" t="n"/>
      <c r="AW309" s="8" t="n"/>
      <c r="AX309" s="8" t="n"/>
      <c r="AY309" s="8" t="n"/>
      <c r="AZ309" s="8" t="n"/>
      <c r="BA309" s="8" t="n"/>
      <c r="BB309" s="8" t="n"/>
      <c r="BC309" s="8" t="n"/>
      <c r="BD309" s="8" t="n"/>
      <c r="BE309" s="8" t="n"/>
      <c r="BF309" s="8" t="n"/>
      <c r="BG309" s="8" t="n"/>
      <c r="BH309" s="8" t="n"/>
      <c r="BI309" s="8" t="n"/>
      <c r="BJ309" s="153" t="n">
        <v>231</v>
      </c>
      <c r="BK309" s="153" t="inlineStr">
        <is>
          <t>PRODUCTOR, ENVASADOR O FABRICANTE DE BEBIDAS HIDRATANTES O REHIDRATANTES QUE NO UTILIZA EN SU ELABORACION COMO EDULCORANTE UNICAMENTE LA CA?A DE AZUCAR</t>
        </is>
      </c>
      <c r="BL309" s="153" t="n"/>
      <c r="BM309" s="153" t="n"/>
      <c r="BN309" s="153" t="n"/>
      <c r="BO309" s="153" t="n"/>
      <c r="BP309" s="153" t="n"/>
      <c r="BQ309" s="153" t="n"/>
      <c r="BR309" s="153" t="n"/>
      <c r="BS309" s="153" t="n"/>
      <c r="BT309" s="153" t="n"/>
      <c r="BU309" s="8" t="n"/>
      <c r="BV309" s="8" t="n"/>
      <c r="BW309" s="8" t="n"/>
      <c r="BX309" s="8" t="n"/>
      <c r="BY309" s="8" t="n"/>
      <c r="BZ309" s="8" t="n"/>
      <c r="CA309" s="8" t="n"/>
      <c r="CB309" s="8" t="n"/>
      <c r="CC309" s="8" t="n"/>
      <c r="CD309" s="8" t="n"/>
      <c r="CE309" s="8" t="n"/>
      <c r="CF309" s="8" t="n"/>
      <c r="CG309" s="8" t="n"/>
      <c r="CH309" s="8" t="n"/>
      <c r="CI309" s="8" t="n"/>
      <c r="CJ309" s="8" t="n"/>
      <c r="CK309" s="8" t="n"/>
      <c r="CL309" s="8" t="n"/>
      <c r="CM309" s="8" t="n"/>
      <c r="CN309" s="8" t="n"/>
      <c r="CO309" s="8" t="n"/>
      <c r="CP309" s="8" t="n"/>
      <c r="CQ309" s="8" t="n"/>
      <c r="CR309" s="8" t="n"/>
      <c r="CS309" s="8" t="n"/>
      <c r="CT309" s="8" t="n"/>
      <c r="CU309" s="8" t="n"/>
      <c r="CV309" s="8" t="n"/>
      <c r="CW309" s="8" t="n"/>
      <c r="CX309" s="8" t="n"/>
      <c r="CY309" s="8" t="n"/>
      <c r="CZ309" s="8" t="n"/>
      <c r="DA309" s="8" t="n"/>
      <c r="DB309" s="8" t="n"/>
      <c r="DC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  <c r="AE310" s="8" t="n"/>
      <c r="AF310" s="8" t="n"/>
      <c r="AG310" s="8" t="n"/>
      <c r="AH310" s="8" t="n"/>
      <c r="AI310" s="8" t="n"/>
      <c r="AJ310" s="8" t="n"/>
      <c r="AK310" s="8" t="n"/>
      <c r="AL310" s="8" t="n"/>
      <c r="AM310" s="8" t="n"/>
      <c r="AN310" s="8" t="n"/>
      <c r="AO310" s="8" t="n"/>
      <c r="AP310" s="8" t="n"/>
      <c r="AQ310" s="8" t="n"/>
      <c r="AR310" s="8" t="n"/>
      <c r="AS310" s="8" t="n"/>
      <c r="AT310" s="8" t="n"/>
      <c r="AU310" s="8" t="n"/>
      <c r="AV310" s="8" t="n"/>
      <c r="AW310" s="8" t="n"/>
      <c r="AX310" s="8" t="n"/>
      <c r="AY310" s="8" t="n"/>
      <c r="AZ310" s="8" t="n"/>
      <c r="BA310" s="8" t="n"/>
      <c r="BB310" s="8" t="n"/>
      <c r="BC310" s="8" t="n"/>
      <c r="BD310" s="8" t="n"/>
      <c r="BE310" s="8" t="n"/>
      <c r="BF310" s="8" t="n"/>
      <c r="BG310" s="8" t="n"/>
      <c r="BH310" s="8" t="n"/>
      <c r="BI310" s="8" t="n"/>
      <c r="BJ310" s="153" t="n">
        <v>232</v>
      </c>
      <c r="BK310" s="153" t="inlineStr">
        <is>
          <t>PURIFICACION DE AGUA (POR FILTRACION, PASTEURIZACION, OSMOSIS INVERSA, ETC.)</t>
        </is>
      </c>
      <c r="BL310" s="153" t="n"/>
      <c r="BM310" s="153" t="n"/>
      <c r="BN310" s="153" t="n"/>
      <c r="BO310" s="153" t="n"/>
      <c r="BP310" s="153" t="n"/>
      <c r="BQ310" s="153" t="n"/>
      <c r="BR310" s="153" t="n"/>
      <c r="BS310" s="153" t="n"/>
      <c r="BT310" s="153" t="n"/>
      <c r="BU310" s="8" t="n"/>
      <c r="BV310" s="8" t="n"/>
      <c r="BW310" s="8" t="n"/>
      <c r="BX310" s="8" t="n"/>
      <c r="BY310" s="8" t="n"/>
      <c r="BZ310" s="8" t="n"/>
      <c r="CA310" s="8" t="n"/>
      <c r="CB310" s="8" t="n"/>
      <c r="CC310" s="8" t="n"/>
      <c r="CD310" s="8" t="n"/>
      <c r="CE310" s="8" t="n"/>
      <c r="CF310" s="8" t="n"/>
      <c r="CG310" s="8" t="n"/>
      <c r="CH310" s="8" t="n"/>
      <c r="CI310" s="8" t="n"/>
      <c r="CJ310" s="8" t="n"/>
      <c r="CK310" s="8" t="n"/>
      <c r="CL310" s="8" t="n"/>
      <c r="CM310" s="8" t="n"/>
      <c r="CN310" s="8" t="n"/>
      <c r="CO310" s="8" t="n"/>
      <c r="CP310" s="8" t="n"/>
      <c r="CQ310" s="8" t="n"/>
      <c r="CR310" s="8" t="n"/>
      <c r="CS310" s="8" t="n"/>
      <c r="CT310" s="8" t="n"/>
      <c r="CU310" s="8" t="n"/>
      <c r="CV310" s="8" t="n"/>
      <c r="CW310" s="8" t="n"/>
      <c r="CX310" s="8" t="n"/>
      <c r="CY310" s="8" t="n"/>
      <c r="CZ310" s="8" t="n"/>
      <c r="DA310" s="8" t="n"/>
      <c r="DB310" s="8" t="n"/>
      <c r="DC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  <c r="AM311" s="8" t="n"/>
      <c r="AN311" s="8" t="n"/>
      <c r="AO311" s="8" t="n"/>
      <c r="AP311" s="8" t="n"/>
      <c r="AQ311" s="8" t="n"/>
      <c r="AR311" s="8" t="n"/>
      <c r="AS311" s="8" t="n"/>
      <c r="AT311" s="8" t="n"/>
      <c r="AU311" s="8" t="n"/>
      <c r="AV311" s="8" t="n"/>
      <c r="AW311" s="8" t="n"/>
      <c r="AX311" s="8" t="n"/>
      <c r="AY311" s="8" t="n"/>
      <c r="AZ311" s="8" t="n"/>
      <c r="BA311" s="8" t="n"/>
      <c r="BB311" s="8" t="n"/>
      <c r="BC311" s="8" t="n"/>
      <c r="BD311" s="8" t="n"/>
      <c r="BE311" s="8" t="n"/>
      <c r="BF311" s="8" t="n"/>
      <c r="BG311" s="8" t="n"/>
      <c r="BH311" s="8" t="n"/>
      <c r="BI311" s="8" t="n"/>
      <c r="BJ311" s="153" t="n">
        <v>233</v>
      </c>
      <c r="BK311" s="153" t="inlineStr">
        <is>
          <t>ELABORACION DE HIELO</t>
        </is>
      </c>
      <c r="BL311" s="153" t="n"/>
      <c r="BM311" s="153" t="n"/>
      <c r="BN311" s="153" t="n"/>
      <c r="BO311" s="153" t="n"/>
      <c r="BP311" s="153" t="n"/>
      <c r="BQ311" s="153" t="n"/>
      <c r="BR311" s="153" t="n"/>
      <c r="BS311" s="153" t="n"/>
      <c r="BT311" s="153" t="n"/>
      <c r="BU311" s="8" t="n"/>
      <c r="BV311" s="8" t="n"/>
      <c r="BW311" s="8" t="n"/>
      <c r="BX311" s="8" t="n"/>
      <c r="BY311" s="8" t="n"/>
      <c r="BZ311" s="8" t="n"/>
      <c r="CA311" s="8" t="n"/>
      <c r="CB311" s="8" t="n"/>
      <c r="CC311" s="8" t="n"/>
      <c r="CD311" s="8" t="n"/>
      <c r="CE311" s="8" t="n"/>
      <c r="CF311" s="8" t="n"/>
      <c r="CG311" s="8" t="n"/>
      <c r="CH311" s="8" t="n"/>
      <c r="CI311" s="8" t="n"/>
      <c r="CJ311" s="8" t="n"/>
      <c r="CK311" s="8" t="n"/>
      <c r="CL311" s="8" t="n"/>
      <c r="CM311" s="8" t="n"/>
      <c r="CN311" s="8" t="n"/>
      <c r="CO311" s="8" t="n"/>
      <c r="CP311" s="8" t="n"/>
      <c r="CQ311" s="8" t="n"/>
      <c r="CR311" s="8" t="n"/>
      <c r="CS311" s="8" t="n"/>
      <c r="CT311" s="8" t="n"/>
      <c r="CU311" s="8" t="n"/>
      <c r="CV311" s="8" t="n"/>
      <c r="CW311" s="8" t="n"/>
      <c r="CX311" s="8" t="n"/>
      <c r="CY311" s="8" t="n"/>
      <c r="CZ311" s="8" t="n"/>
      <c r="DA311" s="8" t="n"/>
      <c r="DB311" s="8" t="n"/>
      <c r="DC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8" t="n"/>
      <c r="AK312" s="8" t="n"/>
      <c r="AL312" s="8" t="n"/>
      <c r="AM312" s="8" t="n"/>
      <c r="AN312" s="8" t="n"/>
      <c r="AO312" s="8" t="n"/>
      <c r="AP312" s="8" t="n"/>
      <c r="AQ312" s="8" t="n"/>
      <c r="AR312" s="8" t="n"/>
      <c r="AS312" s="8" t="n"/>
      <c r="AT312" s="8" t="n"/>
      <c r="AU312" s="8" t="n"/>
      <c r="AV312" s="8" t="n"/>
      <c r="AW312" s="8" t="n"/>
      <c r="AX312" s="8" t="n"/>
      <c r="AY312" s="8" t="n"/>
      <c r="AZ312" s="8" t="n"/>
      <c r="BA312" s="8" t="n"/>
      <c r="BB312" s="8" t="n"/>
      <c r="BC312" s="8" t="n"/>
      <c r="BD312" s="8" t="n"/>
      <c r="BE312" s="8" t="n"/>
      <c r="BF312" s="8" t="n"/>
      <c r="BG312" s="8" t="n"/>
      <c r="BH312" s="8" t="n"/>
      <c r="BI312" s="8" t="n"/>
      <c r="BJ312" s="153" t="n">
        <v>234</v>
      </c>
      <c r="BK312" s="153" t="inlineStr">
        <is>
          <t>PRODUCCION, FABRICACION O ENVASADO DE DE CERVEZA</t>
        </is>
      </c>
      <c r="BL312" s="153" t="n"/>
      <c r="BM312" s="153" t="n"/>
      <c r="BN312" s="153" t="n"/>
      <c r="BO312" s="153" t="n"/>
      <c r="BP312" s="153" t="n"/>
      <c r="BQ312" s="153" t="n"/>
      <c r="BR312" s="153" t="n"/>
      <c r="BS312" s="153" t="n"/>
      <c r="BT312" s="153" t="n"/>
      <c r="BU312" s="8" t="n"/>
      <c r="BV312" s="8" t="n"/>
      <c r="BW312" s="8" t="n"/>
      <c r="BX312" s="8" t="n"/>
      <c r="BY312" s="8" t="n"/>
      <c r="BZ312" s="8" t="n"/>
      <c r="CA312" s="8" t="n"/>
      <c r="CB312" s="8" t="n"/>
      <c r="CC312" s="8" t="n"/>
      <c r="CD312" s="8" t="n"/>
      <c r="CE312" s="8" t="n"/>
      <c r="CF312" s="8" t="n"/>
      <c r="CG312" s="8" t="n"/>
      <c r="CH312" s="8" t="n"/>
      <c r="CI312" s="8" t="n"/>
      <c r="CJ312" s="8" t="n"/>
      <c r="CK312" s="8" t="n"/>
      <c r="CL312" s="8" t="n"/>
      <c r="CM312" s="8" t="n"/>
      <c r="CN312" s="8" t="n"/>
      <c r="CO312" s="8" t="n"/>
      <c r="CP312" s="8" t="n"/>
      <c r="CQ312" s="8" t="n"/>
      <c r="CR312" s="8" t="n"/>
      <c r="CS312" s="8" t="n"/>
      <c r="CT312" s="8" t="n"/>
      <c r="CU312" s="8" t="n"/>
      <c r="CV312" s="8" t="n"/>
      <c r="CW312" s="8" t="n"/>
      <c r="CX312" s="8" t="n"/>
      <c r="CY312" s="8" t="n"/>
      <c r="CZ312" s="8" t="n"/>
      <c r="DA312" s="8" t="n"/>
      <c r="DB312" s="8" t="n"/>
      <c r="DC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8" t="n"/>
      <c r="AK313" s="8" t="n"/>
      <c r="AL313" s="8" t="n"/>
      <c r="AM313" s="8" t="n"/>
      <c r="AN313" s="8" t="n"/>
      <c r="AO313" s="8" t="n"/>
      <c r="AP313" s="8" t="n"/>
      <c r="AQ313" s="8" t="n"/>
      <c r="AR313" s="8" t="n"/>
      <c r="AS313" s="8" t="n"/>
      <c r="AT313" s="8" t="n"/>
      <c r="AU313" s="8" t="n"/>
      <c r="AV313" s="8" t="n"/>
      <c r="AW313" s="8" t="n"/>
      <c r="AX313" s="8" t="n"/>
      <c r="AY313" s="8" t="n"/>
      <c r="AZ313" s="8" t="n"/>
      <c r="BA313" s="8" t="n"/>
      <c r="BB313" s="8" t="n"/>
      <c r="BC313" s="8" t="n"/>
      <c r="BD313" s="8" t="n"/>
      <c r="BE313" s="8" t="n"/>
      <c r="BF313" s="8" t="n"/>
      <c r="BG313" s="8" t="n"/>
      <c r="BH313" s="8" t="n"/>
      <c r="BI313" s="8" t="n"/>
      <c r="BJ313" s="153" t="n">
        <v>235</v>
      </c>
      <c r="BK313" s="153" t="inlineStr">
        <is>
          <t>PRODUCCION, FABRICACION O ENVASADO DE VINOS DE MESA</t>
        </is>
      </c>
      <c r="BL313" s="153" t="n"/>
      <c r="BM313" s="153" t="n"/>
      <c r="BN313" s="153" t="n"/>
      <c r="BO313" s="153" t="n"/>
      <c r="BP313" s="153" t="n"/>
      <c r="BQ313" s="153" t="n"/>
      <c r="BR313" s="153" t="n"/>
      <c r="BS313" s="153" t="n"/>
      <c r="BT313" s="153" t="n"/>
      <c r="BU313" s="8" t="n"/>
      <c r="BV313" s="8" t="n"/>
      <c r="BW313" s="8" t="n"/>
      <c r="BX313" s="8" t="n"/>
      <c r="BY313" s="8" t="n"/>
      <c r="BZ313" s="8" t="n"/>
      <c r="CA313" s="8" t="n"/>
      <c r="CB313" s="8" t="n"/>
      <c r="CC313" s="8" t="n"/>
      <c r="CD313" s="8" t="n"/>
      <c r="CE313" s="8" t="n"/>
      <c r="CF313" s="8" t="n"/>
      <c r="CG313" s="8" t="n"/>
      <c r="CH313" s="8" t="n"/>
      <c r="CI313" s="8" t="n"/>
      <c r="CJ313" s="8" t="n"/>
      <c r="CK313" s="8" t="n"/>
      <c r="CL313" s="8" t="n"/>
      <c r="CM313" s="8" t="n"/>
      <c r="CN313" s="8" t="n"/>
      <c r="CO313" s="8" t="n"/>
      <c r="CP313" s="8" t="n"/>
      <c r="CQ313" s="8" t="n"/>
      <c r="CR313" s="8" t="n"/>
      <c r="CS313" s="8" t="n"/>
      <c r="CT313" s="8" t="n"/>
      <c r="CU313" s="8" t="n"/>
      <c r="CV313" s="8" t="n"/>
      <c r="CW313" s="8" t="n"/>
      <c r="CX313" s="8" t="n"/>
      <c r="CY313" s="8" t="n"/>
      <c r="CZ313" s="8" t="n"/>
      <c r="DA313" s="8" t="n"/>
      <c r="DB313" s="8" t="n"/>
      <c r="DC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8" t="n"/>
      <c r="AM314" s="8" t="n"/>
      <c r="AN314" s="8" t="n"/>
      <c r="AO314" s="8" t="n"/>
      <c r="AP314" s="8" t="n"/>
      <c r="AQ314" s="8" t="n"/>
      <c r="AR314" s="8" t="n"/>
      <c r="AS314" s="8" t="n"/>
      <c r="AT314" s="8" t="n"/>
      <c r="AU314" s="8" t="n"/>
      <c r="AV314" s="8" t="n"/>
      <c r="AW314" s="8" t="n"/>
      <c r="AX314" s="8" t="n"/>
      <c r="AY314" s="8" t="n"/>
      <c r="AZ314" s="8" t="n"/>
      <c r="BA314" s="8" t="n"/>
      <c r="BB314" s="8" t="n"/>
      <c r="BC314" s="8" t="n"/>
      <c r="BD314" s="8" t="n"/>
      <c r="BE314" s="8" t="n"/>
      <c r="BF314" s="8" t="n"/>
      <c r="BG314" s="8" t="n"/>
      <c r="BH314" s="8" t="n"/>
      <c r="BI314" s="8" t="n"/>
      <c r="BJ314" s="153" t="n">
        <v>236</v>
      </c>
      <c r="BK314" s="153" t="inlineStr">
        <is>
          <t>PRODUCCION, FABRICACION, O ENVASADO DE BEBIDAS REFRESCANTES</t>
        </is>
      </c>
      <c r="BL314" s="153" t="n"/>
      <c r="BM314" s="153" t="n"/>
      <c r="BN314" s="153" t="n"/>
      <c r="BO314" s="153" t="n"/>
      <c r="BP314" s="153" t="n"/>
      <c r="BQ314" s="153" t="n"/>
      <c r="BR314" s="153" t="n"/>
      <c r="BS314" s="153" t="n"/>
      <c r="BT314" s="153" t="n"/>
      <c r="BU314" s="8" t="n"/>
      <c r="BV314" s="8" t="n"/>
      <c r="BW314" s="8" t="n"/>
      <c r="BX314" s="8" t="n"/>
      <c r="BY314" s="8" t="n"/>
      <c r="BZ314" s="8" t="n"/>
      <c r="CA314" s="8" t="n"/>
      <c r="CB314" s="8" t="n"/>
      <c r="CC314" s="8" t="n"/>
      <c r="CD314" s="8" t="n"/>
      <c r="CE314" s="8" t="n"/>
      <c r="CF314" s="8" t="n"/>
      <c r="CG314" s="8" t="n"/>
      <c r="CH314" s="8" t="n"/>
      <c r="CI314" s="8" t="n"/>
      <c r="CJ314" s="8" t="n"/>
      <c r="CK314" s="8" t="n"/>
      <c r="CL314" s="8" t="n"/>
      <c r="CM314" s="8" t="n"/>
      <c r="CN314" s="8" t="n"/>
      <c r="CO314" s="8" t="n"/>
      <c r="CP314" s="8" t="n"/>
      <c r="CQ314" s="8" t="n"/>
      <c r="CR314" s="8" t="n"/>
      <c r="CS314" s="8" t="n"/>
      <c r="CT314" s="8" t="n"/>
      <c r="CU314" s="8" t="n"/>
      <c r="CV314" s="8" t="n"/>
      <c r="CW314" s="8" t="n"/>
      <c r="CX314" s="8" t="n"/>
      <c r="CY314" s="8" t="n"/>
      <c r="CZ314" s="8" t="n"/>
      <c r="DA314" s="8" t="n"/>
      <c r="DB314" s="8" t="n"/>
      <c r="DC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8" t="n"/>
      <c r="AM315" s="8" t="n"/>
      <c r="AN315" s="8" t="n"/>
      <c r="AO315" s="8" t="n"/>
      <c r="AP315" s="8" t="n"/>
      <c r="AQ315" s="8" t="n"/>
      <c r="AR315" s="8" t="n"/>
      <c r="AS315" s="8" t="n"/>
      <c r="AT315" s="8" t="n"/>
      <c r="AU315" s="8" t="n"/>
      <c r="AV315" s="8" t="n"/>
      <c r="AW315" s="8" t="n"/>
      <c r="AX315" s="8" t="n"/>
      <c r="AY315" s="8" t="n"/>
      <c r="AZ315" s="8" t="n"/>
      <c r="BA315" s="8" t="n"/>
      <c r="BB315" s="8" t="n"/>
      <c r="BC315" s="8" t="n"/>
      <c r="BD315" s="8" t="n"/>
      <c r="BE315" s="8" t="n"/>
      <c r="BF315" s="8" t="n"/>
      <c r="BG315" s="8" t="n"/>
      <c r="BH315" s="8" t="n"/>
      <c r="BI315" s="8" t="n"/>
      <c r="BJ315" s="153" t="n">
        <v>237</v>
      </c>
      <c r="BK315" s="153" t="inlineStr">
        <is>
          <t>PRODUCCION, FABRICACION, O ENVASADO DE OTRAS BEBIDAS A BASE DE UVA</t>
        </is>
      </c>
      <c r="BL315" s="153" t="n"/>
      <c r="BM315" s="153" t="n"/>
      <c r="BN315" s="153" t="n"/>
      <c r="BO315" s="153" t="n"/>
      <c r="BP315" s="153" t="n"/>
      <c r="BQ315" s="153" t="n"/>
      <c r="BR315" s="153" t="n"/>
      <c r="BS315" s="153" t="n"/>
      <c r="BT315" s="153" t="n"/>
      <c r="BU315" s="8" t="n"/>
      <c r="BV315" s="8" t="n"/>
      <c r="BW315" s="8" t="n"/>
      <c r="BX315" s="8" t="n"/>
      <c r="BY315" s="8" t="n"/>
      <c r="BZ315" s="8" t="n"/>
      <c r="CA315" s="8" t="n"/>
      <c r="CB315" s="8" t="n"/>
      <c r="CC315" s="8" t="n"/>
      <c r="CD315" s="8" t="n"/>
      <c r="CE315" s="8" t="n"/>
      <c r="CF315" s="8" t="n"/>
      <c r="CG315" s="8" t="n"/>
      <c r="CH315" s="8" t="n"/>
      <c r="CI315" s="8" t="n"/>
      <c r="CJ315" s="8" t="n"/>
      <c r="CK315" s="8" t="n"/>
      <c r="CL315" s="8" t="n"/>
      <c r="CM315" s="8" t="n"/>
      <c r="CN315" s="8" t="n"/>
      <c r="CO315" s="8" t="n"/>
      <c r="CP315" s="8" t="n"/>
      <c r="CQ315" s="8" t="n"/>
      <c r="CR315" s="8" t="n"/>
      <c r="CS315" s="8" t="n"/>
      <c r="CT315" s="8" t="n"/>
      <c r="CU315" s="8" t="n"/>
      <c r="CV315" s="8" t="n"/>
      <c r="CW315" s="8" t="n"/>
      <c r="CX315" s="8" t="n"/>
      <c r="CY315" s="8" t="n"/>
      <c r="CZ315" s="8" t="n"/>
      <c r="DA315" s="8" t="n"/>
      <c r="DB315" s="8" t="n"/>
      <c r="DC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8" t="n"/>
      <c r="AK316" s="8" t="n"/>
      <c r="AL316" s="8" t="n"/>
      <c r="AM316" s="8" t="n"/>
      <c r="AN316" s="8" t="n"/>
      <c r="AO316" s="8" t="n"/>
      <c r="AP316" s="8" t="n"/>
      <c r="AQ316" s="8" t="n"/>
      <c r="AR316" s="8" t="n"/>
      <c r="AS316" s="8" t="n"/>
      <c r="AT316" s="8" t="n"/>
      <c r="AU316" s="8" t="n"/>
      <c r="AV316" s="8" t="n"/>
      <c r="AW316" s="8" t="n"/>
      <c r="AX316" s="8" t="n"/>
      <c r="AY316" s="8" t="n"/>
      <c r="AZ316" s="8" t="n"/>
      <c r="BA316" s="8" t="n"/>
      <c r="BB316" s="8" t="n"/>
      <c r="BC316" s="8" t="n"/>
      <c r="BD316" s="8" t="n"/>
      <c r="BE316" s="8" t="n"/>
      <c r="BF316" s="8" t="n"/>
      <c r="BG316" s="8" t="n"/>
      <c r="BH316" s="8" t="n"/>
      <c r="BI316" s="8" t="n"/>
      <c r="BJ316" s="153" t="n">
        <v>238</v>
      </c>
      <c r="BK316" s="153" t="inlineStr">
        <is>
          <t>PRODUCCION, FABRICACION O ENVASADO DE AGUAMIEL Y PULQUE</t>
        </is>
      </c>
      <c r="BL316" s="153" t="n"/>
      <c r="BM316" s="153" t="n"/>
      <c r="BN316" s="153" t="n"/>
      <c r="BO316" s="153" t="n"/>
      <c r="BP316" s="153" t="n"/>
      <c r="BQ316" s="153" t="n"/>
      <c r="BR316" s="153" t="n"/>
      <c r="BS316" s="153" t="n"/>
      <c r="BT316" s="153" t="n"/>
      <c r="BU316" s="8" t="n"/>
      <c r="BV316" s="8" t="n"/>
      <c r="BW316" s="8" t="n"/>
      <c r="BX316" s="8" t="n"/>
      <c r="BY316" s="8" t="n"/>
      <c r="BZ316" s="8" t="n"/>
      <c r="CA316" s="8" t="n"/>
      <c r="CB316" s="8" t="n"/>
      <c r="CC316" s="8" t="n"/>
      <c r="CD316" s="8" t="n"/>
      <c r="CE316" s="8" t="n"/>
      <c r="CF316" s="8" t="n"/>
      <c r="CG316" s="8" t="n"/>
      <c r="CH316" s="8" t="n"/>
      <c r="CI316" s="8" t="n"/>
      <c r="CJ316" s="8" t="n"/>
      <c r="CK316" s="8" t="n"/>
      <c r="CL316" s="8" t="n"/>
      <c r="CM316" s="8" t="n"/>
      <c r="CN316" s="8" t="n"/>
      <c r="CO316" s="8" t="n"/>
      <c r="CP316" s="8" t="n"/>
      <c r="CQ316" s="8" t="n"/>
      <c r="CR316" s="8" t="n"/>
      <c r="CS316" s="8" t="n"/>
      <c r="CT316" s="8" t="n"/>
      <c r="CU316" s="8" t="n"/>
      <c r="CV316" s="8" t="n"/>
      <c r="CW316" s="8" t="n"/>
      <c r="CX316" s="8" t="n"/>
      <c r="CY316" s="8" t="n"/>
      <c r="CZ316" s="8" t="n"/>
      <c r="DA316" s="8" t="n"/>
      <c r="DB316" s="8" t="n"/>
      <c r="DC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8" t="n"/>
      <c r="AK317" s="8" t="n"/>
      <c r="AL317" s="8" t="n"/>
      <c r="AM317" s="8" t="n"/>
      <c r="AN317" s="8" t="n"/>
      <c r="AO317" s="8" t="n"/>
      <c r="AP317" s="8" t="n"/>
      <c r="AQ317" s="8" t="n"/>
      <c r="AR317" s="8" t="n"/>
      <c r="AS317" s="8" t="n"/>
      <c r="AT317" s="8" t="n"/>
      <c r="AU317" s="8" t="n"/>
      <c r="AV317" s="8" t="n"/>
      <c r="AW317" s="8" t="n"/>
      <c r="AX317" s="8" t="n"/>
      <c r="AY317" s="8" t="n"/>
      <c r="AZ317" s="8" t="n"/>
      <c r="BA317" s="8" t="n"/>
      <c r="BB317" s="8" t="n"/>
      <c r="BC317" s="8" t="n"/>
      <c r="BD317" s="8" t="n"/>
      <c r="BE317" s="8" t="n"/>
      <c r="BF317" s="8" t="n"/>
      <c r="BG317" s="8" t="n"/>
      <c r="BH317" s="8" t="n"/>
      <c r="BI317" s="8" t="n"/>
      <c r="BJ317" s="153" t="n">
        <v>239</v>
      </c>
      <c r="BK317" s="153" t="inlineStr">
        <is>
          <t>PRODUCCION, FABRICACION, O ENVASADO DE SIDRA Y OTRAS BEBIDAS FERMENTADAS</t>
        </is>
      </c>
      <c r="BL317" s="153" t="n"/>
      <c r="BM317" s="153" t="n"/>
      <c r="BN317" s="153" t="n"/>
      <c r="BO317" s="153" t="n"/>
      <c r="BP317" s="153" t="n"/>
      <c r="BQ317" s="153" t="n"/>
      <c r="BR317" s="153" t="n"/>
      <c r="BS317" s="153" t="n"/>
      <c r="BT317" s="153" t="n"/>
      <c r="BU317" s="8" t="n"/>
      <c r="BV317" s="8" t="n"/>
      <c r="BW317" s="8" t="n"/>
      <c r="BX317" s="8" t="n"/>
      <c r="BY317" s="8" t="n"/>
      <c r="BZ317" s="8" t="n"/>
      <c r="CA317" s="8" t="n"/>
      <c r="CB317" s="8" t="n"/>
      <c r="CC317" s="8" t="n"/>
      <c r="CD317" s="8" t="n"/>
      <c r="CE317" s="8" t="n"/>
      <c r="CF317" s="8" t="n"/>
      <c r="CG317" s="8" t="n"/>
      <c r="CH317" s="8" t="n"/>
      <c r="CI317" s="8" t="n"/>
      <c r="CJ317" s="8" t="n"/>
      <c r="CK317" s="8" t="n"/>
      <c r="CL317" s="8" t="n"/>
      <c r="CM317" s="8" t="n"/>
      <c r="CN317" s="8" t="n"/>
      <c r="CO317" s="8" t="n"/>
      <c r="CP317" s="8" t="n"/>
      <c r="CQ317" s="8" t="n"/>
      <c r="CR317" s="8" t="n"/>
      <c r="CS317" s="8" t="n"/>
      <c r="CT317" s="8" t="n"/>
      <c r="CU317" s="8" t="n"/>
      <c r="CV317" s="8" t="n"/>
      <c r="CW317" s="8" t="n"/>
      <c r="CX317" s="8" t="n"/>
      <c r="CY317" s="8" t="n"/>
      <c r="CZ317" s="8" t="n"/>
      <c r="DA317" s="8" t="n"/>
      <c r="DB317" s="8" t="n"/>
      <c r="DC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8" t="n"/>
      <c r="AM318" s="8" t="n"/>
      <c r="AN318" s="8" t="n"/>
      <c r="AO318" s="8" t="n"/>
      <c r="AP318" s="8" t="n"/>
      <c r="AQ318" s="8" t="n"/>
      <c r="AR318" s="8" t="n"/>
      <c r="AS318" s="8" t="n"/>
      <c r="AT318" s="8" t="n"/>
      <c r="AU318" s="8" t="n"/>
      <c r="AV318" s="8" t="n"/>
      <c r="AW318" s="8" t="n"/>
      <c r="AX318" s="8" t="n"/>
      <c r="AY318" s="8" t="n"/>
      <c r="AZ318" s="8" t="n"/>
      <c r="BA318" s="8" t="n"/>
      <c r="BB318" s="8" t="n"/>
      <c r="BC318" s="8" t="n"/>
      <c r="BD318" s="8" t="n"/>
      <c r="BE318" s="8" t="n"/>
      <c r="BF318" s="8" t="n"/>
      <c r="BG318" s="8" t="n"/>
      <c r="BH318" s="8" t="n"/>
      <c r="BI318" s="8" t="n"/>
      <c r="BJ318" s="153" t="n">
        <v>240</v>
      </c>
      <c r="BK318" s="153" t="inlineStr">
        <is>
          <t>PRODUCCION, FABRICACION, O ENVASADO DE RON Y OTRAS BEBIDAS DESTILADAS DE CA?A</t>
        </is>
      </c>
      <c r="BL318" s="153" t="n"/>
      <c r="BM318" s="153" t="n"/>
      <c r="BN318" s="153" t="n"/>
      <c r="BO318" s="153" t="n"/>
      <c r="BP318" s="153" t="n"/>
      <c r="BQ318" s="153" t="n"/>
      <c r="BR318" s="153" t="n"/>
      <c r="BS318" s="153" t="n"/>
      <c r="BT318" s="153" t="n"/>
      <c r="BU318" s="8" t="n"/>
      <c r="BV318" s="8" t="n"/>
      <c r="BW318" s="8" t="n"/>
      <c r="BX318" s="8" t="n"/>
      <c r="BY318" s="8" t="n"/>
      <c r="BZ318" s="8" t="n"/>
      <c r="CA318" s="8" t="n"/>
      <c r="CB318" s="8" t="n"/>
      <c r="CC318" s="8" t="n"/>
      <c r="CD318" s="8" t="n"/>
      <c r="CE318" s="8" t="n"/>
      <c r="CF318" s="8" t="n"/>
      <c r="CG318" s="8" t="n"/>
      <c r="CH318" s="8" t="n"/>
      <c r="CI318" s="8" t="n"/>
      <c r="CJ318" s="8" t="n"/>
      <c r="CK318" s="8" t="n"/>
      <c r="CL318" s="8" t="n"/>
      <c r="CM318" s="8" t="n"/>
      <c r="CN318" s="8" t="n"/>
      <c r="CO318" s="8" t="n"/>
      <c r="CP318" s="8" t="n"/>
      <c r="CQ318" s="8" t="n"/>
      <c r="CR318" s="8" t="n"/>
      <c r="CS318" s="8" t="n"/>
      <c r="CT318" s="8" t="n"/>
      <c r="CU318" s="8" t="n"/>
      <c r="CV318" s="8" t="n"/>
      <c r="CW318" s="8" t="n"/>
      <c r="CX318" s="8" t="n"/>
      <c r="CY318" s="8" t="n"/>
      <c r="CZ318" s="8" t="n"/>
      <c r="DA318" s="8" t="n"/>
      <c r="DB318" s="8" t="n"/>
      <c r="DC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8" t="n"/>
      <c r="AM319" s="8" t="n"/>
      <c r="AN319" s="8" t="n"/>
      <c r="AO319" s="8" t="n"/>
      <c r="AP319" s="8" t="n"/>
      <c r="AQ319" s="8" t="n"/>
      <c r="AR319" s="8" t="n"/>
      <c r="AS319" s="8" t="n"/>
      <c r="AT319" s="8" t="n"/>
      <c r="AU319" s="8" t="n"/>
      <c r="AV319" s="8" t="n"/>
      <c r="AW319" s="8" t="n"/>
      <c r="AX319" s="8" t="n"/>
      <c r="AY319" s="8" t="n"/>
      <c r="AZ319" s="8" t="n"/>
      <c r="BA319" s="8" t="n"/>
      <c r="BB319" s="8" t="n"/>
      <c r="BC319" s="8" t="n"/>
      <c r="BD319" s="8" t="n"/>
      <c r="BE319" s="8" t="n"/>
      <c r="BF319" s="8" t="n"/>
      <c r="BG319" s="8" t="n"/>
      <c r="BH319" s="8" t="n"/>
      <c r="BI319" s="8" t="n"/>
      <c r="BJ319" s="153" t="n">
        <v>241</v>
      </c>
      <c r="BK319" s="153" t="inlineStr">
        <is>
          <t>PRODUCCION, FABRICACION, O ENVASADO DE BEBIDAS DESTILADAS DE AGAVE</t>
        </is>
      </c>
      <c r="BL319" s="153" t="n"/>
      <c r="BM319" s="153" t="n"/>
      <c r="BN319" s="153" t="n"/>
      <c r="BO319" s="153" t="n"/>
      <c r="BP319" s="153" t="n"/>
      <c r="BQ319" s="153" t="n"/>
      <c r="BR319" s="153" t="n"/>
      <c r="BS319" s="153" t="n"/>
      <c r="BT319" s="153" t="n"/>
      <c r="BU319" s="8" t="n"/>
      <c r="BV319" s="8" t="n"/>
      <c r="BW319" s="8" t="n"/>
      <c r="BX319" s="8" t="n"/>
      <c r="BY319" s="8" t="n"/>
      <c r="BZ319" s="8" t="n"/>
      <c r="CA319" s="8" t="n"/>
      <c r="CB319" s="8" t="n"/>
      <c r="CC319" s="8" t="n"/>
      <c r="CD319" s="8" t="n"/>
      <c r="CE319" s="8" t="n"/>
      <c r="CF319" s="8" t="n"/>
      <c r="CG319" s="8" t="n"/>
      <c r="CH319" s="8" t="n"/>
      <c r="CI319" s="8" t="n"/>
      <c r="CJ319" s="8" t="n"/>
      <c r="CK319" s="8" t="n"/>
      <c r="CL319" s="8" t="n"/>
      <c r="CM319" s="8" t="n"/>
      <c r="CN319" s="8" t="n"/>
      <c r="CO319" s="8" t="n"/>
      <c r="CP319" s="8" t="n"/>
      <c r="CQ319" s="8" t="n"/>
      <c r="CR319" s="8" t="n"/>
      <c r="CS319" s="8" t="n"/>
      <c r="CT319" s="8" t="n"/>
      <c r="CU319" s="8" t="n"/>
      <c r="CV319" s="8" t="n"/>
      <c r="CW319" s="8" t="n"/>
      <c r="CX319" s="8" t="n"/>
      <c r="CY319" s="8" t="n"/>
      <c r="CZ319" s="8" t="n"/>
      <c r="DA319" s="8" t="n"/>
      <c r="DB319" s="8" t="n"/>
      <c r="DC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8" t="n"/>
      <c r="AM320" s="8" t="n"/>
      <c r="AN320" s="8" t="n"/>
      <c r="AO320" s="8" t="n"/>
      <c r="AP320" s="8" t="n"/>
      <c r="AQ320" s="8" t="n"/>
      <c r="AR320" s="8" t="n"/>
      <c r="AS320" s="8" t="n"/>
      <c r="AT320" s="8" t="n"/>
      <c r="AU320" s="8" t="n"/>
      <c r="AV320" s="8" t="n"/>
      <c r="AW320" s="8" t="n"/>
      <c r="AX320" s="8" t="n"/>
      <c r="AY320" s="8" t="n"/>
      <c r="AZ320" s="8" t="n"/>
      <c r="BA320" s="8" t="n"/>
      <c r="BB320" s="8" t="n"/>
      <c r="BC320" s="8" t="n"/>
      <c r="BD320" s="8" t="n"/>
      <c r="BE320" s="8" t="n"/>
      <c r="BF320" s="8" t="n"/>
      <c r="BG320" s="8" t="n"/>
      <c r="BH320" s="8" t="n"/>
      <c r="BI320" s="8" t="n"/>
      <c r="BJ320" s="153" t="n">
        <v>242</v>
      </c>
      <c r="BK320" s="153" t="inlineStr">
        <is>
          <t>PRODUCCION, FABRICACION O ENVASADO DE ALCOHOL O ALCOHOL DESNATURALIZADO</t>
        </is>
      </c>
      <c r="BL320" s="153" t="n"/>
      <c r="BM320" s="153" t="n"/>
      <c r="BN320" s="153" t="n"/>
      <c r="BO320" s="153" t="n"/>
      <c r="BP320" s="153" t="n"/>
      <c r="BQ320" s="153" t="n"/>
      <c r="BR320" s="153" t="n"/>
      <c r="BS320" s="153" t="n"/>
      <c r="BT320" s="153" t="n"/>
      <c r="BU320" s="8" t="n"/>
      <c r="BV320" s="8" t="n"/>
      <c r="BW320" s="8" t="n"/>
      <c r="BX320" s="8" t="n"/>
      <c r="BY320" s="8" t="n"/>
      <c r="BZ320" s="8" t="n"/>
      <c r="CA320" s="8" t="n"/>
      <c r="CB320" s="8" t="n"/>
      <c r="CC320" s="8" t="n"/>
      <c r="CD320" s="8" t="n"/>
      <c r="CE320" s="8" t="n"/>
      <c r="CF320" s="8" t="n"/>
      <c r="CG320" s="8" t="n"/>
      <c r="CH320" s="8" t="n"/>
      <c r="CI320" s="8" t="n"/>
      <c r="CJ320" s="8" t="n"/>
      <c r="CK320" s="8" t="n"/>
      <c r="CL320" s="8" t="n"/>
      <c r="CM320" s="8" t="n"/>
      <c r="CN320" s="8" t="n"/>
      <c r="CO320" s="8" t="n"/>
      <c r="CP320" s="8" t="n"/>
      <c r="CQ320" s="8" t="n"/>
      <c r="CR320" s="8" t="n"/>
      <c r="CS320" s="8" t="n"/>
      <c r="CT320" s="8" t="n"/>
      <c r="CU320" s="8" t="n"/>
      <c r="CV320" s="8" t="n"/>
      <c r="CW320" s="8" t="n"/>
      <c r="CX320" s="8" t="n"/>
      <c r="CY320" s="8" t="n"/>
      <c r="CZ320" s="8" t="n"/>
      <c r="DA320" s="8" t="n"/>
      <c r="DB320" s="8" t="n"/>
      <c r="DC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8" t="n"/>
      <c r="AM321" s="8" t="n"/>
      <c r="AN321" s="8" t="n"/>
      <c r="AO321" s="8" t="n"/>
      <c r="AP321" s="8" t="n"/>
      <c r="AQ321" s="8" t="n"/>
      <c r="AR321" s="8" t="n"/>
      <c r="AS321" s="8" t="n"/>
      <c r="AT321" s="8" t="n"/>
      <c r="AU321" s="8" t="n"/>
      <c r="AV321" s="8" t="n"/>
      <c r="AW321" s="8" t="n"/>
      <c r="AX321" s="8" t="n"/>
      <c r="AY321" s="8" t="n"/>
      <c r="AZ321" s="8" t="n"/>
      <c r="BA321" s="8" t="n"/>
      <c r="BB321" s="8" t="n"/>
      <c r="BC321" s="8" t="n"/>
      <c r="BD321" s="8" t="n"/>
      <c r="BE321" s="8" t="n"/>
      <c r="BF321" s="8" t="n"/>
      <c r="BG321" s="8" t="n"/>
      <c r="BH321" s="8" t="n"/>
      <c r="BI321" s="8" t="n"/>
      <c r="BJ321" s="153" t="n">
        <v>243</v>
      </c>
      <c r="BK321" s="153" t="inlineStr">
        <is>
          <t>PRODUCCION, FABRICACION O ENVASADO DE MIELES INCRISTALIZABLES PARA TRANSFORMARLAS EN ALCOHOL</t>
        </is>
      </c>
      <c r="BL321" s="153" t="n"/>
      <c r="BM321" s="153" t="n"/>
      <c r="BN321" s="153" t="n"/>
      <c r="BO321" s="153" t="n"/>
      <c r="BP321" s="153" t="n"/>
      <c r="BQ321" s="153" t="n"/>
      <c r="BR321" s="153" t="n"/>
      <c r="BS321" s="153" t="n"/>
      <c r="BT321" s="153" t="n"/>
      <c r="BU321" s="8" t="n"/>
      <c r="BV321" s="8" t="n"/>
      <c r="BW321" s="8" t="n"/>
      <c r="BX321" s="8" t="n"/>
      <c r="BY321" s="8" t="n"/>
      <c r="BZ321" s="8" t="n"/>
      <c r="CA321" s="8" t="n"/>
      <c r="CB321" s="8" t="n"/>
      <c r="CC321" s="8" t="n"/>
      <c r="CD321" s="8" t="n"/>
      <c r="CE321" s="8" t="n"/>
      <c r="CF321" s="8" t="n"/>
      <c r="CG321" s="8" t="n"/>
      <c r="CH321" s="8" t="n"/>
      <c r="CI321" s="8" t="n"/>
      <c r="CJ321" s="8" t="n"/>
      <c r="CK321" s="8" t="n"/>
      <c r="CL321" s="8" t="n"/>
      <c r="CM321" s="8" t="n"/>
      <c r="CN321" s="8" t="n"/>
      <c r="CO321" s="8" t="n"/>
      <c r="CP321" s="8" t="n"/>
      <c r="CQ321" s="8" t="n"/>
      <c r="CR321" s="8" t="n"/>
      <c r="CS321" s="8" t="n"/>
      <c r="CT321" s="8" t="n"/>
      <c r="CU321" s="8" t="n"/>
      <c r="CV321" s="8" t="n"/>
      <c r="CW321" s="8" t="n"/>
      <c r="CX321" s="8" t="n"/>
      <c r="CY321" s="8" t="n"/>
      <c r="CZ321" s="8" t="n"/>
      <c r="DA321" s="8" t="n"/>
      <c r="DB321" s="8" t="n"/>
      <c r="DC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8" t="n"/>
      <c r="AJ322" s="8" t="n"/>
      <c r="AK322" s="8" t="n"/>
      <c r="AL322" s="8" t="n"/>
      <c r="AM322" s="8" t="n"/>
      <c r="AN322" s="8" t="n"/>
      <c r="AO322" s="8" t="n"/>
      <c r="AP322" s="8" t="n"/>
      <c r="AQ322" s="8" t="n"/>
      <c r="AR322" s="8" t="n"/>
      <c r="AS322" s="8" t="n"/>
      <c r="AT322" s="8" t="n"/>
      <c r="AU322" s="8" t="n"/>
      <c r="AV322" s="8" t="n"/>
      <c r="AW322" s="8" t="n"/>
      <c r="AX322" s="8" t="n"/>
      <c r="AY322" s="8" t="n"/>
      <c r="AZ322" s="8" t="n"/>
      <c r="BA322" s="8" t="n"/>
      <c r="BB322" s="8" t="n"/>
      <c r="BC322" s="8" t="n"/>
      <c r="BD322" s="8" t="n"/>
      <c r="BE322" s="8" t="n"/>
      <c r="BF322" s="8" t="n"/>
      <c r="BG322" s="8" t="n"/>
      <c r="BH322" s="8" t="n"/>
      <c r="BI322" s="8" t="n"/>
      <c r="BJ322" s="153" t="n">
        <v>244</v>
      </c>
      <c r="BK322" s="153" t="inlineStr">
        <is>
          <t>PRODUCCION, FABRICACION O ENVASADO DE OTRAS BEBIDAS DESTILADAS</t>
        </is>
      </c>
      <c r="BL322" s="153" t="n"/>
      <c r="BM322" s="153" t="n"/>
      <c r="BN322" s="153" t="n"/>
      <c r="BO322" s="153" t="n"/>
      <c r="BP322" s="153" t="n"/>
      <c r="BQ322" s="153" t="n"/>
      <c r="BR322" s="153" t="n"/>
      <c r="BS322" s="153" t="n"/>
      <c r="BT322" s="153" t="n"/>
      <c r="BU322" s="8" t="n"/>
      <c r="BV322" s="8" t="n"/>
      <c r="BW322" s="8" t="n"/>
      <c r="BX322" s="8" t="n"/>
      <c r="BY322" s="8" t="n"/>
      <c r="BZ322" s="8" t="n"/>
      <c r="CA322" s="8" t="n"/>
      <c r="CB322" s="8" t="n"/>
      <c r="CC322" s="8" t="n"/>
      <c r="CD322" s="8" t="n"/>
      <c r="CE322" s="8" t="n"/>
      <c r="CF322" s="8" t="n"/>
      <c r="CG322" s="8" t="n"/>
      <c r="CH322" s="8" t="n"/>
      <c r="CI322" s="8" t="n"/>
      <c r="CJ322" s="8" t="n"/>
      <c r="CK322" s="8" t="n"/>
      <c r="CL322" s="8" t="n"/>
      <c r="CM322" s="8" t="n"/>
      <c r="CN322" s="8" t="n"/>
      <c r="CO322" s="8" t="n"/>
      <c r="CP322" s="8" t="n"/>
      <c r="CQ322" s="8" t="n"/>
      <c r="CR322" s="8" t="n"/>
      <c r="CS322" s="8" t="n"/>
      <c r="CT322" s="8" t="n"/>
      <c r="CU322" s="8" t="n"/>
      <c r="CV322" s="8" t="n"/>
      <c r="CW322" s="8" t="n"/>
      <c r="CX322" s="8" t="n"/>
      <c r="CY322" s="8" t="n"/>
      <c r="CZ322" s="8" t="n"/>
      <c r="DA322" s="8" t="n"/>
      <c r="DB322" s="8" t="n"/>
      <c r="DC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8" t="n"/>
      <c r="AK323" s="8" t="n"/>
      <c r="AL323" s="8" t="n"/>
      <c r="AM323" s="8" t="n"/>
      <c r="AN323" s="8" t="n"/>
      <c r="AO323" s="8" t="n"/>
      <c r="AP323" s="8" t="n"/>
      <c r="AQ323" s="8" t="n"/>
      <c r="AR323" s="8" t="n"/>
      <c r="AS323" s="8" t="n"/>
      <c r="AT323" s="8" t="n"/>
      <c r="AU323" s="8" t="n"/>
      <c r="AV323" s="8" t="n"/>
      <c r="AW323" s="8" t="n"/>
      <c r="AX323" s="8" t="n"/>
      <c r="AY323" s="8" t="n"/>
      <c r="AZ323" s="8" t="n"/>
      <c r="BA323" s="8" t="n"/>
      <c r="BB323" s="8" t="n"/>
      <c r="BC323" s="8" t="n"/>
      <c r="BD323" s="8" t="n"/>
      <c r="BE323" s="8" t="n"/>
      <c r="BF323" s="8" t="n"/>
      <c r="BG323" s="8" t="n"/>
      <c r="BH323" s="8" t="n"/>
      <c r="BI323" s="8" t="n"/>
      <c r="BJ323" s="153" t="n">
        <v>245</v>
      </c>
      <c r="BK323" s="153" t="inlineStr">
        <is>
          <t>PROCESO DE TRANSFORMACION DEL TABACO</t>
        </is>
      </c>
      <c r="BL323" s="153" t="n"/>
      <c r="BM323" s="153" t="n"/>
      <c r="BN323" s="153" t="n"/>
      <c r="BO323" s="153" t="n"/>
      <c r="BP323" s="153" t="n"/>
      <c r="BQ323" s="153" t="n"/>
      <c r="BR323" s="153" t="n"/>
      <c r="BS323" s="153" t="n"/>
      <c r="BT323" s="153" t="n"/>
      <c r="BU323" s="8" t="n"/>
      <c r="BV323" s="8" t="n"/>
      <c r="BW323" s="8" t="n"/>
      <c r="BX323" s="8" t="n"/>
      <c r="BY323" s="8" t="n"/>
      <c r="BZ323" s="8" t="n"/>
      <c r="CA323" s="8" t="n"/>
      <c r="CB323" s="8" t="n"/>
      <c r="CC323" s="8" t="n"/>
      <c r="CD323" s="8" t="n"/>
      <c r="CE323" s="8" t="n"/>
      <c r="CF323" s="8" t="n"/>
      <c r="CG323" s="8" t="n"/>
      <c r="CH323" s="8" t="n"/>
      <c r="CI323" s="8" t="n"/>
      <c r="CJ323" s="8" t="n"/>
      <c r="CK323" s="8" t="n"/>
      <c r="CL323" s="8" t="n"/>
      <c r="CM323" s="8" t="n"/>
      <c r="CN323" s="8" t="n"/>
      <c r="CO323" s="8" t="n"/>
      <c r="CP323" s="8" t="n"/>
      <c r="CQ323" s="8" t="n"/>
      <c r="CR323" s="8" t="n"/>
      <c r="CS323" s="8" t="n"/>
      <c r="CT323" s="8" t="n"/>
      <c r="CU323" s="8" t="n"/>
      <c r="CV323" s="8" t="n"/>
      <c r="CW323" s="8" t="n"/>
      <c r="CX323" s="8" t="n"/>
      <c r="CY323" s="8" t="n"/>
      <c r="CZ323" s="8" t="n"/>
      <c r="DA323" s="8" t="n"/>
      <c r="DB323" s="8" t="n"/>
      <c r="DC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8" t="n"/>
      <c r="AK324" s="8" t="n"/>
      <c r="AL324" s="8" t="n"/>
      <c r="AM324" s="8" t="n"/>
      <c r="AN324" s="8" t="n"/>
      <c r="AO324" s="8" t="n"/>
      <c r="AP324" s="8" t="n"/>
      <c r="AQ324" s="8" t="n"/>
      <c r="AR324" s="8" t="n"/>
      <c r="AS324" s="8" t="n"/>
      <c r="AT324" s="8" t="n"/>
      <c r="AU324" s="8" t="n"/>
      <c r="AV324" s="8" t="n"/>
      <c r="AW324" s="8" t="n"/>
      <c r="AX324" s="8" t="n"/>
      <c r="AY324" s="8" t="n"/>
      <c r="AZ324" s="8" t="n"/>
      <c r="BA324" s="8" t="n"/>
      <c r="BB324" s="8" t="n"/>
      <c r="BC324" s="8" t="n"/>
      <c r="BD324" s="8" t="n"/>
      <c r="BE324" s="8" t="n"/>
      <c r="BF324" s="8" t="n"/>
      <c r="BG324" s="8" t="n"/>
      <c r="BH324" s="8" t="n"/>
      <c r="BI324" s="8" t="n"/>
      <c r="BJ324" s="153" t="n">
        <v>246</v>
      </c>
      <c r="BK324" s="153" t="inlineStr">
        <is>
          <t>ELABORACION, FABRICACION Y PRODUCCION DE CIGARROS</t>
        </is>
      </c>
      <c r="BL324" s="153" t="n"/>
      <c r="BM324" s="153" t="n"/>
      <c r="BN324" s="153" t="n"/>
      <c r="BO324" s="153" t="n"/>
      <c r="BP324" s="153" t="n"/>
      <c r="BQ324" s="153" t="n"/>
      <c r="BR324" s="153" t="n"/>
      <c r="BS324" s="153" t="n"/>
      <c r="BT324" s="153" t="n"/>
      <c r="BU324" s="8" t="n"/>
      <c r="BV324" s="8" t="n"/>
      <c r="BW324" s="8" t="n"/>
      <c r="BX324" s="8" t="n"/>
      <c r="BY324" s="8" t="n"/>
      <c r="BZ324" s="8" t="n"/>
      <c r="CA324" s="8" t="n"/>
      <c r="CB324" s="8" t="n"/>
      <c r="CC324" s="8" t="n"/>
      <c r="CD324" s="8" t="n"/>
      <c r="CE324" s="8" t="n"/>
      <c r="CF324" s="8" t="n"/>
      <c r="CG324" s="8" t="n"/>
      <c r="CH324" s="8" t="n"/>
      <c r="CI324" s="8" t="n"/>
      <c r="CJ324" s="8" t="n"/>
      <c r="CK324" s="8" t="n"/>
      <c r="CL324" s="8" t="n"/>
      <c r="CM324" s="8" t="n"/>
      <c r="CN324" s="8" t="n"/>
      <c r="CO324" s="8" t="n"/>
      <c r="CP324" s="8" t="n"/>
      <c r="CQ324" s="8" t="n"/>
      <c r="CR324" s="8" t="n"/>
      <c r="CS324" s="8" t="n"/>
      <c r="CT324" s="8" t="n"/>
      <c r="CU324" s="8" t="n"/>
      <c r="CV324" s="8" t="n"/>
      <c r="CW324" s="8" t="n"/>
      <c r="CX324" s="8" t="n"/>
      <c r="CY324" s="8" t="n"/>
      <c r="CZ324" s="8" t="n"/>
      <c r="DA324" s="8" t="n"/>
      <c r="DB324" s="8" t="n"/>
      <c r="DC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8" t="n"/>
      <c r="AJ325" s="8" t="n"/>
      <c r="AK325" s="8" t="n"/>
      <c r="AL325" s="8" t="n"/>
      <c r="AM325" s="8" t="n"/>
      <c r="AN325" s="8" t="n"/>
      <c r="AO325" s="8" t="n"/>
      <c r="AP325" s="8" t="n"/>
      <c r="AQ325" s="8" t="n"/>
      <c r="AR325" s="8" t="n"/>
      <c r="AS325" s="8" t="n"/>
      <c r="AT325" s="8" t="n"/>
      <c r="AU325" s="8" t="n"/>
      <c r="AV325" s="8" t="n"/>
      <c r="AW325" s="8" t="n"/>
      <c r="AX325" s="8" t="n"/>
      <c r="AY325" s="8" t="n"/>
      <c r="AZ325" s="8" t="n"/>
      <c r="BA325" s="8" t="n"/>
      <c r="BB325" s="8" t="n"/>
      <c r="BC325" s="8" t="n"/>
      <c r="BD325" s="8" t="n"/>
      <c r="BE325" s="8" t="n"/>
      <c r="BF325" s="8" t="n"/>
      <c r="BG325" s="8" t="n"/>
      <c r="BH325" s="8" t="n"/>
      <c r="BI325" s="8" t="n"/>
      <c r="BJ325" s="153" t="n">
        <v>247</v>
      </c>
      <c r="BK325" s="153" t="inlineStr">
        <is>
          <t>ELABORACION, FABRICACION Y PRODUCCION DE PUROS Y OTROS TABACOS LABRADOS</t>
        </is>
      </c>
      <c r="BL325" s="153" t="n"/>
      <c r="BM325" s="153" t="n"/>
      <c r="BN325" s="153" t="n"/>
      <c r="BO325" s="153" t="n"/>
      <c r="BP325" s="153" t="n"/>
      <c r="BQ325" s="153" t="n"/>
      <c r="BR325" s="153" t="n"/>
      <c r="BS325" s="153" t="n"/>
      <c r="BT325" s="153" t="n"/>
      <c r="BU325" s="8" t="n"/>
      <c r="BV325" s="8" t="n"/>
      <c r="BW325" s="8" t="n"/>
      <c r="BX325" s="8" t="n"/>
      <c r="BY325" s="8" t="n"/>
      <c r="BZ325" s="8" t="n"/>
      <c r="CA325" s="8" t="n"/>
      <c r="CB325" s="8" t="n"/>
      <c r="CC325" s="8" t="n"/>
      <c r="CD325" s="8" t="n"/>
      <c r="CE325" s="8" t="n"/>
      <c r="CF325" s="8" t="n"/>
      <c r="CG325" s="8" t="n"/>
      <c r="CH325" s="8" t="n"/>
      <c r="CI325" s="8" t="n"/>
      <c r="CJ325" s="8" t="n"/>
      <c r="CK325" s="8" t="n"/>
      <c r="CL325" s="8" t="n"/>
      <c r="CM325" s="8" t="n"/>
      <c r="CN325" s="8" t="n"/>
      <c r="CO325" s="8" t="n"/>
      <c r="CP325" s="8" t="n"/>
      <c r="CQ325" s="8" t="n"/>
      <c r="CR325" s="8" t="n"/>
      <c r="CS325" s="8" t="n"/>
      <c r="CT325" s="8" t="n"/>
      <c r="CU325" s="8" t="n"/>
      <c r="CV325" s="8" t="n"/>
      <c r="CW325" s="8" t="n"/>
      <c r="CX325" s="8" t="n"/>
      <c r="CY325" s="8" t="n"/>
      <c r="CZ325" s="8" t="n"/>
      <c r="DA325" s="8" t="n"/>
      <c r="DB325" s="8" t="n"/>
      <c r="DC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8" t="n"/>
      <c r="AK326" s="8" t="n"/>
      <c r="AL326" s="8" t="n"/>
      <c r="AM326" s="8" t="n"/>
      <c r="AN326" s="8" t="n"/>
      <c r="AO326" s="8" t="n"/>
      <c r="AP326" s="8" t="n"/>
      <c r="AQ326" s="8" t="n"/>
      <c r="AR326" s="8" t="n"/>
      <c r="AS326" s="8" t="n"/>
      <c r="AT326" s="8" t="n"/>
      <c r="AU326" s="8" t="n"/>
      <c r="AV326" s="8" t="n"/>
      <c r="AW326" s="8" t="n"/>
      <c r="AX326" s="8" t="n"/>
      <c r="AY326" s="8" t="n"/>
      <c r="AZ326" s="8" t="n"/>
      <c r="BA326" s="8" t="n"/>
      <c r="BB326" s="8" t="n"/>
      <c r="BC326" s="8" t="n"/>
      <c r="BD326" s="8" t="n"/>
      <c r="BE326" s="8" t="n"/>
      <c r="BF326" s="8" t="n"/>
      <c r="BG326" s="8" t="n"/>
      <c r="BH326" s="8" t="n"/>
      <c r="BI326" s="8" t="n"/>
      <c r="BJ326" s="153" t="n">
        <v>248</v>
      </c>
      <c r="BK326" s="153" t="inlineStr">
        <is>
          <t>PREPARACION E HILADO DE FIBRAS DURAS NATURALES</t>
        </is>
      </c>
      <c r="BL326" s="153" t="n"/>
      <c r="BM326" s="153" t="n"/>
      <c r="BN326" s="153" t="n"/>
      <c r="BO326" s="153" t="n"/>
      <c r="BP326" s="153" t="n"/>
      <c r="BQ326" s="153" t="n"/>
      <c r="BR326" s="153" t="n"/>
      <c r="BS326" s="153" t="n"/>
      <c r="BT326" s="153" t="n"/>
      <c r="BU326" s="8" t="n"/>
      <c r="BV326" s="8" t="n"/>
      <c r="BW326" s="8" t="n"/>
      <c r="BX326" s="8" t="n"/>
      <c r="BY326" s="8" t="n"/>
      <c r="BZ326" s="8" t="n"/>
      <c r="CA326" s="8" t="n"/>
      <c r="CB326" s="8" t="n"/>
      <c r="CC326" s="8" t="n"/>
      <c r="CD326" s="8" t="n"/>
      <c r="CE326" s="8" t="n"/>
      <c r="CF326" s="8" t="n"/>
      <c r="CG326" s="8" t="n"/>
      <c r="CH326" s="8" t="n"/>
      <c r="CI326" s="8" t="n"/>
      <c r="CJ326" s="8" t="n"/>
      <c r="CK326" s="8" t="n"/>
      <c r="CL326" s="8" t="n"/>
      <c r="CM326" s="8" t="n"/>
      <c r="CN326" s="8" t="n"/>
      <c r="CO326" s="8" t="n"/>
      <c r="CP326" s="8" t="n"/>
      <c r="CQ326" s="8" t="n"/>
      <c r="CR326" s="8" t="n"/>
      <c r="CS326" s="8" t="n"/>
      <c r="CT326" s="8" t="n"/>
      <c r="CU326" s="8" t="n"/>
      <c r="CV326" s="8" t="n"/>
      <c r="CW326" s="8" t="n"/>
      <c r="CX326" s="8" t="n"/>
      <c r="CY326" s="8" t="n"/>
      <c r="CZ326" s="8" t="n"/>
      <c r="DA326" s="8" t="n"/>
      <c r="DB326" s="8" t="n"/>
      <c r="DC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8" t="n"/>
      <c r="AK327" s="8" t="n"/>
      <c r="AL327" s="8" t="n"/>
      <c r="AM327" s="8" t="n"/>
      <c r="AN327" s="8" t="n"/>
      <c r="AO327" s="8" t="n"/>
      <c r="AP327" s="8" t="n"/>
      <c r="AQ327" s="8" t="n"/>
      <c r="AR327" s="8" t="n"/>
      <c r="AS327" s="8" t="n"/>
      <c r="AT327" s="8" t="n"/>
      <c r="AU327" s="8" t="n"/>
      <c r="AV327" s="8" t="n"/>
      <c r="AW327" s="8" t="n"/>
      <c r="AX327" s="8" t="n"/>
      <c r="AY327" s="8" t="n"/>
      <c r="AZ327" s="8" t="n"/>
      <c r="BA327" s="8" t="n"/>
      <c r="BB327" s="8" t="n"/>
      <c r="BC327" s="8" t="n"/>
      <c r="BD327" s="8" t="n"/>
      <c r="BE327" s="8" t="n"/>
      <c r="BF327" s="8" t="n"/>
      <c r="BG327" s="8" t="n"/>
      <c r="BH327" s="8" t="n"/>
      <c r="BI327" s="8" t="n"/>
      <c r="BJ327" s="153" t="n">
        <v>249</v>
      </c>
      <c r="BK327" s="153" t="inlineStr">
        <is>
          <t>PREPARACION E HILADO DE FIBRAS BLANDAS</t>
        </is>
      </c>
      <c r="BL327" s="153" t="n"/>
      <c r="BM327" s="153" t="n"/>
      <c r="BN327" s="153" t="n"/>
      <c r="BO327" s="153" t="n"/>
      <c r="BP327" s="153" t="n"/>
      <c r="BQ327" s="153" t="n"/>
      <c r="BR327" s="153" t="n"/>
      <c r="BS327" s="153" t="n"/>
      <c r="BT327" s="153" t="n"/>
      <c r="BU327" s="8" t="n"/>
      <c r="BV327" s="8" t="n"/>
      <c r="BW327" s="8" t="n"/>
      <c r="BX327" s="8" t="n"/>
      <c r="BY327" s="8" t="n"/>
      <c r="BZ327" s="8" t="n"/>
      <c r="CA327" s="8" t="n"/>
      <c r="CB327" s="8" t="n"/>
      <c r="CC327" s="8" t="n"/>
      <c r="CD327" s="8" t="n"/>
      <c r="CE327" s="8" t="n"/>
      <c r="CF327" s="8" t="n"/>
      <c r="CG327" s="8" t="n"/>
      <c r="CH327" s="8" t="n"/>
      <c r="CI327" s="8" t="n"/>
      <c r="CJ327" s="8" t="n"/>
      <c r="CK327" s="8" t="n"/>
      <c r="CL327" s="8" t="n"/>
      <c r="CM327" s="8" t="n"/>
      <c r="CN327" s="8" t="n"/>
      <c r="CO327" s="8" t="n"/>
      <c r="CP327" s="8" t="n"/>
      <c r="CQ327" s="8" t="n"/>
      <c r="CR327" s="8" t="n"/>
      <c r="CS327" s="8" t="n"/>
      <c r="CT327" s="8" t="n"/>
      <c r="CU327" s="8" t="n"/>
      <c r="CV327" s="8" t="n"/>
      <c r="CW327" s="8" t="n"/>
      <c r="CX327" s="8" t="n"/>
      <c r="CY327" s="8" t="n"/>
      <c r="CZ327" s="8" t="n"/>
      <c r="DA327" s="8" t="n"/>
      <c r="DB327" s="8" t="n"/>
      <c r="DC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8" t="n"/>
      <c r="AK328" s="8" t="n"/>
      <c r="AL328" s="8" t="n"/>
      <c r="AM328" s="8" t="n"/>
      <c r="AN328" s="8" t="n"/>
      <c r="AO328" s="8" t="n"/>
      <c r="AP328" s="8" t="n"/>
      <c r="AQ328" s="8" t="n"/>
      <c r="AR328" s="8" t="n"/>
      <c r="AS328" s="8" t="n"/>
      <c r="AT328" s="8" t="n"/>
      <c r="AU328" s="8" t="n"/>
      <c r="AV328" s="8" t="n"/>
      <c r="AW328" s="8" t="n"/>
      <c r="AX328" s="8" t="n"/>
      <c r="AY328" s="8" t="n"/>
      <c r="AZ328" s="8" t="n"/>
      <c r="BA328" s="8" t="n"/>
      <c r="BB328" s="8" t="n"/>
      <c r="BC328" s="8" t="n"/>
      <c r="BD328" s="8" t="n"/>
      <c r="BE328" s="8" t="n"/>
      <c r="BF328" s="8" t="n"/>
      <c r="BG328" s="8" t="n"/>
      <c r="BH328" s="8" t="n"/>
      <c r="BI328" s="8" t="n"/>
      <c r="BJ328" s="153" t="n">
        <v>250</v>
      </c>
      <c r="BK328" s="153" t="inlineStr">
        <is>
          <t>FABRICACION DE HILOS PARA COSER Y BORDAR</t>
        </is>
      </c>
      <c r="BL328" s="153" t="n"/>
      <c r="BM328" s="153" t="n"/>
      <c r="BN328" s="153" t="n"/>
      <c r="BO328" s="153" t="n"/>
      <c r="BP328" s="153" t="n"/>
      <c r="BQ328" s="153" t="n"/>
      <c r="BR328" s="153" t="n"/>
      <c r="BS328" s="153" t="n"/>
      <c r="BT328" s="153" t="n"/>
      <c r="BU328" s="8" t="n"/>
      <c r="BV328" s="8" t="n"/>
      <c r="BW328" s="8" t="n"/>
      <c r="BX328" s="8" t="n"/>
      <c r="BY328" s="8" t="n"/>
      <c r="BZ328" s="8" t="n"/>
      <c r="CA328" s="8" t="n"/>
      <c r="CB328" s="8" t="n"/>
      <c r="CC328" s="8" t="n"/>
      <c r="CD328" s="8" t="n"/>
      <c r="CE328" s="8" t="n"/>
      <c r="CF328" s="8" t="n"/>
      <c r="CG328" s="8" t="n"/>
      <c r="CH328" s="8" t="n"/>
      <c r="CI328" s="8" t="n"/>
      <c r="CJ328" s="8" t="n"/>
      <c r="CK328" s="8" t="n"/>
      <c r="CL328" s="8" t="n"/>
      <c r="CM328" s="8" t="n"/>
      <c r="CN328" s="8" t="n"/>
      <c r="CO328" s="8" t="n"/>
      <c r="CP328" s="8" t="n"/>
      <c r="CQ328" s="8" t="n"/>
      <c r="CR328" s="8" t="n"/>
      <c r="CS328" s="8" t="n"/>
      <c r="CT328" s="8" t="n"/>
      <c r="CU328" s="8" t="n"/>
      <c r="CV328" s="8" t="n"/>
      <c r="CW328" s="8" t="n"/>
      <c r="CX328" s="8" t="n"/>
      <c r="CY328" s="8" t="n"/>
      <c r="CZ328" s="8" t="n"/>
      <c r="DA328" s="8" t="n"/>
      <c r="DB328" s="8" t="n"/>
      <c r="DC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  <c r="AJ329" s="8" t="n"/>
      <c r="AK329" s="8" t="n"/>
      <c r="AL329" s="8" t="n"/>
      <c r="AM329" s="8" t="n"/>
      <c r="AN329" s="8" t="n"/>
      <c r="AO329" s="8" t="n"/>
      <c r="AP329" s="8" t="n"/>
      <c r="AQ329" s="8" t="n"/>
      <c r="AR329" s="8" t="n"/>
      <c r="AS329" s="8" t="n"/>
      <c r="AT329" s="8" t="n"/>
      <c r="AU329" s="8" t="n"/>
      <c r="AV329" s="8" t="n"/>
      <c r="AW329" s="8" t="n"/>
      <c r="AX329" s="8" t="n"/>
      <c r="AY329" s="8" t="n"/>
      <c r="AZ329" s="8" t="n"/>
      <c r="BA329" s="8" t="n"/>
      <c r="BB329" s="8" t="n"/>
      <c r="BC329" s="8" t="n"/>
      <c r="BD329" s="8" t="n"/>
      <c r="BE329" s="8" t="n"/>
      <c r="BF329" s="8" t="n"/>
      <c r="BG329" s="8" t="n"/>
      <c r="BH329" s="8" t="n"/>
      <c r="BI329" s="8" t="n"/>
      <c r="BJ329" s="153" t="n">
        <v>251</v>
      </c>
      <c r="BK329" s="153" t="inlineStr">
        <is>
          <t>FABRICACION DE TELAS ANCHAS DE TRAMA</t>
        </is>
      </c>
      <c r="BL329" s="153" t="n"/>
      <c r="BM329" s="153" t="n"/>
      <c r="BN329" s="153" t="n"/>
      <c r="BO329" s="153" t="n"/>
      <c r="BP329" s="153" t="n"/>
      <c r="BQ329" s="153" t="n"/>
      <c r="BR329" s="153" t="n"/>
      <c r="BS329" s="153" t="n"/>
      <c r="BT329" s="153" t="n"/>
      <c r="BU329" s="8" t="n"/>
      <c r="BV329" s="8" t="n"/>
      <c r="BW329" s="8" t="n"/>
      <c r="BX329" s="8" t="n"/>
      <c r="BY329" s="8" t="n"/>
      <c r="BZ329" s="8" t="n"/>
      <c r="CA329" s="8" t="n"/>
      <c r="CB329" s="8" t="n"/>
      <c r="CC329" s="8" t="n"/>
      <c r="CD329" s="8" t="n"/>
      <c r="CE329" s="8" t="n"/>
      <c r="CF329" s="8" t="n"/>
      <c r="CG329" s="8" t="n"/>
      <c r="CH329" s="8" t="n"/>
      <c r="CI329" s="8" t="n"/>
      <c r="CJ329" s="8" t="n"/>
      <c r="CK329" s="8" t="n"/>
      <c r="CL329" s="8" t="n"/>
      <c r="CM329" s="8" t="n"/>
      <c r="CN329" s="8" t="n"/>
      <c r="CO329" s="8" t="n"/>
      <c r="CP329" s="8" t="n"/>
      <c r="CQ329" s="8" t="n"/>
      <c r="CR329" s="8" t="n"/>
      <c r="CS329" s="8" t="n"/>
      <c r="CT329" s="8" t="n"/>
      <c r="CU329" s="8" t="n"/>
      <c r="CV329" s="8" t="n"/>
      <c r="CW329" s="8" t="n"/>
      <c r="CX329" s="8" t="n"/>
      <c r="CY329" s="8" t="n"/>
      <c r="CZ329" s="8" t="n"/>
      <c r="DA329" s="8" t="n"/>
      <c r="DB329" s="8" t="n"/>
      <c r="DC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8" t="n"/>
      <c r="AK330" s="8" t="n"/>
      <c r="AL330" s="8" t="n"/>
      <c r="AM330" s="8" t="n"/>
      <c r="AN330" s="8" t="n"/>
      <c r="AO330" s="8" t="n"/>
      <c r="AP330" s="8" t="n"/>
      <c r="AQ330" s="8" t="n"/>
      <c r="AR330" s="8" t="n"/>
      <c r="AS330" s="8" t="n"/>
      <c r="AT330" s="8" t="n"/>
      <c r="AU330" s="8" t="n"/>
      <c r="AV330" s="8" t="n"/>
      <c r="AW330" s="8" t="n"/>
      <c r="AX330" s="8" t="n"/>
      <c r="AY330" s="8" t="n"/>
      <c r="AZ330" s="8" t="n"/>
      <c r="BA330" s="8" t="n"/>
      <c r="BB330" s="8" t="n"/>
      <c r="BC330" s="8" t="n"/>
      <c r="BD330" s="8" t="n"/>
      <c r="BE330" s="8" t="n"/>
      <c r="BF330" s="8" t="n"/>
      <c r="BG330" s="8" t="n"/>
      <c r="BH330" s="8" t="n"/>
      <c r="BI330" s="8" t="n"/>
      <c r="BJ330" s="153" t="n">
        <v>252</v>
      </c>
      <c r="BK330" s="153" t="inlineStr">
        <is>
          <t>FABRICACION DE TELAS ANGOSTAS DE TRAMA Y PASAMANERIA</t>
        </is>
      </c>
      <c r="BL330" s="153" t="n"/>
      <c r="BM330" s="153" t="n"/>
      <c r="BN330" s="153" t="n"/>
      <c r="BO330" s="153" t="n"/>
      <c r="BP330" s="153" t="n"/>
      <c r="BQ330" s="153" t="n"/>
      <c r="BR330" s="153" t="n"/>
      <c r="BS330" s="153" t="n"/>
      <c r="BT330" s="153" t="n"/>
      <c r="BU330" s="8" t="n"/>
      <c r="BV330" s="8" t="n"/>
      <c r="BW330" s="8" t="n"/>
      <c r="BX330" s="8" t="n"/>
      <c r="BY330" s="8" t="n"/>
      <c r="BZ330" s="8" t="n"/>
      <c r="CA330" s="8" t="n"/>
      <c r="CB330" s="8" t="n"/>
      <c r="CC330" s="8" t="n"/>
      <c r="CD330" s="8" t="n"/>
      <c r="CE330" s="8" t="n"/>
      <c r="CF330" s="8" t="n"/>
      <c r="CG330" s="8" t="n"/>
      <c r="CH330" s="8" t="n"/>
      <c r="CI330" s="8" t="n"/>
      <c r="CJ330" s="8" t="n"/>
      <c r="CK330" s="8" t="n"/>
      <c r="CL330" s="8" t="n"/>
      <c r="CM330" s="8" t="n"/>
      <c r="CN330" s="8" t="n"/>
      <c r="CO330" s="8" t="n"/>
      <c r="CP330" s="8" t="n"/>
      <c r="CQ330" s="8" t="n"/>
      <c r="CR330" s="8" t="n"/>
      <c r="CS330" s="8" t="n"/>
      <c r="CT330" s="8" t="n"/>
      <c r="CU330" s="8" t="n"/>
      <c r="CV330" s="8" t="n"/>
      <c r="CW330" s="8" t="n"/>
      <c r="CX330" s="8" t="n"/>
      <c r="CY330" s="8" t="n"/>
      <c r="CZ330" s="8" t="n"/>
      <c r="DA330" s="8" t="n"/>
      <c r="DB330" s="8" t="n"/>
      <c r="DC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8" t="n"/>
      <c r="AK331" s="8" t="n"/>
      <c r="AL331" s="8" t="n"/>
      <c r="AM331" s="8" t="n"/>
      <c r="AN331" s="8" t="n"/>
      <c r="AO331" s="8" t="n"/>
      <c r="AP331" s="8" t="n"/>
      <c r="AQ331" s="8" t="n"/>
      <c r="AR331" s="8" t="n"/>
      <c r="AS331" s="8" t="n"/>
      <c r="AT331" s="8" t="n"/>
      <c r="AU331" s="8" t="n"/>
      <c r="AV331" s="8" t="n"/>
      <c r="AW331" s="8" t="n"/>
      <c r="AX331" s="8" t="n"/>
      <c r="AY331" s="8" t="n"/>
      <c r="AZ331" s="8" t="n"/>
      <c r="BA331" s="8" t="n"/>
      <c r="BB331" s="8" t="n"/>
      <c r="BC331" s="8" t="n"/>
      <c r="BD331" s="8" t="n"/>
      <c r="BE331" s="8" t="n"/>
      <c r="BF331" s="8" t="n"/>
      <c r="BG331" s="8" t="n"/>
      <c r="BH331" s="8" t="n"/>
      <c r="BI331" s="8" t="n"/>
      <c r="BJ331" s="153" t="n">
        <v>253</v>
      </c>
      <c r="BK331" s="153" t="inlineStr">
        <is>
          <t>FABRICACION DE TELAS NO TEJIDAS</t>
        </is>
      </c>
      <c r="BL331" s="153" t="n"/>
      <c r="BM331" s="153" t="n"/>
      <c r="BN331" s="153" t="n"/>
      <c r="BO331" s="153" t="n"/>
      <c r="BP331" s="153" t="n"/>
      <c r="BQ331" s="153" t="n"/>
      <c r="BR331" s="153" t="n"/>
      <c r="BS331" s="153" t="n"/>
      <c r="BT331" s="153" t="n"/>
      <c r="BU331" s="8" t="n"/>
      <c r="BV331" s="8" t="n"/>
      <c r="BW331" s="8" t="n"/>
      <c r="BX331" s="8" t="n"/>
      <c r="BY331" s="8" t="n"/>
      <c r="BZ331" s="8" t="n"/>
      <c r="CA331" s="8" t="n"/>
      <c r="CB331" s="8" t="n"/>
      <c r="CC331" s="8" t="n"/>
      <c r="CD331" s="8" t="n"/>
      <c r="CE331" s="8" t="n"/>
      <c r="CF331" s="8" t="n"/>
      <c r="CG331" s="8" t="n"/>
      <c r="CH331" s="8" t="n"/>
      <c r="CI331" s="8" t="n"/>
      <c r="CJ331" s="8" t="n"/>
      <c r="CK331" s="8" t="n"/>
      <c r="CL331" s="8" t="n"/>
      <c r="CM331" s="8" t="n"/>
      <c r="CN331" s="8" t="n"/>
      <c r="CO331" s="8" t="n"/>
      <c r="CP331" s="8" t="n"/>
      <c r="CQ331" s="8" t="n"/>
      <c r="CR331" s="8" t="n"/>
      <c r="CS331" s="8" t="n"/>
      <c r="CT331" s="8" t="n"/>
      <c r="CU331" s="8" t="n"/>
      <c r="CV331" s="8" t="n"/>
      <c r="CW331" s="8" t="n"/>
      <c r="CX331" s="8" t="n"/>
      <c r="CY331" s="8" t="n"/>
      <c r="CZ331" s="8" t="n"/>
      <c r="DA331" s="8" t="n"/>
      <c r="DB331" s="8" t="n"/>
      <c r="DC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  <c r="AJ332" s="8" t="n"/>
      <c r="AK332" s="8" t="n"/>
      <c r="AL332" s="8" t="n"/>
      <c r="AM332" s="8" t="n"/>
      <c r="AN332" s="8" t="n"/>
      <c r="AO332" s="8" t="n"/>
      <c r="AP332" s="8" t="n"/>
      <c r="AQ332" s="8" t="n"/>
      <c r="AR332" s="8" t="n"/>
      <c r="AS332" s="8" t="n"/>
      <c r="AT332" s="8" t="n"/>
      <c r="AU332" s="8" t="n"/>
      <c r="AV332" s="8" t="n"/>
      <c r="AW332" s="8" t="n"/>
      <c r="AX332" s="8" t="n"/>
      <c r="AY332" s="8" t="n"/>
      <c r="AZ332" s="8" t="n"/>
      <c r="BA332" s="8" t="n"/>
      <c r="BB332" s="8" t="n"/>
      <c r="BC332" s="8" t="n"/>
      <c r="BD332" s="8" t="n"/>
      <c r="BE332" s="8" t="n"/>
      <c r="BF332" s="8" t="n"/>
      <c r="BG332" s="8" t="n"/>
      <c r="BH332" s="8" t="n"/>
      <c r="BI332" s="8" t="n"/>
      <c r="BJ332" s="153" t="n">
        <v>254</v>
      </c>
      <c r="BK332" s="153" t="inlineStr">
        <is>
          <t>FABRICACION DE TELAS DE PUNTO</t>
        </is>
      </c>
      <c r="BL332" s="153" t="n"/>
      <c r="BM332" s="153" t="n"/>
      <c r="BN332" s="153" t="n"/>
      <c r="BO332" s="153" t="n"/>
      <c r="BP332" s="153" t="n"/>
      <c r="BQ332" s="153" t="n"/>
      <c r="BR332" s="153" t="n"/>
      <c r="BS332" s="153" t="n"/>
      <c r="BT332" s="153" t="n"/>
      <c r="BU332" s="8" t="n"/>
      <c r="BV332" s="8" t="n"/>
      <c r="BW332" s="8" t="n"/>
      <c r="BX332" s="8" t="n"/>
      <c r="BY332" s="8" t="n"/>
      <c r="BZ332" s="8" t="n"/>
      <c r="CA332" s="8" t="n"/>
      <c r="CB332" s="8" t="n"/>
      <c r="CC332" s="8" t="n"/>
      <c r="CD332" s="8" t="n"/>
      <c r="CE332" s="8" t="n"/>
      <c r="CF332" s="8" t="n"/>
      <c r="CG332" s="8" t="n"/>
      <c r="CH332" s="8" t="n"/>
      <c r="CI332" s="8" t="n"/>
      <c r="CJ332" s="8" t="n"/>
      <c r="CK332" s="8" t="n"/>
      <c r="CL332" s="8" t="n"/>
      <c r="CM332" s="8" t="n"/>
      <c r="CN332" s="8" t="n"/>
      <c r="CO332" s="8" t="n"/>
      <c r="CP332" s="8" t="n"/>
      <c r="CQ332" s="8" t="n"/>
      <c r="CR332" s="8" t="n"/>
      <c r="CS332" s="8" t="n"/>
      <c r="CT332" s="8" t="n"/>
      <c r="CU332" s="8" t="n"/>
      <c r="CV332" s="8" t="n"/>
      <c r="CW332" s="8" t="n"/>
      <c r="CX332" s="8" t="n"/>
      <c r="CY332" s="8" t="n"/>
      <c r="CZ332" s="8" t="n"/>
      <c r="DA332" s="8" t="n"/>
      <c r="DB332" s="8" t="n"/>
      <c r="DC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8" t="n"/>
      <c r="AJ333" s="8" t="n"/>
      <c r="AK333" s="8" t="n"/>
      <c r="AL333" s="8" t="n"/>
      <c r="AM333" s="8" t="n"/>
      <c r="AN333" s="8" t="n"/>
      <c r="AO333" s="8" t="n"/>
      <c r="AP333" s="8" t="n"/>
      <c r="AQ333" s="8" t="n"/>
      <c r="AR333" s="8" t="n"/>
      <c r="AS333" s="8" t="n"/>
      <c r="AT333" s="8" t="n"/>
      <c r="AU333" s="8" t="n"/>
      <c r="AV333" s="8" t="n"/>
      <c r="AW333" s="8" t="n"/>
      <c r="AX333" s="8" t="n"/>
      <c r="AY333" s="8" t="n"/>
      <c r="AZ333" s="8" t="n"/>
      <c r="BA333" s="8" t="n"/>
      <c r="BB333" s="8" t="n"/>
      <c r="BC333" s="8" t="n"/>
      <c r="BD333" s="8" t="n"/>
      <c r="BE333" s="8" t="n"/>
      <c r="BF333" s="8" t="n"/>
      <c r="BG333" s="8" t="n"/>
      <c r="BH333" s="8" t="n"/>
      <c r="BI333" s="8" t="n"/>
      <c r="BJ333" s="153" t="n">
        <v>255</v>
      </c>
      <c r="BK333" s="153" t="inlineStr">
        <is>
          <t>ACABADO DE FIBRAS, HILADOS, HILOS Y TELAS</t>
        </is>
      </c>
      <c r="BL333" s="153" t="n"/>
      <c r="BM333" s="153" t="n"/>
      <c r="BN333" s="153" t="n"/>
      <c r="BO333" s="153" t="n"/>
      <c r="BP333" s="153" t="n"/>
      <c r="BQ333" s="153" t="n"/>
      <c r="BR333" s="153" t="n"/>
      <c r="BS333" s="153" t="n"/>
      <c r="BT333" s="153" t="n"/>
      <c r="BU333" s="8" t="n"/>
      <c r="BV333" s="8" t="n"/>
      <c r="BW333" s="8" t="n"/>
      <c r="BX333" s="8" t="n"/>
      <c r="BY333" s="8" t="n"/>
      <c r="BZ333" s="8" t="n"/>
      <c r="CA333" s="8" t="n"/>
      <c r="CB333" s="8" t="n"/>
      <c r="CC333" s="8" t="n"/>
      <c r="CD333" s="8" t="n"/>
      <c r="CE333" s="8" t="n"/>
      <c r="CF333" s="8" t="n"/>
      <c r="CG333" s="8" t="n"/>
      <c r="CH333" s="8" t="n"/>
      <c r="CI333" s="8" t="n"/>
      <c r="CJ333" s="8" t="n"/>
      <c r="CK333" s="8" t="n"/>
      <c r="CL333" s="8" t="n"/>
      <c r="CM333" s="8" t="n"/>
      <c r="CN333" s="8" t="n"/>
      <c r="CO333" s="8" t="n"/>
      <c r="CP333" s="8" t="n"/>
      <c r="CQ333" s="8" t="n"/>
      <c r="CR333" s="8" t="n"/>
      <c r="CS333" s="8" t="n"/>
      <c r="CT333" s="8" t="n"/>
      <c r="CU333" s="8" t="n"/>
      <c r="CV333" s="8" t="n"/>
      <c r="CW333" s="8" t="n"/>
      <c r="CX333" s="8" t="n"/>
      <c r="CY333" s="8" t="n"/>
      <c r="CZ333" s="8" t="n"/>
      <c r="DA333" s="8" t="n"/>
      <c r="DB333" s="8" t="n"/>
      <c r="DC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8" t="n"/>
      <c r="AK334" s="8" t="n"/>
      <c r="AL334" s="8" t="n"/>
      <c r="AM334" s="8" t="n"/>
      <c r="AN334" s="8" t="n"/>
      <c r="AO334" s="8" t="n"/>
      <c r="AP334" s="8" t="n"/>
      <c r="AQ334" s="8" t="n"/>
      <c r="AR334" s="8" t="n"/>
      <c r="AS334" s="8" t="n"/>
      <c r="AT334" s="8" t="n"/>
      <c r="AU334" s="8" t="n"/>
      <c r="AV334" s="8" t="n"/>
      <c r="AW334" s="8" t="n"/>
      <c r="AX334" s="8" t="n"/>
      <c r="AY334" s="8" t="n"/>
      <c r="AZ334" s="8" t="n"/>
      <c r="BA334" s="8" t="n"/>
      <c r="BB334" s="8" t="n"/>
      <c r="BC334" s="8" t="n"/>
      <c r="BD334" s="8" t="n"/>
      <c r="BE334" s="8" t="n"/>
      <c r="BF334" s="8" t="n"/>
      <c r="BG334" s="8" t="n"/>
      <c r="BH334" s="8" t="n"/>
      <c r="BI334" s="8" t="n"/>
      <c r="BJ334" s="153" t="n">
        <v>256</v>
      </c>
      <c r="BK334" s="153" t="inlineStr">
        <is>
          <t>RECUBRIMIENTO DE TELAS</t>
        </is>
      </c>
      <c r="BL334" s="153" t="n"/>
      <c r="BM334" s="153" t="n"/>
      <c r="BN334" s="153" t="n"/>
      <c r="BO334" s="153" t="n"/>
      <c r="BP334" s="153" t="n"/>
      <c r="BQ334" s="153" t="n"/>
      <c r="BR334" s="153" t="n"/>
      <c r="BS334" s="153" t="n"/>
      <c r="BT334" s="153" t="n"/>
      <c r="BU334" s="8" t="n"/>
      <c r="BV334" s="8" t="n"/>
      <c r="BW334" s="8" t="n"/>
      <c r="BX334" s="8" t="n"/>
      <c r="BY334" s="8" t="n"/>
      <c r="BZ334" s="8" t="n"/>
      <c r="CA334" s="8" t="n"/>
      <c r="CB334" s="8" t="n"/>
      <c r="CC334" s="8" t="n"/>
      <c r="CD334" s="8" t="n"/>
      <c r="CE334" s="8" t="n"/>
      <c r="CF334" s="8" t="n"/>
      <c r="CG334" s="8" t="n"/>
      <c r="CH334" s="8" t="n"/>
      <c r="CI334" s="8" t="n"/>
      <c r="CJ334" s="8" t="n"/>
      <c r="CK334" s="8" t="n"/>
      <c r="CL334" s="8" t="n"/>
      <c r="CM334" s="8" t="n"/>
      <c r="CN334" s="8" t="n"/>
      <c r="CO334" s="8" t="n"/>
      <c r="CP334" s="8" t="n"/>
      <c r="CQ334" s="8" t="n"/>
      <c r="CR334" s="8" t="n"/>
      <c r="CS334" s="8" t="n"/>
      <c r="CT334" s="8" t="n"/>
      <c r="CU334" s="8" t="n"/>
      <c r="CV334" s="8" t="n"/>
      <c r="CW334" s="8" t="n"/>
      <c r="CX334" s="8" t="n"/>
      <c r="CY334" s="8" t="n"/>
      <c r="CZ334" s="8" t="n"/>
      <c r="DA334" s="8" t="n"/>
      <c r="DB334" s="8" t="n"/>
      <c r="DC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8" t="n"/>
      <c r="AK335" s="8" t="n"/>
      <c r="AL335" s="8" t="n"/>
      <c r="AM335" s="8" t="n"/>
      <c r="AN335" s="8" t="n"/>
      <c r="AO335" s="8" t="n"/>
      <c r="AP335" s="8" t="n"/>
      <c r="AQ335" s="8" t="n"/>
      <c r="AR335" s="8" t="n"/>
      <c r="AS335" s="8" t="n"/>
      <c r="AT335" s="8" t="n"/>
      <c r="AU335" s="8" t="n"/>
      <c r="AV335" s="8" t="n"/>
      <c r="AW335" s="8" t="n"/>
      <c r="AX335" s="8" t="n"/>
      <c r="AY335" s="8" t="n"/>
      <c r="AZ335" s="8" t="n"/>
      <c r="BA335" s="8" t="n"/>
      <c r="BB335" s="8" t="n"/>
      <c r="BC335" s="8" t="n"/>
      <c r="BD335" s="8" t="n"/>
      <c r="BE335" s="8" t="n"/>
      <c r="BF335" s="8" t="n"/>
      <c r="BG335" s="8" t="n"/>
      <c r="BH335" s="8" t="n"/>
      <c r="BI335" s="8" t="n"/>
      <c r="BJ335" s="153" t="n">
        <v>257</v>
      </c>
      <c r="BK335" s="153" t="inlineStr">
        <is>
          <t>TEJIDO Y CONFECCION DE ALFOMBRAS Y TAPETES</t>
        </is>
      </c>
      <c r="BL335" s="153" t="n"/>
      <c r="BM335" s="153" t="n"/>
      <c r="BN335" s="153" t="n"/>
      <c r="BO335" s="153" t="n"/>
      <c r="BP335" s="153" t="n"/>
      <c r="BQ335" s="153" t="n"/>
      <c r="BR335" s="153" t="n"/>
      <c r="BS335" s="153" t="n"/>
      <c r="BT335" s="153" t="n"/>
      <c r="BU335" s="8" t="n"/>
      <c r="BV335" s="8" t="n"/>
      <c r="BW335" s="8" t="n"/>
      <c r="BX335" s="8" t="n"/>
      <c r="BY335" s="8" t="n"/>
      <c r="BZ335" s="8" t="n"/>
      <c r="CA335" s="8" t="n"/>
      <c r="CB335" s="8" t="n"/>
      <c r="CC335" s="8" t="n"/>
      <c r="CD335" s="8" t="n"/>
      <c r="CE335" s="8" t="n"/>
      <c r="CF335" s="8" t="n"/>
      <c r="CG335" s="8" t="n"/>
      <c r="CH335" s="8" t="n"/>
      <c r="CI335" s="8" t="n"/>
      <c r="CJ335" s="8" t="n"/>
      <c r="CK335" s="8" t="n"/>
      <c r="CL335" s="8" t="n"/>
      <c r="CM335" s="8" t="n"/>
      <c r="CN335" s="8" t="n"/>
      <c r="CO335" s="8" t="n"/>
      <c r="CP335" s="8" t="n"/>
      <c r="CQ335" s="8" t="n"/>
      <c r="CR335" s="8" t="n"/>
      <c r="CS335" s="8" t="n"/>
      <c r="CT335" s="8" t="n"/>
      <c r="CU335" s="8" t="n"/>
      <c r="CV335" s="8" t="n"/>
      <c r="CW335" s="8" t="n"/>
      <c r="CX335" s="8" t="n"/>
      <c r="CY335" s="8" t="n"/>
      <c r="CZ335" s="8" t="n"/>
      <c r="DA335" s="8" t="n"/>
      <c r="DB335" s="8" t="n"/>
      <c r="DC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8" t="n"/>
      <c r="AK336" s="8" t="n"/>
      <c r="AL336" s="8" t="n"/>
      <c r="AM336" s="8" t="n"/>
      <c r="AN336" s="8" t="n"/>
      <c r="AO336" s="8" t="n"/>
      <c r="AP336" s="8" t="n"/>
      <c r="AQ336" s="8" t="n"/>
      <c r="AR336" s="8" t="n"/>
      <c r="AS336" s="8" t="n"/>
      <c r="AT336" s="8" t="n"/>
      <c r="AU336" s="8" t="n"/>
      <c r="AV336" s="8" t="n"/>
      <c r="AW336" s="8" t="n"/>
      <c r="AX336" s="8" t="n"/>
      <c r="AY336" s="8" t="n"/>
      <c r="AZ336" s="8" t="n"/>
      <c r="BA336" s="8" t="n"/>
      <c r="BB336" s="8" t="n"/>
      <c r="BC336" s="8" t="n"/>
      <c r="BD336" s="8" t="n"/>
      <c r="BE336" s="8" t="n"/>
      <c r="BF336" s="8" t="n"/>
      <c r="BG336" s="8" t="n"/>
      <c r="BH336" s="8" t="n"/>
      <c r="BI336" s="8" t="n"/>
      <c r="BJ336" s="153" t="n">
        <v>258</v>
      </c>
      <c r="BK336" s="153" t="inlineStr">
        <is>
          <t>CONFECCION DE CORTINAS, BLANCOS Y SIMILARES</t>
        </is>
      </c>
      <c r="BL336" s="153" t="n"/>
      <c r="BM336" s="153" t="n"/>
      <c r="BN336" s="153" t="n"/>
      <c r="BO336" s="153" t="n"/>
      <c r="BP336" s="153" t="n"/>
      <c r="BQ336" s="153" t="n"/>
      <c r="BR336" s="153" t="n"/>
      <c r="BS336" s="153" t="n"/>
      <c r="BT336" s="153" t="n"/>
      <c r="BU336" s="8" t="n"/>
      <c r="BV336" s="8" t="n"/>
      <c r="BW336" s="8" t="n"/>
      <c r="BX336" s="8" t="n"/>
      <c r="BY336" s="8" t="n"/>
      <c r="BZ336" s="8" t="n"/>
      <c r="CA336" s="8" t="n"/>
      <c r="CB336" s="8" t="n"/>
      <c r="CC336" s="8" t="n"/>
      <c r="CD336" s="8" t="n"/>
      <c r="CE336" s="8" t="n"/>
      <c r="CF336" s="8" t="n"/>
      <c r="CG336" s="8" t="n"/>
      <c r="CH336" s="8" t="n"/>
      <c r="CI336" s="8" t="n"/>
      <c r="CJ336" s="8" t="n"/>
      <c r="CK336" s="8" t="n"/>
      <c r="CL336" s="8" t="n"/>
      <c r="CM336" s="8" t="n"/>
      <c r="CN336" s="8" t="n"/>
      <c r="CO336" s="8" t="n"/>
      <c r="CP336" s="8" t="n"/>
      <c r="CQ336" s="8" t="n"/>
      <c r="CR336" s="8" t="n"/>
      <c r="CS336" s="8" t="n"/>
      <c r="CT336" s="8" t="n"/>
      <c r="CU336" s="8" t="n"/>
      <c r="CV336" s="8" t="n"/>
      <c r="CW336" s="8" t="n"/>
      <c r="CX336" s="8" t="n"/>
      <c r="CY336" s="8" t="n"/>
      <c r="CZ336" s="8" t="n"/>
      <c r="DA336" s="8" t="n"/>
      <c r="DB336" s="8" t="n"/>
      <c r="DC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8" t="n"/>
      <c r="AM337" s="8" t="n"/>
      <c r="AN337" s="8" t="n"/>
      <c r="AO337" s="8" t="n"/>
      <c r="AP337" s="8" t="n"/>
      <c r="AQ337" s="8" t="n"/>
      <c r="AR337" s="8" t="n"/>
      <c r="AS337" s="8" t="n"/>
      <c r="AT337" s="8" t="n"/>
      <c r="AU337" s="8" t="n"/>
      <c r="AV337" s="8" t="n"/>
      <c r="AW337" s="8" t="n"/>
      <c r="AX337" s="8" t="n"/>
      <c r="AY337" s="8" t="n"/>
      <c r="AZ337" s="8" t="n"/>
      <c r="BA337" s="8" t="n"/>
      <c r="BB337" s="8" t="n"/>
      <c r="BC337" s="8" t="n"/>
      <c r="BD337" s="8" t="n"/>
      <c r="BE337" s="8" t="n"/>
      <c r="BF337" s="8" t="n"/>
      <c r="BG337" s="8" t="n"/>
      <c r="BH337" s="8" t="n"/>
      <c r="BI337" s="8" t="n"/>
      <c r="BJ337" s="153" t="n">
        <v>259</v>
      </c>
      <c r="BK337" s="153" t="inlineStr">
        <is>
          <t>CONFECCION DE COSTALES</t>
        </is>
      </c>
      <c r="BL337" s="153" t="n"/>
      <c r="BM337" s="153" t="n"/>
      <c r="BN337" s="153" t="n"/>
      <c r="BO337" s="153" t="n"/>
      <c r="BP337" s="153" t="n"/>
      <c r="BQ337" s="153" t="n"/>
      <c r="BR337" s="153" t="n"/>
      <c r="BS337" s="153" t="n"/>
      <c r="BT337" s="153" t="n"/>
      <c r="BU337" s="8" t="n"/>
      <c r="BV337" s="8" t="n"/>
      <c r="BW337" s="8" t="n"/>
      <c r="BX337" s="8" t="n"/>
      <c r="BY337" s="8" t="n"/>
      <c r="BZ337" s="8" t="n"/>
      <c r="CA337" s="8" t="n"/>
      <c r="CB337" s="8" t="n"/>
      <c r="CC337" s="8" t="n"/>
      <c r="CD337" s="8" t="n"/>
      <c r="CE337" s="8" t="n"/>
      <c r="CF337" s="8" t="n"/>
      <c r="CG337" s="8" t="n"/>
      <c r="CH337" s="8" t="n"/>
      <c r="CI337" s="8" t="n"/>
      <c r="CJ337" s="8" t="n"/>
      <c r="CK337" s="8" t="n"/>
      <c r="CL337" s="8" t="n"/>
      <c r="CM337" s="8" t="n"/>
      <c r="CN337" s="8" t="n"/>
      <c r="CO337" s="8" t="n"/>
      <c r="CP337" s="8" t="n"/>
      <c r="CQ337" s="8" t="n"/>
      <c r="CR337" s="8" t="n"/>
      <c r="CS337" s="8" t="n"/>
      <c r="CT337" s="8" t="n"/>
      <c r="CU337" s="8" t="n"/>
      <c r="CV337" s="8" t="n"/>
      <c r="CW337" s="8" t="n"/>
      <c r="CX337" s="8" t="n"/>
      <c r="CY337" s="8" t="n"/>
      <c r="CZ337" s="8" t="n"/>
      <c r="DA337" s="8" t="n"/>
      <c r="DB337" s="8" t="n"/>
      <c r="DC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8" t="n"/>
      <c r="AK338" s="8" t="n"/>
      <c r="AL338" s="8" t="n"/>
      <c r="AM338" s="8" t="n"/>
      <c r="AN338" s="8" t="n"/>
      <c r="AO338" s="8" t="n"/>
      <c r="AP338" s="8" t="n"/>
      <c r="AQ338" s="8" t="n"/>
      <c r="AR338" s="8" t="n"/>
      <c r="AS338" s="8" t="n"/>
      <c r="AT338" s="8" t="n"/>
      <c r="AU338" s="8" t="n"/>
      <c r="AV338" s="8" t="n"/>
      <c r="AW338" s="8" t="n"/>
      <c r="AX338" s="8" t="n"/>
      <c r="AY338" s="8" t="n"/>
      <c r="AZ338" s="8" t="n"/>
      <c r="BA338" s="8" t="n"/>
      <c r="BB338" s="8" t="n"/>
      <c r="BC338" s="8" t="n"/>
      <c r="BD338" s="8" t="n"/>
      <c r="BE338" s="8" t="n"/>
      <c r="BF338" s="8" t="n"/>
      <c r="BG338" s="8" t="n"/>
      <c r="BH338" s="8" t="n"/>
      <c r="BI338" s="8" t="n"/>
      <c r="BJ338" s="153" t="n">
        <v>260</v>
      </c>
      <c r="BK338" s="153" t="inlineStr">
        <is>
          <t>CONFECCION DE PRODUCTOS DE TEXTILES RECUBIERTOS Y DE MATERIALES SUCEDANEOS</t>
        </is>
      </c>
      <c r="BL338" s="153" t="n"/>
      <c r="BM338" s="153" t="n"/>
      <c r="BN338" s="153" t="n"/>
      <c r="BO338" s="153" t="n"/>
      <c r="BP338" s="153" t="n"/>
      <c r="BQ338" s="153" t="n"/>
      <c r="BR338" s="153" t="n"/>
      <c r="BS338" s="153" t="n"/>
      <c r="BT338" s="153" t="n"/>
      <c r="BU338" s="8" t="n"/>
      <c r="BV338" s="8" t="n"/>
      <c r="BW338" s="8" t="n"/>
      <c r="BX338" s="8" t="n"/>
      <c r="BY338" s="8" t="n"/>
      <c r="BZ338" s="8" t="n"/>
      <c r="CA338" s="8" t="n"/>
      <c r="CB338" s="8" t="n"/>
      <c r="CC338" s="8" t="n"/>
      <c r="CD338" s="8" t="n"/>
      <c r="CE338" s="8" t="n"/>
      <c r="CF338" s="8" t="n"/>
      <c r="CG338" s="8" t="n"/>
      <c r="CH338" s="8" t="n"/>
      <c r="CI338" s="8" t="n"/>
      <c r="CJ338" s="8" t="n"/>
      <c r="CK338" s="8" t="n"/>
      <c r="CL338" s="8" t="n"/>
      <c r="CM338" s="8" t="n"/>
      <c r="CN338" s="8" t="n"/>
      <c r="CO338" s="8" t="n"/>
      <c r="CP338" s="8" t="n"/>
      <c r="CQ338" s="8" t="n"/>
      <c r="CR338" s="8" t="n"/>
      <c r="CS338" s="8" t="n"/>
      <c r="CT338" s="8" t="n"/>
      <c r="CU338" s="8" t="n"/>
      <c r="CV338" s="8" t="n"/>
      <c r="CW338" s="8" t="n"/>
      <c r="CX338" s="8" t="n"/>
      <c r="CY338" s="8" t="n"/>
      <c r="CZ338" s="8" t="n"/>
      <c r="DA338" s="8" t="n"/>
      <c r="DB338" s="8" t="n"/>
      <c r="DC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8" t="n"/>
      <c r="AK339" s="8" t="n"/>
      <c r="AL339" s="8" t="n"/>
      <c r="AM339" s="8" t="n"/>
      <c r="AN339" s="8" t="n"/>
      <c r="AO339" s="8" t="n"/>
      <c r="AP339" s="8" t="n"/>
      <c r="AQ339" s="8" t="n"/>
      <c r="AR339" s="8" t="n"/>
      <c r="AS339" s="8" t="n"/>
      <c r="AT339" s="8" t="n"/>
      <c r="AU339" s="8" t="n"/>
      <c r="AV339" s="8" t="n"/>
      <c r="AW339" s="8" t="n"/>
      <c r="AX339" s="8" t="n"/>
      <c r="AY339" s="8" t="n"/>
      <c r="AZ339" s="8" t="n"/>
      <c r="BA339" s="8" t="n"/>
      <c r="BB339" s="8" t="n"/>
      <c r="BC339" s="8" t="n"/>
      <c r="BD339" s="8" t="n"/>
      <c r="BE339" s="8" t="n"/>
      <c r="BF339" s="8" t="n"/>
      <c r="BG339" s="8" t="n"/>
      <c r="BH339" s="8" t="n"/>
      <c r="BI339" s="8" t="n"/>
      <c r="BJ339" s="153" t="n">
        <v>261</v>
      </c>
      <c r="BK339" s="153" t="inlineStr">
        <is>
          <t>CONFECCION DE PRODUCTOS BORDADOS Y DESHILADOS COMO SERVILLETAS, MANTELES, REBOZOS</t>
        </is>
      </c>
      <c r="BL339" s="153" t="n"/>
      <c r="BM339" s="153" t="n"/>
      <c r="BN339" s="153" t="n"/>
      <c r="BO339" s="153" t="n"/>
      <c r="BP339" s="153" t="n"/>
      <c r="BQ339" s="153" t="n"/>
      <c r="BR339" s="153" t="n"/>
      <c r="BS339" s="153" t="n"/>
      <c r="BT339" s="153" t="n"/>
      <c r="BU339" s="8" t="n"/>
      <c r="BV339" s="8" t="n"/>
      <c r="BW339" s="8" t="n"/>
      <c r="BX339" s="8" t="n"/>
      <c r="BY339" s="8" t="n"/>
      <c r="BZ339" s="8" t="n"/>
      <c r="CA339" s="8" t="n"/>
      <c r="CB339" s="8" t="n"/>
      <c r="CC339" s="8" t="n"/>
      <c r="CD339" s="8" t="n"/>
      <c r="CE339" s="8" t="n"/>
      <c r="CF339" s="8" t="n"/>
      <c r="CG339" s="8" t="n"/>
      <c r="CH339" s="8" t="n"/>
      <c r="CI339" s="8" t="n"/>
      <c r="CJ339" s="8" t="n"/>
      <c r="CK339" s="8" t="n"/>
      <c r="CL339" s="8" t="n"/>
      <c r="CM339" s="8" t="n"/>
      <c r="CN339" s="8" t="n"/>
      <c r="CO339" s="8" t="n"/>
      <c r="CP339" s="8" t="n"/>
      <c r="CQ339" s="8" t="n"/>
      <c r="CR339" s="8" t="n"/>
      <c r="CS339" s="8" t="n"/>
      <c r="CT339" s="8" t="n"/>
      <c r="CU339" s="8" t="n"/>
      <c r="CV339" s="8" t="n"/>
      <c r="CW339" s="8" t="n"/>
      <c r="CX339" s="8" t="n"/>
      <c r="CY339" s="8" t="n"/>
      <c r="CZ339" s="8" t="n"/>
      <c r="DA339" s="8" t="n"/>
      <c r="DB339" s="8" t="n"/>
      <c r="DC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8" t="n"/>
      <c r="AM340" s="8" t="n"/>
      <c r="AN340" s="8" t="n"/>
      <c r="AO340" s="8" t="n"/>
      <c r="AP340" s="8" t="n"/>
      <c r="AQ340" s="8" t="n"/>
      <c r="AR340" s="8" t="n"/>
      <c r="AS340" s="8" t="n"/>
      <c r="AT340" s="8" t="n"/>
      <c r="AU340" s="8" t="n"/>
      <c r="AV340" s="8" t="n"/>
      <c r="AW340" s="8" t="n"/>
      <c r="AX340" s="8" t="n"/>
      <c r="AY340" s="8" t="n"/>
      <c r="AZ340" s="8" t="n"/>
      <c r="BA340" s="8" t="n"/>
      <c r="BB340" s="8" t="n"/>
      <c r="BC340" s="8" t="n"/>
      <c r="BD340" s="8" t="n"/>
      <c r="BE340" s="8" t="n"/>
      <c r="BF340" s="8" t="n"/>
      <c r="BG340" s="8" t="n"/>
      <c r="BH340" s="8" t="n"/>
      <c r="BI340" s="8" t="n"/>
      <c r="BJ340" s="153" t="n">
        <v>262</v>
      </c>
      <c r="BK340" s="153" t="inlineStr">
        <is>
          <t>FABRICACION DE REDES Y OTROS PRODUCTOS DE CORDELERIA</t>
        </is>
      </c>
      <c r="BL340" s="153" t="n"/>
      <c r="BM340" s="153" t="n"/>
      <c r="BN340" s="153" t="n"/>
      <c r="BO340" s="153" t="n"/>
      <c r="BP340" s="153" t="n"/>
      <c r="BQ340" s="153" t="n"/>
      <c r="BR340" s="153" t="n"/>
      <c r="BS340" s="153" t="n"/>
      <c r="BT340" s="153" t="n"/>
      <c r="BU340" s="8" t="n"/>
      <c r="BV340" s="8" t="n"/>
      <c r="BW340" s="8" t="n"/>
      <c r="BX340" s="8" t="n"/>
      <c r="BY340" s="8" t="n"/>
      <c r="BZ340" s="8" t="n"/>
      <c r="CA340" s="8" t="n"/>
      <c r="CB340" s="8" t="n"/>
      <c r="CC340" s="8" t="n"/>
      <c r="CD340" s="8" t="n"/>
      <c r="CE340" s="8" t="n"/>
      <c r="CF340" s="8" t="n"/>
      <c r="CG340" s="8" t="n"/>
      <c r="CH340" s="8" t="n"/>
      <c r="CI340" s="8" t="n"/>
      <c r="CJ340" s="8" t="n"/>
      <c r="CK340" s="8" t="n"/>
      <c r="CL340" s="8" t="n"/>
      <c r="CM340" s="8" t="n"/>
      <c r="CN340" s="8" t="n"/>
      <c r="CO340" s="8" t="n"/>
      <c r="CP340" s="8" t="n"/>
      <c r="CQ340" s="8" t="n"/>
      <c r="CR340" s="8" t="n"/>
      <c r="CS340" s="8" t="n"/>
      <c r="CT340" s="8" t="n"/>
      <c r="CU340" s="8" t="n"/>
      <c r="CV340" s="8" t="n"/>
      <c r="CW340" s="8" t="n"/>
      <c r="CX340" s="8" t="n"/>
      <c r="CY340" s="8" t="n"/>
      <c r="CZ340" s="8" t="n"/>
      <c r="DA340" s="8" t="n"/>
      <c r="DB340" s="8" t="n"/>
      <c r="DC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8" t="n"/>
      <c r="AK341" s="8" t="n"/>
      <c r="AL341" s="8" t="n"/>
      <c r="AM341" s="8" t="n"/>
      <c r="AN341" s="8" t="n"/>
      <c r="AO341" s="8" t="n"/>
      <c r="AP341" s="8" t="n"/>
      <c r="AQ341" s="8" t="n"/>
      <c r="AR341" s="8" t="n"/>
      <c r="AS341" s="8" t="n"/>
      <c r="AT341" s="8" t="n"/>
      <c r="AU341" s="8" t="n"/>
      <c r="AV341" s="8" t="n"/>
      <c r="AW341" s="8" t="n"/>
      <c r="AX341" s="8" t="n"/>
      <c r="AY341" s="8" t="n"/>
      <c r="AZ341" s="8" t="n"/>
      <c r="BA341" s="8" t="n"/>
      <c r="BB341" s="8" t="n"/>
      <c r="BC341" s="8" t="n"/>
      <c r="BD341" s="8" t="n"/>
      <c r="BE341" s="8" t="n"/>
      <c r="BF341" s="8" t="n"/>
      <c r="BG341" s="8" t="n"/>
      <c r="BH341" s="8" t="n"/>
      <c r="BI341" s="8" t="n"/>
      <c r="BJ341" s="153" t="n">
        <v>263</v>
      </c>
      <c r="BK341" s="153" t="inlineStr">
        <is>
          <t>FABRICACION DE PRODUCTOS TEXTILES RECICLADOS</t>
        </is>
      </c>
      <c r="BL341" s="153" t="n"/>
      <c r="BM341" s="153" t="n"/>
      <c r="BN341" s="153" t="n"/>
      <c r="BO341" s="153" t="n"/>
      <c r="BP341" s="153" t="n"/>
      <c r="BQ341" s="153" t="n"/>
      <c r="BR341" s="153" t="n"/>
      <c r="BS341" s="153" t="n"/>
      <c r="BT341" s="153" t="n"/>
      <c r="BU341" s="8" t="n"/>
      <c r="BV341" s="8" t="n"/>
      <c r="BW341" s="8" t="n"/>
      <c r="BX341" s="8" t="n"/>
      <c r="BY341" s="8" t="n"/>
      <c r="BZ341" s="8" t="n"/>
      <c r="CA341" s="8" t="n"/>
      <c r="CB341" s="8" t="n"/>
      <c r="CC341" s="8" t="n"/>
      <c r="CD341" s="8" t="n"/>
      <c r="CE341" s="8" t="n"/>
      <c r="CF341" s="8" t="n"/>
      <c r="CG341" s="8" t="n"/>
      <c r="CH341" s="8" t="n"/>
      <c r="CI341" s="8" t="n"/>
      <c r="CJ341" s="8" t="n"/>
      <c r="CK341" s="8" t="n"/>
      <c r="CL341" s="8" t="n"/>
      <c r="CM341" s="8" t="n"/>
      <c r="CN341" s="8" t="n"/>
      <c r="CO341" s="8" t="n"/>
      <c r="CP341" s="8" t="n"/>
      <c r="CQ341" s="8" t="n"/>
      <c r="CR341" s="8" t="n"/>
      <c r="CS341" s="8" t="n"/>
      <c r="CT341" s="8" t="n"/>
      <c r="CU341" s="8" t="n"/>
      <c r="CV341" s="8" t="n"/>
      <c r="CW341" s="8" t="n"/>
      <c r="CX341" s="8" t="n"/>
      <c r="CY341" s="8" t="n"/>
      <c r="CZ341" s="8" t="n"/>
      <c r="DA341" s="8" t="n"/>
      <c r="DB341" s="8" t="n"/>
      <c r="DC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8" t="n"/>
      <c r="AK342" s="8" t="n"/>
      <c r="AL342" s="8" t="n"/>
      <c r="AM342" s="8" t="n"/>
      <c r="AN342" s="8" t="n"/>
      <c r="AO342" s="8" t="n"/>
      <c r="AP342" s="8" t="n"/>
      <c r="AQ342" s="8" t="n"/>
      <c r="AR342" s="8" t="n"/>
      <c r="AS342" s="8" t="n"/>
      <c r="AT342" s="8" t="n"/>
      <c r="AU342" s="8" t="n"/>
      <c r="AV342" s="8" t="n"/>
      <c r="AW342" s="8" t="n"/>
      <c r="AX342" s="8" t="n"/>
      <c r="AY342" s="8" t="n"/>
      <c r="AZ342" s="8" t="n"/>
      <c r="BA342" s="8" t="n"/>
      <c r="BB342" s="8" t="n"/>
      <c r="BC342" s="8" t="n"/>
      <c r="BD342" s="8" t="n"/>
      <c r="BE342" s="8" t="n"/>
      <c r="BF342" s="8" t="n"/>
      <c r="BG342" s="8" t="n"/>
      <c r="BH342" s="8" t="n"/>
      <c r="BI342" s="8" t="n"/>
      <c r="BJ342" s="153" t="n">
        <v>264</v>
      </c>
      <c r="BK342" s="153" t="inlineStr">
        <is>
          <t>FABRICACION DE BANDERAS Y OTROS PRODUCTOS CONFECCIONADOS</t>
        </is>
      </c>
      <c r="BL342" s="153" t="n"/>
      <c r="BM342" s="153" t="n"/>
      <c r="BN342" s="153" t="n"/>
      <c r="BO342" s="153" t="n"/>
      <c r="BP342" s="153" t="n"/>
      <c r="BQ342" s="153" t="n"/>
      <c r="BR342" s="153" t="n"/>
      <c r="BS342" s="153" t="n"/>
      <c r="BT342" s="153" t="n"/>
      <c r="BU342" s="8" t="n"/>
      <c r="BV342" s="8" t="n"/>
      <c r="BW342" s="8" t="n"/>
      <c r="BX342" s="8" t="n"/>
      <c r="BY342" s="8" t="n"/>
      <c r="BZ342" s="8" t="n"/>
      <c r="CA342" s="8" t="n"/>
      <c r="CB342" s="8" t="n"/>
      <c r="CC342" s="8" t="n"/>
      <c r="CD342" s="8" t="n"/>
      <c r="CE342" s="8" t="n"/>
      <c r="CF342" s="8" t="n"/>
      <c r="CG342" s="8" t="n"/>
      <c r="CH342" s="8" t="n"/>
      <c r="CI342" s="8" t="n"/>
      <c r="CJ342" s="8" t="n"/>
      <c r="CK342" s="8" t="n"/>
      <c r="CL342" s="8" t="n"/>
      <c r="CM342" s="8" t="n"/>
      <c r="CN342" s="8" t="n"/>
      <c r="CO342" s="8" t="n"/>
      <c r="CP342" s="8" t="n"/>
      <c r="CQ342" s="8" t="n"/>
      <c r="CR342" s="8" t="n"/>
      <c r="CS342" s="8" t="n"/>
      <c r="CT342" s="8" t="n"/>
      <c r="CU342" s="8" t="n"/>
      <c r="CV342" s="8" t="n"/>
      <c r="CW342" s="8" t="n"/>
      <c r="CX342" s="8" t="n"/>
      <c r="CY342" s="8" t="n"/>
      <c r="CZ342" s="8" t="n"/>
      <c r="DA342" s="8" t="n"/>
      <c r="DB342" s="8" t="n"/>
      <c r="DC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8" t="n"/>
      <c r="AK343" s="8" t="n"/>
      <c r="AL343" s="8" t="n"/>
      <c r="AM343" s="8" t="n"/>
      <c r="AN343" s="8" t="n"/>
      <c r="AO343" s="8" t="n"/>
      <c r="AP343" s="8" t="n"/>
      <c r="AQ343" s="8" t="n"/>
      <c r="AR343" s="8" t="n"/>
      <c r="AS343" s="8" t="n"/>
      <c r="AT343" s="8" t="n"/>
      <c r="AU343" s="8" t="n"/>
      <c r="AV343" s="8" t="n"/>
      <c r="AW343" s="8" t="n"/>
      <c r="AX343" s="8" t="n"/>
      <c r="AY343" s="8" t="n"/>
      <c r="AZ343" s="8" t="n"/>
      <c r="BA343" s="8" t="n"/>
      <c r="BB343" s="8" t="n"/>
      <c r="BC343" s="8" t="n"/>
      <c r="BD343" s="8" t="n"/>
      <c r="BE343" s="8" t="n"/>
      <c r="BF343" s="8" t="n"/>
      <c r="BG343" s="8" t="n"/>
      <c r="BH343" s="8" t="n"/>
      <c r="BI343" s="8" t="n"/>
      <c r="BJ343" s="153" t="n">
        <v>265</v>
      </c>
      <c r="BK343" s="153" t="inlineStr">
        <is>
          <t>TEJIDO DE CALCETINES Y MEDIAS</t>
        </is>
      </c>
      <c r="BL343" s="153" t="n"/>
      <c r="BM343" s="153" t="n"/>
      <c r="BN343" s="153" t="n"/>
      <c r="BO343" s="153" t="n"/>
      <c r="BP343" s="153" t="n"/>
      <c r="BQ343" s="153" t="n"/>
      <c r="BR343" s="153" t="n"/>
      <c r="BS343" s="153" t="n"/>
      <c r="BT343" s="153" t="n"/>
      <c r="BU343" s="8" t="n"/>
      <c r="BV343" s="8" t="n"/>
      <c r="BW343" s="8" t="n"/>
      <c r="BX343" s="8" t="n"/>
      <c r="BY343" s="8" t="n"/>
      <c r="BZ343" s="8" t="n"/>
      <c r="CA343" s="8" t="n"/>
      <c r="CB343" s="8" t="n"/>
      <c r="CC343" s="8" t="n"/>
      <c r="CD343" s="8" t="n"/>
      <c r="CE343" s="8" t="n"/>
      <c r="CF343" s="8" t="n"/>
      <c r="CG343" s="8" t="n"/>
      <c r="CH343" s="8" t="n"/>
      <c r="CI343" s="8" t="n"/>
      <c r="CJ343" s="8" t="n"/>
      <c r="CK343" s="8" t="n"/>
      <c r="CL343" s="8" t="n"/>
      <c r="CM343" s="8" t="n"/>
      <c r="CN343" s="8" t="n"/>
      <c r="CO343" s="8" t="n"/>
      <c r="CP343" s="8" t="n"/>
      <c r="CQ343" s="8" t="n"/>
      <c r="CR343" s="8" t="n"/>
      <c r="CS343" s="8" t="n"/>
      <c r="CT343" s="8" t="n"/>
      <c r="CU343" s="8" t="n"/>
      <c r="CV343" s="8" t="n"/>
      <c r="CW343" s="8" t="n"/>
      <c r="CX343" s="8" t="n"/>
      <c r="CY343" s="8" t="n"/>
      <c r="CZ343" s="8" t="n"/>
      <c r="DA343" s="8" t="n"/>
      <c r="DB343" s="8" t="n"/>
      <c r="DC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8" t="n"/>
      <c r="AJ344" s="8" t="n"/>
      <c r="AK344" s="8" t="n"/>
      <c r="AL344" s="8" t="n"/>
      <c r="AM344" s="8" t="n"/>
      <c r="AN344" s="8" t="n"/>
      <c r="AO344" s="8" t="n"/>
      <c r="AP344" s="8" t="n"/>
      <c r="AQ344" s="8" t="n"/>
      <c r="AR344" s="8" t="n"/>
      <c r="AS344" s="8" t="n"/>
      <c r="AT344" s="8" t="n"/>
      <c r="AU344" s="8" t="n"/>
      <c r="AV344" s="8" t="n"/>
      <c r="AW344" s="8" t="n"/>
      <c r="AX344" s="8" t="n"/>
      <c r="AY344" s="8" t="n"/>
      <c r="AZ344" s="8" t="n"/>
      <c r="BA344" s="8" t="n"/>
      <c r="BB344" s="8" t="n"/>
      <c r="BC344" s="8" t="n"/>
      <c r="BD344" s="8" t="n"/>
      <c r="BE344" s="8" t="n"/>
      <c r="BF344" s="8" t="n"/>
      <c r="BG344" s="8" t="n"/>
      <c r="BH344" s="8" t="n"/>
      <c r="BI344" s="8" t="n"/>
      <c r="BJ344" s="153" t="n">
        <v>266</v>
      </c>
      <c r="BK344" s="153" t="inlineStr">
        <is>
          <t>TEJIDO DE ROPA INTERIOR DE PUNTO</t>
        </is>
      </c>
      <c r="BL344" s="153" t="n"/>
      <c r="BM344" s="153" t="n"/>
      <c r="BN344" s="153" t="n"/>
      <c r="BO344" s="153" t="n"/>
      <c r="BP344" s="153" t="n"/>
      <c r="BQ344" s="153" t="n"/>
      <c r="BR344" s="153" t="n"/>
      <c r="BS344" s="153" t="n"/>
      <c r="BT344" s="153" t="n"/>
      <c r="BU344" s="8" t="n"/>
      <c r="BV344" s="8" t="n"/>
      <c r="BW344" s="8" t="n"/>
      <c r="BX344" s="8" t="n"/>
      <c r="BY344" s="8" t="n"/>
      <c r="BZ344" s="8" t="n"/>
      <c r="CA344" s="8" t="n"/>
      <c r="CB344" s="8" t="n"/>
      <c r="CC344" s="8" t="n"/>
      <c r="CD344" s="8" t="n"/>
      <c r="CE344" s="8" t="n"/>
      <c r="CF344" s="8" t="n"/>
      <c r="CG344" s="8" t="n"/>
      <c r="CH344" s="8" t="n"/>
      <c r="CI344" s="8" t="n"/>
      <c r="CJ344" s="8" t="n"/>
      <c r="CK344" s="8" t="n"/>
      <c r="CL344" s="8" t="n"/>
      <c r="CM344" s="8" t="n"/>
      <c r="CN344" s="8" t="n"/>
      <c r="CO344" s="8" t="n"/>
      <c r="CP344" s="8" t="n"/>
      <c r="CQ344" s="8" t="n"/>
      <c r="CR344" s="8" t="n"/>
      <c r="CS344" s="8" t="n"/>
      <c r="CT344" s="8" t="n"/>
      <c r="CU344" s="8" t="n"/>
      <c r="CV344" s="8" t="n"/>
      <c r="CW344" s="8" t="n"/>
      <c r="CX344" s="8" t="n"/>
      <c r="CY344" s="8" t="n"/>
      <c r="CZ344" s="8" t="n"/>
      <c r="DA344" s="8" t="n"/>
      <c r="DB344" s="8" t="n"/>
      <c r="DC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8" t="n"/>
      <c r="AJ345" s="8" t="n"/>
      <c r="AK345" s="8" t="n"/>
      <c r="AL345" s="8" t="n"/>
      <c r="AM345" s="8" t="n"/>
      <c r="AN345" s="8" t="n"/>
      <c r="AO345" s="8" t="n"/>
      <c r="AP345" s="8" t="n"/>
      <c r="AQ345" s="8" t="n"/>
      <c r="AR345" s="8" t="n"/>
      <c r="AS345" s="8" t="n"/>
      <c r="AT345" s="8" t="n"/>
      <c r="AU345" s="8" t="n"/>
      <c r="AV345" s="8" t="n"/>
      <c r="AW345" s="8" t="n"/>
      <c r="AX345" s="8" t="n"/>
      <c r="AY345" s="8" t="n"/>
      <c r="AZ345" s="8" t="n"/>
      <c r="BA345" s="8" t="n"/>
      <c r="BB345" s="8" t="n"/>
      <c r="BC345" s="8" t="n"/>
      <c r="BD345" s="8" t="n"/>
      <c r="BE345" s="8" t="n"/>
      <c r="BF345" s="8" t="n"/>
      <c r="BG345" s="8" t="n"/>
      <c r="BH345" s="8" t="n"/>
      <c r="BI345" s="8" t="n"/>
      <c r="BJ345" s="153" t="n">
        <v>267</v>
      </c>
      <c r="BK345" s="153" t="inlineStr">
        <is>
          <t>TEJIDO DE ROPA EXTERIOR DE PUNTO</t>
        </is>
      </c>
      <c r="BL345" s="153" t="n"/>
      <c r="BM345" s="153" t="n"/>
      <c r="BN345" s="153" t="n"/>
      <c r="BO345" s="153" t="n"/>
      <c r="BP345" s="153" t="n"/>
      <c r="BQ345" s="153" t="n"/>
      <c r="BR345" s="153" t="n"/>
      <c r="BS345" s="153" t="n"/>
      <c r="BT345" s="153" t="n"/>
      <c r="BU345" s="8" t="n"/>
      <c r="BV345" s="8" t="n"/>
      <c r="BW345" s="8" t="n"/>
      <c r="BX345" s="8" t="n"/>
      <c r="BY345" s="8" t="n"/>
      <c r="BZ345" s="8" t="n"/>
      <c r="CA345" s="8" t="n"/>
      <c r="CB345" s="8" t="n"/>
      <c r="CC345" s="8" t="n"/>
      <c r="CD345" s="8" t="n"/>
      <c r="CE345" s="8" t="n"/>
      <c r="CF345" s="8" t="n"/>
      <c r="CG345" s="8" t="n"/>
      <c r="CH345" s="8" t="n"/>
      <c r="CI345" s="8" t="n"/>
      <c r="CJ345" s="8" t="n"/>
      <c r="CK345" s="8" t="n"/>
      <c r="CL345" s="8" t="n"/>
      <c r="CM345" s="8" t="n"/>
      <c r="CN345" s="8" t="n"/>
      <c r="CO345" s="8" t="n"/>
      <c r="CP345" s="8" t="n"/>
      <c r="CQ345" s="8" t="n"/>
      <c r="CR345" s="8" t="n"/>
      <c r="CS345" s="8" t="n"/>
      <c r="CT345" s="8" t="n"/>
      <c r="CU345" s="8" t="n"/>
      <c r="CV345" s="8" t="n"/>
      <c r="CW345" s="8" t="n"/>
      <c r="CX345" s="8" t="n"/>
      <c r="CY345" s="8" t="n"/>
      <c r="CZ345" s="8" t="n"/>
      <c r="DA345" s="8" t="n"/>
      <c r="DB345" s="8" t="n"/>
      <c r="DC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8" t="n"/>
      <c r="AJ346" s="8" t="n"/>
      <c r="AK346" s="8" t="n"/>
      <c r="AL346" s="8" t="n"/>
      <c r="AM346" s="8" t="n"/>
      <c r="AN346" s="8" t="n"/>
      <c r="AO346" s="8" t="n"/>
      <c r="AP346" s="8" t="n"/>
      <c r="AQ346" s="8" t="n"/>
      <c r="AR346" s="8" t="n"/>
      <c r="AS346" s="8" t="n"/>
      <c r="AT346" s="8" t="n"/>
      <c r="AU346" s="8" t="n"/>
      <c r="AV346" s="8" t="n"/>
      <c r="AW346" s="8" t="n"/>
      <c r="AX346" s="8" t="n"/>
      <c r="AY346" s="8" t="n"/>
      <c r="AZ346" s="8" t="n"/>
      <c r="BA346" s="8" t="n"/>
      <c r="BB346" s="8" t="n"/>
      <c r="BC346" s="8" t="n"/>
      <c r="BD346" s="8" t="n"/>
      <c r="BE346" s="8" t="n"/>
      <c r="BF346" s="8" t="n"/>
      <c r="BG346" s="8" t="n"/>
      <c r="BH346" s="8" t="n"/>
      <c r="BI346" s="8" t="n"/>
      <c r="BJ346" s="153" t="n">
        <v>268</v>
      </c>
      <c r="BK346" s="153" t="inlineStr">
        <is>
          <t>CONFECCION DE ROPA (CHAMARRAS, SACOS, FALDAS, ABRIGOS) DE CUERO, PIEL Y MATERIALES SUCEDANEOS</t>
        </is>
      </c>
      <c r="BL346" s="153" t="n"/>
      <c r="BM346" s="153" t="n"/>
      <c r="BN346" s="153" t="n"/>
      <c r="BO346" s="153" t="n"/>
      <c r="BP346" s="153" t="n"/>
      <c r="BQ346" s="153" t="n"/>
      <c r="BR346" s="153" t="n"/>
      <c r="BS346" s="153" t="n"/>
      <c r="BT346" s="153" t="n"/>
      <c r="BU346" s="8" t="n"/>
      <c r="BV346" s="8" t="n"/>
      <c r="BW346" s="8" t="n"/>
      <c r="BX346" s="8" t="n"/>
      <c r="BY346" s="8" t="n"/>
      <c r="BZ346" s="8" t="n"/>
      <c r="CA346" s="8" t="n"/>
      <c r="CB346" s="8" t="n"/>
      <c r="CC346" s="8" t="n"/>
      <c r="CD346" s="8" t="n"/>
      <c r="CE346" s="8" t="n"/>
      <c r="CF346" s="8" t="n"/>
      <c r="CG346" s="8" t="n"/>
      <c r="CH346" s="8" t="n"/>
      <c r="CI346" s="8" t="n"/>
      <c r="CJ346" s="8" t="n"/>
      <c r="CK346" s="8" t="n"/>
      <c r="CL346" s="8" t="n"/>
      <c r="CM346" s="8" t="n"/>
      <c r="CN346" s="8" t="n"/>
      <c r="CO346" s="8" t="n"/>
      <c r="CP346" s="8" t="n"/>
      <c r="CQ346" s="8" t="n"/>
      <c r="CR346" s="8" t="n"/>
      <c r="CS346" s="8" t="n"/>
      <c r="CT346" s="8" t="n"/>
      <c r="CU346" s="8" t="n"/>
      <c r="CV346" s="8" t="n"/>
      <c r="CW346" s="8" t="n"/>
      <c r="CX346" s="8" t="n"/>
      <c r="CY346" s="8" t="n"/>
      <c r="CZ346" s="8" t="n"/>
      <c r="DA346" s="8" t="n"/>
      <c r="DB346" s="8" t="n"/>
      <c r="DC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8" t="n"/>
      <c r="AJ347" s="8" t="n"/>
      <c r="AK347" s="8" t="n"/>
      <c r="AL347" s="8" t="n"/>
      <c r="AM347" s="8" t="n"/>
      <c r="AN347" s="8" t="n"/>
      <c r="AO347" s="8" t="n"/>
      <c r="AP347" s="8" t="n"/>
      <c r="AQ347" s="8" t="n"/>
      <c r="AR347" s="8" t="n"/>
      <c r="AS347" s="8" t="n"/>
      <c r="AT347" s="8" t="n"/>
      <c r="AU347" s="8" t="n"/>
      <c r="AV347" s="8" t="n"/>
      <c r="AW347" s="8" t="n"/>
      <c r="AX347" s="8" t="n"/>
      <c r="AY347" s="8" t="n"/>
      <c r="AZ347" s="8" t="n"/>
      <c r="BA347" s="8" t="n"/>
      <c r="BB347" s="8" t="n"/>
      <c r="BC347" s="8" t="n"/>
      <c r="BD347" s="8" t="n"/>
      <c r="BE347" s="8" t="n"/>
      <c r="BF347" s="8" t="n"/>
      <c r="BG347" s="8" t="n"/>
      <c r="BH347" s="8" t="n"/>
      <c r="BI347" s="8" t="n"/>
      <c r="BJ347" s="153" t="n">
        <v>269</v>
      </c>
      <c r="BK347" s="153" t="inlineStr">
        <is>
          <t>CONFECCION EN SERIE DE ROPA INTERIOR Y DE DORMIR</t>
        </is>
      </c>
      <c r="BL347" s="153" t="n"/>
      <c r="BM347" s="153" t="n"/>
      <c r="BN347" s="153" t="n"/>
      <c r="BO347" s="153" t="n"/>
      <c r="BP347" s="153" t="n"/>
      <c r="BQ347" s="153" t="n"/>
      <c r="BR347" s="153" t="n"/>
      <c r="BS347" s="153" t="n"/>
      <c r="BT347" s="153" t="n"/>
      <c r="BU347" s="8" t="n"/>
      <c r="BV347" s="8" t="n"/>
      <c r="BW347" s="8" t="n"/>
      <c r="BX347" s="8" t="n"/>
      <c r="BY347" s="8" t="n"/>
      <c r="BZ347" s="8" t="n"/>
      <c r="CA347" s="8" t="n"/>
      <c r="CB347" s="8" t="n"/>
      <c r="CC347" s="8" t="n"/>
      <c r="CD347" s="8" t="n"/>
      <c r="CE347" s="8" t="n"/>
      <c r="CF347" s="8" t="n"/>
      <c r="CG347" s="8" t="n"/>
      <c r="CH347" s="8" t="n"/>
      <c r="CI347" s="8" t="n"/>
      <c r="CJ347" s="8" t="n"/>
      <c r="CK347" s="8" t="n"/>
      <c r="CL347" s="8" t="n"/>
      <c r="CM347" s="8" t="n"/>
      <c r="CN347" s="8" t="n"/>
      <c r="CO347" s="8" t="n"/>
      <c r="CP347" s="8" t="n"/>
      <c r="CQ347" s="8" t="n"/>
      <c r="CR347" s="8" t="n"/>
      <c r="CS347" s="8" t="n"/>
      <c r="CT347" s="8" t="n"/>
      <c r="CU347" s="8" t="n"/>
      <c r="CV347" s="8" t="n"/>
      <c r="CW347" s="8" t="n"/>
      <c r="CX347" s="8" t="n"/>
      <c r="CY347" s="8" t="n"/>
      <c r="CZ347" s="8" t="n"/>
      <c r="DA347" s="8" t="n"/>
      <c r="DB347" s="8" t="n"/>
      <c r="DC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8" t="n"/>
      <c r="AK348" s="8" t="n"/>
      <c r="AL348" s="8" t="n"/>
      <c r="AM348" s="8" t="n"/>
      <c r="AN348" s="8" t="n"/>
      <c r="AO348" s="8" t="n"/>
      <c r="AP348" s="8" t="n"/>
      <c r="AQ348" s="8" t="n"/>
      <c r="AR348" s="8" t="n"/>
      <c r="AS348" s="8" t="n"/>
      <c r="AT348" s="8" t="n"/>
      <c r="AU348" s="8" t="n"/>
      <c r="AV348" s="8" t="n"/>
      <c r="AW348" s="8" t="n"/>
      <c r="AX348" s="8" t="n"/>
      <c r="AY348" s="8" t="n"/>
      <c r="AZ348" s="8" t="n"/>
      <c r="BA348" s="8" t="n"/>
      <c r="BB348" s="8" t="n"/>
      <c r="BC348" s="8" t="n"/>
      <c r="BD348" s="8" t="n"/>
      <c r="BE348" s="8" t="n"/>
      <c r="BF348" s="8" t="n"/>
      <c r="BG348" s="8" t="n"/>
      <c r="BH348" s="8" t="n"/>
      <c r="BI348" s="8" t="n"/>
      <c r="BJ348" s="153" t="n">
        <v>270</v>
      </c>
      <c r="BK348" s="153" t="inlineStr">
        <is>
          <t>CONFECCION EN SERIE DE CAMISAS Y GUAYABERAS</t>
        </is>
      </c>
      <c r="BL348" s="153" t="n"/>
      <c r="BM348" s="153" t="n"/>
      <c r="BN348" s="153" t="n"/>
      <c r="BO348" s="153" t="n"/>
      <c r="BP348" s="153" t="n"/>
      <c r="BQ348" s="153" t="n"/>
      <c r="BR348" s="153" t="n"/>
      <c r="BS348" s="153" t="n"/>
      <c r="BT348" s="153" t="n"/>
      <c r="BU348" s="8" t="n"/>
      <c r="BV348" s="8" t="n"/>
      <c r="BW348" s="8" t="n"/>
      <c r="BX348" s="8" t="n"/>
      <c r="BY348" s="8" t="n"/>
      <c r="BZ348" s="8" t="n"/>
      <c r="CA348" s="8" t="n"/>
      <c r="CB348" s="8" t="n"/>
      <c r="CC348" s="8" t="n"/>
      <c r="CD348" s="8" t="n"/>
      <c r="CE348" s="8" t="n"/>
      <c r="CF348" s="8" t="n"/>
      <c r="CG348" s="8" t="n"/>
      <c r="CH348" s="8" t="n"/>
      <c r="CI348" s="8" t="n"/>
      <c r="CJ348" s="8" t="n"/>
      <c r="CK348" s="8" t="n"/>
      <c r="CL348" s="8" t="n"/>
      <c r="CM348" s="8" t="n"/>
      <c r="CN348" s="8" t="n"/>
      <c r="CO348" s="8" t="n"/>
      <c r="CP348" s="8" t="n"/>
      <c r="CQ348" s="8" t="n"/>
      <c r="CR348" s="8" t="n"/>
      <c r="CS348" s="8" t="n"/>
      <c r="CT348" s="8" t="n"/>
      <c r="CU348" s="8" t="n"/>
      <c r="CV348" s="8" t="n"/>
      <c r="CW348" s="8" t="n"/>
      <c r="CX348" s="8" t="n"/>
      <c r="CY348" s="8" t="n"/>
      <c r="CZ348" s="8" t="n"/>
      <c r="DA348" s="8" t="n"/>
      <c r="DB348" s="8" t="n"/>
      <c r="DC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8" t="n"/>
      <c r="AJ349" s="8" t="n"/>
      <c r="AK349" s="8" t="n"/>
      <c r="AL349" s="8" t="n"/>
      <c r="AM349" s="8" t="n"/>
      <c r="AN349" s="8" t="n"/>
      <c r="AO349" s="8" t="n"/>
      <c r="AP349" s="8" t="n"/>
      <c r="AQ349" s="8" t="n"/>
      <c r="AR349" s="8" t="n"/>
      <c r="AS349" s="8" t="n"/>
      <c r="AT349" s="8" t="n"/>
      <c r="AU349" s="8" t="n"/>
      <c r="AV349" s="8" t="n"/>
      <c r="AW349" s="8" t="n"/>
      <c r="AX349" s="8" t="n"/>
      <c r="AY349" s="8" t="n"/>
      <c r="AZ349" s="8" t="n"/>
      <c r="BA349" s="8" t="n"/>
      <c r="BB349" s="8" t="n"/>
      <c r="BC349" s="8" t="n"/>
      <c r="BD349" s="8" t="n"/>
      <c r="BE349" s="8" t="n"/>
      <c r="BF349" s="8" t="n"/>
      <c r="BG349" s="8" t="n"/>
      <c r="BH349" s="8" t="n"/>
      <c r="BI349" s="8" t="n"/>
      <c r="BJ349" s="153" t="n">
        <v>271</v>
      </c>
      <c r="BK349" s="153" t="inlineStr">
        <is>
          <t>CONFECCION EN SERIE DE UNIFORMES (ESCOLARES, INDUSTRIALES, ETC.) Y ROPA DE TRABAJO</t>
        </is>
      </c>
      <c r="BL349" s="153" t="n"/>
      <c r="BM349" s="153" t="n"/>
      <c r="BN349" s="153" t="n"/>
      <c r="BO349" s="153" t="n"/>
      <c r="BP349" s="153" t="n"/>
      <c r="BQ349" s="153" t="n"/>
      <c r="BR349" s="153" t="n"/>
      <c r="BS349" s="153" t="n"/>
      <c r="BT349" s="153" t="n"/>
      <c r="BU349" s="8" t="n"/>
      <c r="BV349" s="8" t="n"/>
      <c r="BW349" s="8" t="n"/>
      <c r="BX349" s="8" t="n"/>
      <c r="BY349" s="8" t="n"/>
      <c r="BZ349" s="8" t="n"/>
      <c r="CA349" s="8" t="n"/>
      <c r="CB349" s="8" t="n"/>
      <c r="CC349" s="8" t="n"/>
      <c r="CD349" s="8" t="n"/>
      <c r="CE349" s="8" t="n"/>
      <c r="CF349" s="8" t="n"/>
      <c r="CG349" s="8" t="n"/>
      <c r="CH349" s="8" t="n"/>
      <c r="CI349" s="8" t="n"/>
      <c r="CJ349" s="8" t="n"/>
      <c r="CK349" s="8" t="n"/>
      <c r="CL349" s="8" t="n"/>
      <c r="CM349" s="8" t="n"/>
      <c r="CN349" s="8" t="n"/>
      <c r="CO349" s="8" t="n"/>
      <c r="CP349" s="8" t="n"/>
      <c r="CQ349" s="8" t="n"/>
      <c r="CR349" s="8" t="n"/>
      <c r="CS349" s="8" t="n"/>
      <c r="CT349" s="8" t="n"/>
      <c r="CU349" s="8" t="n"/>
      <c r="CV349" s="8" t="n"/>
      <c r="CW349" s="8" t="n"/>
      <c r="CX349" s="8" t="n"/>
      <c r="CY349" s="8" t="n"/>
      <c r="CZ349" s="8" t="n"/>
      <c r="DA349" s="8" t="n"/>
      <c r="DB349" s="8" t="n"/>
      <c r="DC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8" t="n"/>
      <c r="AJ350" s="8" t="n"/>
      <c r="AK350" s="8" t="n"/>
      <c r="AL350" s="8" t="n"/>
      <c r="AM350" s="8" t="n"/>
      <c r="AN350" s="8" t="n"/>
      <c r="AO350" s="8" t="n"/>
      <c r="AP350" s="8" t="n"/>
      <c r="AQ350" s="8" t="n"/>
      <c r="AR350" s="8" t="n"/>
      <c r="AS350" s="8" t="n"/>
      <c r="AT350" s="8" t="n"/>
      <c r="AU350" s="8" t="n"/>
      <c r="AV350" s="8" t="n"/>
      <c r="AW350" s="8" t="n"/>
      <c r="AX350" s="8" t="n"/>
      <c r="AY350" s="8" t="n"/>
      <c r="AZ350" s="8" t="n"/>
      <c r="BA350" s="8" t="n"/>
      <c r="BB350" s="8" t="n"/>
      <c r="BC350" s="8" t="n"/>
      <c r="BD350" s="8" t="n"/>
      <c r="BE350" s="8" t="n"/>
      <c r="BF350" s="8" t="n"/>
      <c r="BG350" s="8" t="n"/>
      <c r="BH350" s="8" t="n"/>
      <c r="BI350" s="8" t="n"/>
      <c r="BJ350" s="153" t="n">
        <v>272</v>
      </c>
      <c r="BK350" s="153" t="inlineStr">
        <is>
          <t>CONFECCION EN SERIE DE ROPA ESPECIAL: ARTISTICA, DISFRACES, TRAJES TIPICOS, TRAJES DE TORERO, HABITOS RELIGIOSOS</t>
        </is>
      </c>
      <c r="BL350" s="153" t="n"/>
      <c r="BM350" s="153" t="n"/>
      <c r="BN350" s="153" t="n"/>
      <c r="BO350" s="153" t="n"/>
      <c r="BP350" s="153" t="n"/>
      <c r="BQ350" s="153" t="n"/>
      <c r="BR350" s="153" t="n"/>
      <c r="BS350" s="153" t="n"/>
      <c r="BT350" s="153" t="n"/>
      <c r="BU350" s="8" t="n"/>
      <c r="BV350" s="8" t="n"/>
      <c r="BW350" s="8" t="n"/>
      <c r="BX350" s="8" t="n"/>
      <c r="BY350" s="8" t="n"/>
      <c r="BZ350" s="8" t="n"/>
      <c r="CA350" s="8" t="n"/>
      <c r="CB350" s="8" t="n"/>
      <c r="CC350" s="8" t="n"/>
      <c r="CD350" s="8" t="n"/>
      <c r="CE350" s="8" t="n"/>
      <c r="CF350" s="8" t="n"/>
      <c r="CG350" s="8" t="n"/>
      <c r="CH350" s="8" t="n"/>
      <c r="CI350" s="8" t="n"/>
      <c r="CJ350" s="8" t="n"/>
      <c r="CK350" s="8" t="n"/>
      <c r="CL350" s="8" t="n"/>
      <c r="CM350" s="8" t="n"/>
      <c r="CN350" s="8" t="n"/>
      <c r="CO350" s="8" t="n"/>
      <c r="CP350" s="8" t="n"/>
      <c r="CQ350" s="8" t="n"/>
      <c r="CR350" s="8" t="n"/>
      <c r="CS350" s="8" t="n"/>
      <c r="CT350" s="8" t="n"/>
      <c r="CU350" s="8" t="n"/>
      <c r="CV350" s="8" t="n"/>
      <c r="CW350" s="8" t="n"/>
      <c r="CX350" s="8" t="n"/>
      <c r="CY350" s="8" t="n"/>
      <c r="CZ350" s="8" t="n"/>
      <c r="DA350" s="8" t="n"/>
      <c r="DB350" s="8" t="n"/>
      <c r="DC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8" t="n"/>
      <c r="AK351" s="8" t="n"/>
      <c r="AL351" s="8" t="n"/>
      <c r="AM351" s="8" t="n"/>
      <c r="AN351" s="8" t="n"/>
      <c r="AO351" s="8" t="n"/>
      <c r="AP351" s="8" t="n"/>
      <c r="AQ351" s="8" t="n"/>
      <c r="AR351" s="8" t="n"/>
      <c r="AS351" s="8" t="n"/>
      <c r="AT351" s="8" t="n"/>
      <c r="AU351" s="8" t="n"/>
      <c r="AV351" s="8" t="n"/>
      <c r="AW351" s="8" t="n"/>
      <c r="AX351" s="8" t="n"/>
      <c r="AY351" s="8" t="n"/>
      <c r="AZ351" s="8" t="n"/>
      <c r="BA351" s="8" t="n"/>
      <c r="BB351" s="8" t="n"/>
      <c r="BC351" s="8" t="n"/>
      <c r="BD351" s="8" t="n"/>
      <c r="BE351" s="8" t="n"/>
      <c r="BF351" s="8" t="n"/>
      <c r="BG351" s="8" t="n"/>
      <c r="BH351" s="8" t="n"/>
      <c r="BI351" s="8" t="n"/>
      <c r="BJ351" s="153" t="n">
        <v>273</v>
      </c>
      <c r="BK351" s="153" t="inlineStr">
        <is>
          <t>CONFECCION DE ROPA SOBRE MEDIDA</t>
        </is>
      </c>
      <c r="BL351" s="153" t="n"/>
      <c r="BM351" s="153" t="n"/>
      <c r="BN351" s="153" t="n"/>
      <c r="BO351" s="153" t="n"/>
      <c r="BP351" s="153" t="n"/>
      <c r="BQ351" s="153" t="n"/>
      <c r="BR351" s="153" t="n"/>
      <c r="BS351" s="153" t="n"/>
      <c r="BT351" s="153" t="n"/>
      <c r="BU351" s="8" t="n"/>
      <c r="BV351" s="8" t="n"/>
      <c r="BW351" s="8" t="n"/>
      <c r="BX351" s="8" t="n"/>
      <c r="BY351" s="8" t="n"/>
      <c r="BZ351" s="8" t="n"/>
      <c r="CA351" s="8" t="n"/>
      <c r="CB351" s="8" t="n"/>
      <c r="CC351" s="8" t="n"/>
      <c r="CD351" s="8" t="n"/>
      <c r="CE351" s="8" t="n"/>
      <c r="CF351" s="8" t="n"/>
      <c r="CG351" s="8" t="n"/>
      <c r="CH351" s="8" t="n"/>
      <c r="CI351" s="8" t="n"/>
      <c r="CJ351" s="8" t="n"/>
      <c r="CK351" s="8" t="n"/>
      <c r="CL351" s="8" t="n"/>
      <c r="CM351" s="8" t="n"/>
      <c r="CN351" s="8" t="n"/>
      <c r="CO351" s="8" t="n"/>
      <c r="CP351" s="8" t="n"/>
      <c r="CQ351" s="8" t="n"/>
      <c r="CR351" s="8" t="n"/>
      <c r="CS351" s="8" t="n"/>
      <c r="CT351" s="8" t="n"/>
      <c r="CU351" s="8" t="n"/>
      <c r="CV351" s="8" t="n"/>
      <c r="CW351" s="8" t="n"/>
      <c r="CX351" s="8" t="n"/>
      <c r="CY351" s="8" t="n"/>
      <c r="CZ351" s="8" t="n"/>
      <c r="DA351" s="8" t="n"/>
      <c r="DB351" s="8" t="n"/>
      <c r="DC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8" t="n"/>
      <c r="AM352" s="8" t="n"/>
      <c r="AN352" s="8" t="n"/>
      <c r="AO352" s="8" t="n"/>
      <c r="AP352" s="8" t="n"/>
      <c r="AQ352" s="8" t="n"/>
      <c r="AR352" s="8" t="n"/>
      <c r="AS352" s="8" t="n"/>
      <c r="AT352" s="8" t="n"/>
      <c r="AU352" s="8" t="n"/>
      <c r="AV352" s="8" t="n"/>
      <c r="AW352" s="8" t="n"/>
      <c r="AX352" s="8" t="n"/>
      <c r="AY352" s="8" t="n"/>
      <c r="AZ352" s="8" t="n"/>
      <c r="BA352" s="8" t="n"/>
      <c r="BB352" s="8" t="n"/>
      <c r="BC352" s="8" t="n"/>
      <c r="BD352" s="8" t="n"/>
      <c r="BE352" s="8" t="n"/>
      <c r="BF352" s="8" t="n"/>
      <c r="BG352" s="8" t="n"/>
      <c r="BH352" s="8" t="n"/>
      <c r="BI352" s="8" t="n"/>
      <c r="BJ352" s="153" t="n">
        <v>274</v>
      </c>
      <c r="BK352" s="153" t="inlineStr">
        <is>
          <t>CONFECCION DE OTRA ROPA DE MATERIALES TEXTILES</t>
        </is>
      </c>
      <c r="BL352" s="153" t="n"/>
      <c r="BM352" s="153" t="n"/>
      <c r="BN352" s="153" t="n"/>
      <c r="BO352" s="153" t="n"/>
      <c r="BP352" s="153" t="n"/>
      <c r="BQ352" s="153" t="n"/>
      <c r="BR352" s="153" t="n"/>
      <c r="BS352" s="153" t="n"/>
      <c r="BT352" s="153" t="n"/>
      <c r="BU352" s="8" t="n"/>
      <c r="BV352" s="8" t="n"/>
      <c r="BW352" s="8" t="n"/>
      <c r="BX352" s="8" t="n"/>
      <c r="BY352" s="8" t="n"/>
      <c r="BZ352" s="8" t="n"/>
      <c r="CA352" s="8" t="n"/>
      <c r="CB352" s="8" t="n"/>
      <c r="CC352" s="8" t="n"/>
      <c r="CD352" s="8" t="n"/>
      <c r="CE352" s="8" t="n"/>
      <c r="CF352" s="8" t="n"/>
      <c r="CG352" s="8" t="n"/>
      <c r="CH352" s="8" t="n"/>
      <c r="CI352" s="8" t="n"/>
      <c r="CJ352" s="8" t="n"/>
      <c r="CK352" s="8" t="n"/>
      <c r="CL352" s="8" t="n"/>
      <c r="CM352" s="8" t="n"/>
      <c r="CN352" s="8" t="n"/>
      <c r="CO352" s="8" t="n"/>
      <c r="CP352" s="8" t="n"/>
      <c r="CQ352" s="8" t="n"/>
      <c r="CR352" s="8" t="n"/>
      <c r="CS352" s="8" t="n"/>
      <c r="CT352" s="8" t="n"/>
      <c r="CU352" s="8" t="n"/>
      <c r="CV352" s="8" t="n"/>
      <c r="CW352" s="8" t="n"/>
      <c r="CX352" s="8" t="n"/>
      <c r="CY352" s="8" t="n"/>
      <c r="CZ352" s="8" t="n"/>
      <c r="DA352" s="8" t="n"/>
      <c r="DB352" s="8" t="n"/>
      <c r="DC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8" t="n"/>
      <c r="AK353" s="8" t="n"/>
      <c r="AL353" s="8" t="n"/>
      <c r="AM353" s="8" t="n"/>
      <c r="AN353" s="8" t="n"/>
      <c r="AO353" s="8" t="n"/>
      <c r="AP353" s="8" t="n"/>
      <c r="AQ353" s="8" t="n"/>
      <c r="AR353" s="8" t="n"/>
      <c r="AS353" s="8" t="n"/>
      <c r="AT353" s="8" t="n"/>
      <c r="AU353" s="8" t="n"/>
      <c r="AV353" s="8" t="n"/>
      <c r="AW353" s="8" t="n"/>
      <c r="AX353" s="8" t="n"/>
      <c r="AY353" s="8" t="n"/>
      <c r="AZ353" s="8" t="n"/>
      <c r="BA353" s="8" t="n"/>
      <c r="BB353" s="8" t="n"/>
      <c r="BC353" s="8" t="n"/>
      <c r="BD353" s="8" t="n"/>
      <c r="BE353" s="8" t="n"/>
      <c r="BF353" s="8" t="n"/>
      <c r="BG353" s="8" t="n"/>
      <c r="BH353" s="8" t="n"/>
      <c r="BI353" s="8" t="n"/>
      <c r="BJ353" s="153" t="n">
        <v>275</v>
      </c>
      <c r="BK353" s="153" t="inlineStr">
        <is>
          <t>FABRICACION DE SOMBREROS, GORRAS, CACHUCHAS, BOINAS, VISERAS Y OTROS ACCESORIOS SIMILARES HECHOS A BASE DE MATERIALES DIVERSOS</t>
        </is>
      </c>
      <c r="BL353" s="153" t="n"/>
      <c r="BM353" s="153" t="n"/>
      <c r="BN353" s="153" t="n"/>
      <c r="BO353" s="153" t="n"/>
      <c r="BP353" s="153" t="n"/>
      <c r="BQ353" s="153" t="n"/>
      <c r="BR353" s="153" t="n"/>
      <c r="BS353" s="153" t="n"/>
      <c r="BT353" s="153" t="n"/>
      <c r="BU353" s="8" t="n"/>
      <c r="BV353" s="8" t="n"/>
      <c r="BW353" s="8" t="n"/>
      <c r="BX353" s="8" t="n"/>
      <c r="BY353" s="8" t="n"/>
      <c r="BZ353" s="8" t="n"/>
      <c r="CA353" s="8" t="n"/>
      <c r="CB353" s="8" t="n"/>
      <c r="CC353" s="8" t="n"/>
      <c r="CD353" s="8" t="n"/>
      <c r="CE353" s="8" t="n"/>
      <c r="CF353" s="8" t="n"/>
      <c r="CG353" s="8" t="n"/>
      <c r="CH353" s="8" t="n"/>
      <c r="CI353" s="8" t="n"/>
      <c r="CJ353" s="8" t="n"/>
      <c r="CK353" s="8" t="n"/>
      <c r="CL353" s="8" t="n"/>
      <c r="CM353" s="8" t="n"/>
      <c r="CN353" s="8" t="n"/>
      <c r="CO353" s="8" t="n"/>
      <c r="CP353" s="8" t="n"/>
      <c r="CQ353" s="8" t="n"/>
      <c r="CR353" s="8" t="n"/>
      <c r="CS353" s="8" t="n"/>
      <c r="CT353" s="8" t="n"/>
      <c r="CU353" s="8" t="n"/>
      <c r="CV353" s="8" t="n"/>
      <c r="CW353" s="8" t="n"/>
      <c r="CX353" s="8" t="n"/>
      <c r="CY353" s="8" t="n"/>
      <c r="CZ353" s="8" t="n"/>
      <c r="DA353" s="8" t="n"/>
      <c r="DB353" s="8" t="n"/>
      <c r="DC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8" t="n"/>
      <c r="AK354" s="8" t="n"/>
      <c r="AL354" s="8" t="n"/>
      <c r="AM354" s="8" t="n"/>
      <c r="AN354" s="8" t="n"/>
      <c r="AO354" s="8" t="n"/>
      <c r="AP354" s="8" t="n"/>
      <c r="AQ354" s="8" t="n"/>
      <c r="AR354" s="8" t="n"/>
      <c r="AS354" s="8" t="n"/>
      <c r="AT354" s="8" t="n"/>
      <c r="AU354" s="8" t="n"/>
      <c r="AV354" s="8" t="n"/>
      <c r="AW354" s="8" t="n"/>
      <c r="AX354" s="8" t="n"/>
      <c r="AY354" s="8" t="n"/>
      <c r="AZ354" s="8" t="n"/>
      <c r="BA354" s="8" t="n"/>
      <c r="BB354" s="8" t="n"/>
      <c r="BC354" s="8" t="n"/>
      <c r="BD354" s="8" t="n"/>
      <c r="BE354" s="8" t="n"/>
      <c r="BF354" s="8" t="n"/>
      <c r="BG354" s="8" t="n"/>
      <c r="BH354" s="8" t="n"/>
      <c r="BI354" s="8" t="n"/>
      <c r="BJ354" s="153" t="n">
        <v>276</v>
      </c>
      <c r="BK354" s="153" t="inlineStr">
        <is>
          <t>CONFECCION DE OTROS ACCESORIOS DE VESTIR</t>
        </is>
      </c>
      <c r="BL354" s="153" t="n"/>
      <c r="BM354" s="153" t="n"/>
      <c r="BN354" s="153" t="n"/>
      <c r="BO354" s="153" t="n"/>
      <c r="BP354" s="153" t="n"/>
      <c r="BQ354" s="153" t="n"/>
      <c r="BR354" s="153" t="n"/>
      <c r="BS354" s="153" t="n"/>
      <c r="BT354" s="153" t="n"/>
      <c r="BU354" s="8" t="n"/>
      <c r="BV354" s="8" t="n"/>
      <c r="BW354" s="8" t="n"/>
      <c r="BX354" s="8" t="n"/>
      <c r="BY354" s="8" t="n"/>
      <c r="BZ354" s="8" t="n"/>
      <c r="CA354" s="8" t="n"/>
      <c r="CB354" s="8" t="n"/>
      <c r="CC354" s="8" t="n"/>
      <c r="CD354" s="8" t="n"/>
      <c r="CE354" s="8" t="n"/>
      <c r="CF354" s="8" t="n"/>
      <c r="CG354" s="8" t="n"/>
      <c r="CH354" s="8" t="n"/>
      <c r="CI354" s="8" t="n"/>
      <c r="CJ354" s="8" t="n"/>
      <c r="CK354" s="8" t="n"/>
      <c r="CL354" s="8" t="n"/>
      <c r="CM354" s="8" t="n"/>
      <c r="CN354" s="8" t="n"/>
      <c r="CO354" s="8" t="n"/>
      <c r="CP354" s="8" t="n"/>
      <c r="CQ354" s="8" t="n"/>
      <c r="CR354" s="8" t="n"/>
      <c r="CS354" s="8" t="n"/>
      <c r="CT354" s="8" t="n"/>
      <c r="CU354" s="8" t="n"/>
      <c r="CV354" s="8" t="n"/>
      <c r="CW354" s="8" t="n"/>
      <c r="CX354" s="8" t="n"/>
      <c r="CY354" s="8" t="n"/>
      <c r="CZ354" s="8" t="n"/>
      <c r="DA354" s="8" t="n"/>
      <c r="DB354" s="8" t="n"/>
      <c r="DC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8" t="n"/>
      <c r="AK355" s="8" t="n"/>
      <c r="AL355" s="8" t="n"/>
      <c r="AM355" s="8" t="n"/>
      <c r="AN355" s="8" t="n"/>
      <c r="AO355" s="8" t="n"/>
      <c r="AP355" s="8" t="n"/>
      <c r="AQ355" s="8" t="n"/>
      <c r="AR355" s="8" t="n"/>
      <c r="AS355" s="8" t="n"/>
      <c r="AT355" s="8" t="n"/>
      <c r="AU355" s="8" t="n"/>
      <c r="AV355" s="8" t="n"/>
      <c r="AW355" s="8" t="n"/>
      <c r="AX355" s="8" t="n"/>
      <c r="AY355" s="8" t="n"/>
      <c r="AZ355" s="8" t="n"/>
      <c r="BA355" s="8" t="n"/>
      <c r="BB355" s="8" t="n"/>
      <c r="BC355" s="8" t="n"/>
      <c r="BD355" s="8" t="n"/>
      <c r="BE355" s="8" t="n"/>
      <c r="BF355" s="8" t="n"/>
      <c r="BG355" s="8" t="n"/>
      <c r="BH355" s="8" t="n"/>
      <c r="BI355" s="8" t="n"/>
      <c r="BJ355" s="153" t="n">
        <v>277</v>
      </c>
      <c r="BK355" s="153" t="inlineStr">
        <is>
          <t>CURTIDO Y ACABADO DE CUERO Y PIEL</t>
        </is>
      </c>
      <c r="BL355" s="153" t="n"/>
      <c r="BM355" s="153" t="n"/>
      <c r="BN355" s="153" t="n"/>
      <c r="BO355" s="153" t="n"/>
      <c r="BP355" s="153" t="n"/>
      <c r="BQ355" s="153" t="n"/>
      <c r="BR355" s="153" t="n"/>
      <c r="BS355" s="153" t="n"/>
      <c r="BT355" s="153" t="n"/>
      <c r="BU355" s="8" t="n"/>
      <c r="BV355" s="8" t="n"/>
      <c r="BW355" s="8" t="n"/>
      <c r="BX355" s="8" t="n"/>
      <c r="BY355" s="8" t="n"/>
      <c r="BZ355" s="8" t="n"/>
      <c r="CA355" s="8" t="n"/>
      <c r="CB355" s="8" t="n"/>
      <c r="CC355" s="8" t="n"/>
      <c r="CD355" s="8" t="n"/>
      <c r="CE355" s="8" t="n"/>
      <c r="CF355" s="8" t="n"/>
      <c r="CG355" s="8" t="n"/>
      <c r="CH355" s="8" t="n"/>
      <c r="CI355" s="8" t="n"/>
      <c r="CJ355" s="8" t="n"/>
      <c r="CK355" s="8" t="n"/>
      <c r="CL355" s="8" t="n"/>
      <c r="CM355" s="8" t="n"/>
      <c r="CN355" s="8" t="n"/>
      <c r="CO355" s="8" t="n"/>
      <c r="CP355" s="8" t="n"/>
      <c r="CQ355" s="8" t="n"/>
      <c r="CR355" s="8" t="n"/>
      <c r="CS355" s="8" t="n"/>
      <c r="CT355" s="8" t="n"/>
      <c r="CU355" s="8" t="n"/>
      <c r="CV355" s="8" t="n"/>
      <c r="CW355" s="8" t="n"/>
      <c r="CX355" s="8" t="n"/>
      <c r="CY355" s="8" t="n"/>
      <c r="CZ355" s="8" t="n"/>
      <c r="DA355" s="8" t="n"/>
      <c r="DB355" s="8" t="n"/>
      <c r="DC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8" t="n"/>
      <c r="AK356" s="8" t="n"/>
      <c r="AL356" s="8" t="n"/>
      <c r="AM356" s="8" t="n"/>
      <c r="AN356" s="8" t="n"/>
      <c r="AO356" s="8" t="n"/>
      <c r="AP356" s="8" t="n"/>
      <c r="AQ356" s="8" t="n"/>
      <c r="AR356" s="8" t="n"/>
      <c r="AS356" s="8" t="n"/>
      <c r="AT356" s="8" t="n"/>
      <c r="AU356" s="8" t="n"/>
      <c r="AV356" s="8" t="n"/>
      <c r="AW356" s="8" t="n"/>
      <c r="AX356" s="8" t="n"/>
      <c r="AY356" s="8" t="n"/>
      <c r="AZ356" s="8" t="n"/>
      <c r="BA356" s="8" t="n"/>
      <c r="BB356" s="8" t="n"/>
      <c r="BC356" s="8" t="n"/>
      <c r="BD356" s="8" t="n"/>
      <c r="BE356" s="8" t="n"/>
      <c r="BF356" s="8" t="n"/>
      <c r="BG356" s="8" t="n"/>
      <c r="BH356" s="8" t="n"/>
      <c r="BI356" s="8" t="n"/>
      <c r="BJ356" s="153" t="n">
        <v>278</v>
      </c>
      <c r="BK356" s="153" t="inlineStr">
        <is>
          <t>FABRICACION DE CALZADO CON CORTE DE PIEL Y CUERO</t>
        </is>
      </c>
      <c r="BL356" s="153" t="n"/>
      <c r="BM356" s="153" t="n"/>
      <c r="BN356" s="153" t="n"/>
      <c r="BO356" s="153" t="n"/>
      <c r="BP356" s="153" t="n"/>
      <c r="BQ356" s="153" t="n"/>
      <c r="BR356" s="153" t="n"/>
      <c r="BS356" s="153" t="n"/>
      <c r="BT356" s="153" t="n"/>
      <c r="BU356" s="8" t="n"/>
      <c r="BV356" s="8" t="n"/>
      <c r="BW356" s="8" t="n"/>
      <c r="BX356" s="8" t="n"/>
      <c r="BY356" s="8" t="n"/>
      <c r="BZ356" s="8" t="n"/>
      <c r="CA356" s="8" t="n"/>
      <c r="CB356" s="8" t="n"/>
      <c r="CC356" s="8" t="n"/>
      <c r="CD356" s="8" t="n"/>
      <c r="CE356" s="8" t="n"/>
      <c r="CF356" s="8" t="n"/>
      <c r="CG356" s="8" t="n"/>
      <c r="CH356" s="8" t="n"/>
      <c r="CI356" s="8" t="n"/>
      <c r="CJ356" s="8" t="n"/>
      <c r="CK356" s="8" t="n"/>
      <c r="CL356" s="8" t="n"/>
      <c r="CM356" s="8" t="n"/>
      <c r="CN356" s="8" t="n"/>
      <c r="CO356" s="8" t="n"/>
      <c r="CP356" s="8" t="n"/>
      <c r="CQ356" s="8" t="n"/>
      <c r="CR356" s="8" t="n"/>
      <c r="CS356" s="8" t="n"/>
      <c r="CT356" s="8" t="n"/>
      <c r="CU356" s="8" t="n"/>
      <c r="CV356" s="8" t="n"/>
      <c r="CW356" s="8" t="n"/>
      <c r="CX356" s="8" t="n"/>
      <c r="CY356" s="8" t="n"/>
      <c r="CZ356" s="8" t="n"/>
      <c r="DA356" s="8" t="n"/>
      <c r="DB356" s="8" t="n"/>
      <c r="DC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8" t="n"/>
      <c r="AK357" s="8" t="n"/>
      <c r="AL357" s="8" t="n"/>
      <c r="AM357" s="8" t="n"/>
      <c r="AN357" s="8" t="n"/>
      <c r="AO357" s="8" t="n"/>
      <c r="AP357" s="8" t="n"/>
      <c r="AQ357" s="8" t="n"/>
      <c r="AR357" s="8" t="n"/>
      <c r="AS357" s="8" t="n"/>
      <c r="AT357" s="8" t="n"/>
      <c r="AU357" s="8" t="n"/>
      <c r="AV357" s="8" t="n"/>
      <c r="AW357" s="8" t="n"/>
      <c r="AX357" s="8" t="n"/>
      <c r="AY357" s="8" t="n"/>
      <c r="AZ357" s="8" t="n"/>
      <c r="BA357" s="8" t="n"/>
      <c r="BB357" s="8" t="n"/>
      <c r="BC357" s="8" t="n"/>
      <c r="BD357" s="8" t="n"/>
      <c r="BE357" s="8" t="n"/>
      <c r="BF357" s="8" t="n"/>
      <c r="BG357" s="8" t="n"/>
      <c r="BH357" s="8" t="n"/>
      <c r="BI357" s="8" t="n"/>
      <c r="BJ357" s="153" t="n">
        <v>279</v>
      </c>
      <c r="BK357" s="153" t="inlineStr">
        <is>
          <t>FABRICACION DE CALZADO CON CORTE DE TELA</t>
        </is>
      </c>
      <c r="BL357" s="153" t="n"/>
      <c r="BM357" s="153" t="n"/>
      <c r="BN357" s="153" t="n"/>
      <c r="BO357" s="153" t="n"/>
      <c r="BP357" s="153" t="n"/>
      <c r="BQ357" s="153" t="n"/>
      <c r="BR357" s="153" t="n"/>
      <c r="BS357" s="153" t="n"/>
      <c r="BT357" s="153" t="n"/>
      <c r="BU357" s="8" t="n"/>
      <c r="BV357" s="8" t="n"/>
      <c r="BW357" s="8" t="n"/>
      <c r="BX357" s="8" t="n"/>
      <c r="BY357" s="8" t="n"/>
      <c r="BZ357" s="8" t="n"/>
      <c r="CA357" s="8" t="n"/>
      <c r="CB357" s="8" t="n"/>
      <c r="CC357" s="8" t="n"/>
      <c r="CD357" s="8" t="n"/>
      <c r="CE357" s="8" t="n"/>
      <c r="CF357" s="8" t="n"/>
      <c r="CG357" s="8" t="n"/>
      <c r="CH357" s="8" t="n"/>
      <c r="CI357" s="8" t="n"/>
      <c r="CJ357" s="8" t="n"/>
      <c r="CK357" s="8" t="n"/>
      <c r="CL357" s="8" t="n"/>
      <c r="CM357" s="8" t="n"/>
      <c r="CN357" s="8" t="n"/>
      <c r="CO357" s="8" t="n"/>
      <c r="CP357" s="8" t="n"/>
      <c r="CQ357" s="8" t="n"/>
      <c r="CR357" s="8" t="n"/>
      <c r="CS357" s="8" t="n"/>
      <c r="CT357" s="8" t="n"/>
      <c r="CU357" s="8" t="n"/>
      <c r="CV357" s="8" t="n"/>
      <c r="CW357" s="8" t="n"/>
      <c r="CX357" s="8" t="n"/>
      <c r="CY357" s="8" t="n"/>
      <c r="CZ357" s="8" t="n"/>
      <c r="DA357" s="8" t="n"/>
      <c r="DB357" s="8" t="n"/>
      <c r="DC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8" t="n"/>
      <c r="AJ358" s="8" t="n"/>
      <c r="AK358" s="8" t="n"/>
      <c r="AL358" s="8" t="n"/>
      <c r="AM358" s="8" t="n"/>
      <c r="AN358" s="8" t="n"/>
      <c r="AO358" s="8" t="n"/>
      <c r="AP358" s="8" t="n"/>
      <c r="AQ358" s="8" t="n"/>
      <c r="AR358" s="8" t="n"/>
      <c r="AS358" s="8" t="n"/>
      <c r="AT358" s="8" t="n"/>
      <c r="AU358" s="8" t="n"/>
      <c r="AV358" s="8" t="n"/>
      <c r="AW358" s="8" t="n"/>
      <c r="AX358" s="8" t="n"/>
      <c r="AY358" s="8" t="n"/>
      <c r="AZ358" s="8" t="n"/>
      <c r="BA358" s="8" t="n"/>
      <c r="BB358" s="8" t="n"/>
      <c r="BC358" s="8" t="n"/>
      <c r="BD358" s="8" t="n"/>
      <c r="BE358" s="8" t="n"/>
      <c r="BF358" s="8" t="n"/>
      <c r="BG358" s="8" t="n"/>
      <c r="BH358" s="8" t="n"/>
      <c r="BI358" s="8" t="n"/>
      <c r="BJ358" s="153" t="n">
        <v>280</v>
      </c>
      <c r="BK358" s="153" t="inlineStr">
        <is>
          <t>FABRICACION DE CALZADO DE PLASTICO</t>
        </is>
      </c>
      <c r="BL358" s="153" t="n"/>
      <c r="BM358" s="153" t="n"/>
      <c r="BN358" s="153" t="n"/>
      <c r="BO358" s="153" t="n"/>
      <c r="BP358" s="153" t="n"/>
      <c r="BQ358" s="153" t="n"/>
      <c r="BR358" s="153" t="n"/>
      <c r="BS358" s="153" t="n"/>
      <c r="BT358" s="153" t="n"/>
      <c r="BU358" s="8" t="n"/>
      <c r="BV358" s="8" t="n"/>
      <c r="BW358" s="8" t="n"/>
      <c r="BX358" s="8" t="n"/>
      <c r="BY358" s="8" t="n"/>
      <c r="BZ358" s="8" t="n"/>
      <c r="CA358" s="8" t="n"/>
      <c r="CB358" s="8" t="n"/>
      <c r="CC358" s="8" t="n"/>
      <c r="CD358" s="8" t="n"/>
      <c r="CE358" s="8" t="n"/>
      <c r="CF358" s="8" t="n"/>
      <c r="CG358" s="8" t="n"/>
      <c r="CH358" s="8" t="n"/>
      <c r="CI358" s="8" t="n"/>
      <c r="CJ358" s="8" t="n"/>
      <c r="CK358" s="8" t="n"/>
      <c r="CL358" s="8" t="n"/>
      <c r="CM358" s="8" t="n"/>
      <c r="CN358" s="8" t="n"/>
      <c r="CO358" s="8" t="n"/>
      <c r="CP358" s="8" t="n"/>
      <c r="CQ358" s="8" t="n"/>
      <c r="CR358" s="8" t="n"/>
      <c r="CS358" s="8" t="n"/>
      <c r="CT358" s="8" t="n"/>
      <c r="CU358" s="8" t="n"/>
      <c r="CV358" s="8" t="n"/>
      <c r="CW358" s="8" t="n"/>
      <c r="CX358" s="8" t="n"/>
      <c r="CY358" s="8" t="n"/>
      <c r="CZ358" s="8" t="n"/>
      <c r="DA358" s="8" t="n"/>
      <c r="DB358" s="8" t="n"/>
      <c r="DC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8" t="n"/>
      <c r="AM359" s="8" t="n"/>
      <c r="AN359" s="8" t="n"/>
      <c r="AO359" s="8" t="n"/>
      <c r="AP359" s="8" t="n"/>
      <c r="AQ359" s="8" t="n"/>
      <c r="AR359" s="8" t="n"/>
      <c r="AS359" s="8" t="n"/>
      <c r="AT359" s="8" t="n"/>
      <c r="AU359" s="8" t="n"/>
      <c r="AV359" s="8" t="n"/>
      <c r="AW359" s="8" t="n"/>
      <c r="AX359" s="8" t="n"/>
      <c r="AY359" s="8" t="n"/>
      <c r="AZ359" s="8" t="n"/>
      <c r="BA359" s="8" t="n"/>
      <c r="BB359" s="8" t="n"/>
      <c r="BC359" s="8" t="n"/>
      <c r="BD359" s="8" t="n"/>
      <c r="BE359" s="8" t="n"/>
      <c r="BF359" s="8" t="n"/>
      <c r="BG359" s="8" t="n"/>
      <c r="BH359" s="8" t="n"/>
      <c r="BI359" s="8" t="n"/>
      <c r="BJ359" s="153" t="n">
        <v>281</v>
      </c>
      <c r="BK359" s="153" t="inlineStr">
        <is>
          <t>FABRICACION DE CALZADO DE HULE</t>
        </is>
      </c>
      <c r="BL359" s="153" t="n"/>
      <c r="BM359" s="153" t="n"/>
      <c r="BN359" s="153" t="n"/>
      <c r="BO359" s="153" t="n"/>
      <c r="BP359" s="153" t="n"/>
      <c r="BQ359" s="153" t="n"/>
      <c r="BR359" s="153" t="n"/>
      <c r="BS359" s="153" t="n"/>
      <c r="BT359" s="153" t="n"/>
      <c r="BU359" s="8" t="n"/>
      <c r="BV359" s="8" t="n"/>
      <c r="BW359" s="8" t="n"/>
      <c r="BX359" s="8" t="n"/>
      <c r="BY359" s="8" t="n"/>
      <c r="BZ359" s="8" t="n"/>
      <c r="CA359" s="8" t="n"/>
      <c r="CB359" s="8" t="n"/>
      <c r="CC359" s="8" t="n"/>
      <c r="CD359" s="8" t="n"/>
      <c r="CE359" s="8" t="n"/>
      <c r="CF359" s="8" t="n"/>
      <c r="CG359" s="8" t="n"/>
      <c r="CH359" s="8" t="n"/>
      <c r="CI359" s="8" t="n"/>
      <c r="CJ359" s="8" t="n"/>
      <c r="CK359" s="8" t="n"/>
      <c r="CL359" s="8" t="n"/>
      <c r="CM359" s="8" t="n"/>
      <c r="CN359" s="8" t="n"/>
      <c r="CO359" s="8" t="n"/>
      <c r="CP359" s="8" t="n"/>
      <c r="CQ359" s="8" t="n"/>
      <c r="CR359" s="8" t="n"/>
      <c r="CS359" s="8" t="n"/>
      <c r="CT359" s="8" t="n"/>
      <c r="CU359" s="8" t="n"/>
      <c r="CV359" s="8" t="n"/>
      <c r="CW359" s="8" t="n"/>
      <c r="CX359" s="8" t="n"/>
      <c r="CY359" s="8" t="n"/>
      <c r="CZ359" s="8" t="n"/>
      <c r="DA359" s="8" t="n"/>
      <c r="DB359" s="8" t="n"/>
      <c r="DC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8" t="n"/>
      <c r="AM360" s="8" t="n"/>
      <c r="AN360" s="8" t="n"/>
      <c r="AO360" s="8" t="n"/>
      <c r="AP360" s="8" t="n"/>
      <c r="AQ360" s="8" t="n"/>
      <c r="AR360" s="8" t="n"/>
      <c r="AS360" s="8" t="n"/>
      <c r="AT360" s="8" t="n"/>
      <c r="AU360" s="8" t="n"/>
      <c r="AV360" s="8" t="n"/>
      <c r="AW360" s="8" t="n"/>
      <c r="AX360" s="8" t="n"/>
      <c r="AY360" s="8" t="n"/>
      <c r="AZ360" s="8" t="n"/>
      <c r="BA360" s="8" t="n"/>
      <c r="BB360" s="8" t="n"/>
      <c r="BC360" s="8" t="n"/>
      <c r="BD360" s="8" t="n"/>
      <c r="BE360" s="8" t="n"/>
      <c r="BF360" s="8" t="n"/>
      <c r="BG360" s="8" t="n"/>
      <c r="BH360" s="8" t="n"/>
      <c r="BI360" s="8" t="n"/>
      <c r="BJ360" s="153" t="n">
        <v>282</v>
      </c>
      <c r="BK360" s="153" t="inlineStr">
        <is>
          <t>FABRICACION DE HUARACHES, CALZADO TEJIDO Y DE OTRO TIPO DE MATERIALES NO CLASIFICADOS EN OTRA PARTE</t>
        </is>
      </c>
      <c r="BL360" s="153" t="n"/>
      <c r="BM360" s="153" t="n"/>
      <c r="BN360" s="153" t="n"/>
      <c r="BO360" s="153" t="n"/>
      <c r="BP360" s="153" t="n"/>
      <c r="BQ360" s="153" t="n"/>
      <c r="BR360" s="153" t="n"/>
      <c r="BS360" s="153" t="n"/>
      <c r="BT360" s="153" t="n"/>
      <c r="BU360" s="8" t="n"/>
      <c r="BV360" s="8" t="n"/>
      <c r="BW360" s="8" t="n"/>
      <c r="BX360" s="8" t="n"/>
      <c r="BY360" s="8" t="n"/>
      <c r="BZ360" s="8" t="n"/>
      <c r="CA360" s="8" t="n"/>
      <c r="CB360" s="8" t="n"/>
      <c r="CC360" s="8" t="n"/>
      <c r="CD360" s="8" t="n"/>
      <c r="CE360" s="8" t="n"/>
      <c r="CF360" s="8" t="n"/>
      <c r="CG360" s="8" t="n"/>
      <c r="CH360" s="8" t="n"/>
      <c r="CI360" s="8" t="n"/>
      <c r="CJ360" s="8" t="n"/>
      <c r="CK360" s="8" t="n"/>
      <c r="CL360" s="8" t="n"/>
      <c r="CM360" s="8" t="n"/>
      <c r="CN360" s="8" t="n"/>
      <c r="CO360" s="8" t="n"/>
      <c r="CP360" s="8" t="n"/>
      <c r="CQ360" s="8" t="n"/>
      <c r="CR360" s="8" t="n"/>
      <c r="CS360" s="8" t="n"/>
      <c r="CT360" s="8" t="n"/>
      <c r="CU360" s="8" t="n"/>
      <c r="CV360" s="8" t="n"/>
      <c r="CW360" s="8" t="n"/>
      <c r="CX360" s="8" t="n"/>
      <c r="CY360" s="8" t="n"/>
      <c r="CZ360" s="8" t="n"/>
      <c r="DA360" s="8" t="n"/>
      <c r="DB360" s="8" t="n"/>
      <c r="DC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8" t="n"/>
      <c r="AJ361" s="8" t="n"/>
      <c r="AK361" s="8" t="n"/>
      <c r="AL361" s="8" t="n"/>
      <c r="AM361" s="8" t="n"/>
      <c r="AN361" s="8" t="n"/>
      <c r="AO361" s="8" t="n"/>
      <c r="AP361" s="8" t="n"/>
      <c r="AQ361" s="8" t="n"/>
      <c r="AR361" s="8" t="n"/>
      <c r="AS361" s="8" t="n"/>
      <c r="AT361" s="8" t="n"/>
      <c r="AU361" s="8" t="n"/>
      <c r="AV361" s="8" t="n"/>
      <c r="AW361" s="8" t="n"/>
      <c r="AX361" s="8" t="n"/>
      <c r="AY361" s="8" t="n"/>
      <c r="AZ361" s="8" t="n"/>
      <c r="BA361" s="8" t="n"/>
      <c r="BB361" s="8" t="n"/>
      <c r="BC361" s="8" t="n"/>
      <c r="BD361" s="8" t="n"/>
      <c r="BE361" s="8" t="n"/>
      <c r="BF361" s="8" t="n"/>
      <c r="BG361" s="8" t="n"/>
      <c r="BH361" s="8" t="n"/>
      <c r="BI361" s="8" t="n"/>
      <c r="BJ361" s="153" t="n">
        <v>283</v>
      </c>
      <c r="BK361" s="153" t="inlineStr">
        <is>
          <t>FABRICACION DE BOLSOS DE MANO, MALETAS Y SIMILARES</t>
        </is>
      </c>
      <c r="BL361" s="153" t="n"/>
      <c r="BM361" s="153" t="n"/>
      <c r="BN361" s="153" t="n"/>
      <c r="BO361" s="153" t="n"/>
      <c r="BP361" s="153" t="n"/>
      <c r="BQ361" s="153" t="n"/>
      <c r="BR361" s="153" t="n"/>
      <c r="BS361" s="153" t="n"/>
      <c r="BT361" s="153" t="n"/>
      <c r="BU361" s="8" t="n"/>
      <c r="BV361" s="8" t="n"/>
      <c r="BW361" s="8" t="n"/>
      <c r="BX361" s="8" t="n"/>
      <c r="BY361" s="8" t="n"/>
      <c r="BZ361" s="8" t="n"/>
      <c r="CA361" s="8" t="n"/>
      <c r="CB361" s="8" t="n"/>
      <c r="CC361" s="8" t="n"/>
      <c r="CD361" s="8" t="n"/>
      <c r="CE361" s="8" t="n"/>
      <c r="CF361" s="8" t="n"/>
      <c r="CG361" s="8" t="n"/>
      <c r="CH361" s="8" t="n"/>
      <c r="CI361" s="8" t="n"/>
      <c r="CJ361" s="8" t="n"/>
      <c r="CK361" s="8" t="n"/>
      <c r="CL361" s="8" t="n"/>
      <c r="CM361" s="8" t="n"/>
      <c r="CN361" s="8" t="n"/>
      <c r="CO361" s="8" t="n"/>
      <c r="CP361" s="8" t="n"/>
      <c r="CQ361" s="8" t="n"/>
      <c r="CR361" s="8" t="n"/>
      <c r="CS361" s="8" t="n"/>
      <c r="CT361" s="8" t="n"/>
      <c r="CU361" s="8" t="n"/>
      <c r="CV361" s="8" t="n"/>
      <c r="CW361" s="8" t="n"/>
      <c r="CX361" s="8" t="n"/>
      <c r="CY361" s="8" t="n"/>
      <c r="CZ361" s="8" t="n"/>
      <c r="DA361" s="8" t="n"/>
      <c r="DB361" s="8" t="n"/>
      <c r="DC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8" t="n"/>
      <c r="AK362" s="8" t="n"/>
      <c r="AL362" s="8" t="n"/>
      <c r="AM362" s="8" t="n"/>
      <c r="AN362" s="8" t="n"/>
      <c r="AO362" s="8" t="n"/>
      <c r="AP362" s="8" t="n"/>
      <c r="AQ362" s="8" t="n"/>
      <c r="AR362" s="8" t="n"/>
      <c r="AS362" s="8" t="n"/>
      <c r="AT362" s="8" t="n"/>
      <c r="AU362" s="8" t="n"/>
      <c r="AV362" s="8" t="n"/>
      <c r="AW362" s="8" t="n"/>
      <c r="AX362" s="8" t="n"/>
      <c r="AY362" s="8" t="n"/>
      <c r="AZ362" s="8" t="n"/>
      <c r="BA362" s="8" t="n"/>
      <c r="BB362" s="8" t="n"/>
      <c r="BC362" s="8" t="n"/>
      <c r="BD362" s="8" t="n"/>
      <c r="BE362" s="8" t="n"/>
      <c r="BF362" s="8" t="n"/>
      <c r="BG362" s="8" t="n"/>
      <c r="BH362" s="8" t="n"/>
      <c r="BI362" s="8" t="n"/>
      <c r="BJ362" s="153" t="n">
        <v>284</v>
      </c>
      <c r="BK362" s="153" t="inlineStr">
        <is>
          <t>FABRICACION DE ARTICULOS DE TALABARTERIA</t>
        </is>
      </c>
      <c r="BL362" s="153" t="n"/>
      <c r="BM362" s="153" t="n"/>
      <c r="BN362" s="153" t="n"/>
      <c r="BO362" s="153" t="n"/>
      <c r="BP362" s="153" t="n"/>
      <c r="BQ362" s="153" t="n"/>
      <c r="BR362" s="153" t="n"/>
      <c r="BS362" s="153" t="n"/>
      <c r="BT362" s="153" t="n"/>
      <c r="BU362" s="8" t="n"/>
      <c r="BV362" s="8" t="n"/>
      <c r="BW362" s="8" t="n"/>
      <c r="BX362" s="8" t="n"/>
      <c r="BY362" s="8" t="n"/>
      <c r="BZ362" s="8" t="n"/>
      <c r="CA362" s="8" t="n"/>
      <c r="CB362" s="8" t="n"/>
      <c r="CC362" s="8" t="n"/>
      <c r="CD362" s="8" t="n"/>
      <c r="CE362" s="8" t="n"/>
      <c r="CF362" s="8" t="n"/>
      <c r="CG362" s="8" t="n"/>
      <c r="CH362" s="8" t="n"/>
      <c r="CI362" s="8" t="n"/>
      <c r="CJ362" s="8" t="n"/>
      <c r="CK362" s="8" t="n"/>
      <c r="CL362" s="8" t="n"/>
      <c r="CM362" s="8" t="n"/>
      <c r="CN362" s="8" t="n"/>
      <c r="CO362" s="8" t="n"/>
      <c r="CP362" s="8" t="n"/>
      <c r="CQ362" s="8" t="n"/>
      <c r="CR362" s="8" t="n"/>
      <c r="CS362" s="8" t="n"/>
      <c r="CT362" s="8" t="n"/>
      <c r="CU362" s="8" t="n"/>
      <c r="CV362" s="8" t="n"/>
      <c r="CW362" s="8" t="n"/>
      <c r="CX362" s="8" t="n"/>
      <c r="CY362" s="8" t="n"/>
      <c r="CZ362" s="8" t="n"/>
      <c r="DA362" s="8" t="n"/>
      <c r="DB362" s="8" t="n"/>
      <c r="DC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8" t="n"/>
      <c r="AJ363" s="8" t="n"/>
      <c r="AK363" s="8" t="n"/>
      <c r="AL363" s="8" t="n"/>
      <c r="AM363" s="8" t="n"/>
      <c r="AN363" s="8" t="n"/>
      <c r="AO363" s="8" t="n"/>
      <c r="AP363" s="8" t="n"/>
      <c r="AQ363" s="8" t="n"/>
      <c r="AR363" s="8" t="n"/>
      <c r="AS363" s="8" t="n"/>
      <c r="AT363" s="8" t="n"/>
      <c r="AU363" s="8" t="n"/>
      <c r="AV363" s="8" t="n"/>
      <c r="AW363" s="8" t="n"/>
      <c r="AX363" s="8" t="n"/>
      <c r="AY363" s="8" t="n"/>
      <c r="AZ363" s="8" t="n"/>
      <c r="BA363" s="8" t="n"/>
      <c r="BB363" s="8" t="n"/>
      <c r="BC363" s="8" t="n"/>
      <c r="BD363" s="8" t="n"/>
      <c r="BE363" s="8" t="n"/>
      <c r="BF363" s="8" t="n"/>
      <c r="BG363" s="8" t="n"/>
      <c r="BH363" s="8" t="n"/>
      <c r="BI363" s="8" t="n"/>
      <c r="BJ363" s="153" t="n">
        <v>285</v>
      </c>
      <c r="BK363" s="153" t="inlineStr">
        <is>
          <t>ASERRADEROS INTEGRADOS</t>
        </is>
      </c>
      <c r="BL363" s="153" t="n"/>
      <c r="BM363" s="153" t="n"/>
      <c r="BN363" s="153" t="n"/>
      <c r="BO363" s="153" t="n"/>
      <c r="BP363" s="153" t="n"/>
      <c r="BQ363" s="153" t="n"/>
      <c r="BR363" s="153" t="n"/>
      <c r="BS363" s="153" t="n"/>
      <c r="BT363" s="153" t="n"/>
      <c r="BU363" s="8" t="n"/>
      <c r="BV363" s="8" t="n"/>
      <c r="BW363" s="8" t="n"/>
      <c r="BX363" s="8" t="n"/>
      <c r="BY363" s="8" t="n"/>
      <c r="BZ363" s="8" t="n"/>
      <c r="CA363" s="8" t="n"/>
      <c r="CB363" s="8" t="n"/>
      <c r="CC363" s="8" t="n"/>
      <c r="CD363" s="8" t="n"/>
      <c r="CE363" s="8" t="n"/>
      <c r="CF363" s="8" t="n"/>
      <c r="CG363" s="8" t="n"/>
      <c r="CH363" s="8" t="n"/>
      <c r="CI363" s="8" t="n"/>
      <c r="CJ363" s="8" t="n"/>
      <c r="CK363" s="8" t="n"/>
      <c r="CL363" s="8" t="n"/>
      <c r="CM363" s="8" t="n"/>
      <c r="CN363" s="8" t="n"/>
      <c r="CO363" s="8" t="n"/>
      <c r="CP363" s="8" t="n"/>
      <c r="CQ363" s="8" t="n"/>
      <c r="CR363" s="8" t="n"/>
      <c r="CS363" s="8" t="n"/>
      <c r="CT363" s="8" t="n"/>
      <c r="CU363" s="8" t="n"/>
      <c r="CV363" s="8" t="n"/>
      <c r="CW363" s="8" t="n"/>
      <c r="CX363" s="8" t="n"/>
      <c r="CY363" s="8" t="n"/>
      <c r="CZ363" s="8" t="n"/>
      <c r="DA363" s="8" t="n"/>
      <c r="DB363" s="8" t="n"/>
      <c r="DC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  <c r="AC364" s="8" t="n"/>
      <c r="AD364" s="8" t="n"/>
      <c r="AE364" s="8" t="n"/>
      <c r="AF364" s="8" t="n"/>
      <c r="AG364" s="8" t="n"/>
      <c r="AH364" s="8" t="n"/>
      <c r="AI364" s="8" t="n"/>
      <c r="AJ364" s="8" t="n"/>
      <c r="AK364" s="8" t="n"/>
      <c r="AL364" s="8" t="n"/>
      <c r="AM364" s="8" t="n"/>
      <c r="AN364" s="8" t="n"/>
      <c r="AO364" s="8" t="n"/>
      <c r="AP364" s="8" t="n"/>
      <c r="AQ364" s="8" t="n"/>
      <c r="AR364" s="8" t="n"/>
      <c r="AS364" s="8" t="n"/>
      <c r="AT364" s="8" t="n"/>
      <c r="AU364" s="8" t="n"/>
      <c r="AV364" s="8" t="n"/>
      <c r="AW364" s="8" t="n"/>
      <c r="AX364" s="8" t="n"/>
      <c r="AY364" s="8" t="n"/>
      <c r="AZ364" s="8" t="n"/>
      <c r="BA364" s="8" t="n"/>
      <c r="BB364" s="8" t="n"/>
      <c r="BC364" s="8" t="n"/>
      <c r="BD364" s="8" t="n"/>
      <c r="BE364" s="8" t="n"/>
      <c r="BF364" s="8" t="n"/>
      <c r="BG364" s="8" t="n"/>
      <c r="BH364" s="8" t="n"/>
      <c r="BI364" s="8" t="n"/>
      <c r="BJ364" s="153" t="n">
        <v>286</v>
      </c>
      <c r="BK364" s="153" t="inlineStr">
        <is>
          <t>ASERRADO DE TABLAS Y TABLONES. CORTE DE TABLAS Y TABLONES A PARTIR DE LA MADERA EN ROLLO</t>
        </is>
      </c>
      <c r="BL364" s="153" t="n"/>
      <c r="BM364" s="153" t="n"/>
      <c r="BN364" s="153" t="n"/>
      <c r="BO364" s="153" t="n"/>
      <c r="BP364" s="153" t="n"/>
      <c r="BQ364" s="153" t="n"/>
      <c r="BR364" s="153" t="n"/>
      <c r="BS364" s="153" t="n"/>
      <c r="BT364" s="153" t="n"/>
      <c r="BU364" s="8" t="n"/>
      <c r="BV364" s="8" t="n"/>
      <c r="BW364" s="8" t="n"/>
      <c r="BX364" s="8" t="n"/>
      <c r="BY364" s="8" t="n"/>
      <c r="BZ364" s="8" t="n"/>
      <c r="CA364" s="8" t="n"/>
      <c r="CB364" s="8" t="n"/>
      <c r="CC364" s="8" t="n"/>
      <c r="CD364" s="8" t="n"/>
      <c r="CE364" s="8" t="n"/>
      <c r="CF364" s="8" t="n"/>
      <c r="CG364" s="8" t="n"/>
      <c r="CH364" s="8" t="n"/>
      <c r="CI364" s="8" t="n"/>
      <c r="CJ364" s="8" t="n"/>
      <c r="CK364" s="8" t="n"/>
      <c r="CL364" s="8" t="n"/>
      <c r="CM364" s="8" t="n"/>
      <c r="CN364" s="8" t="n"/>
      <c r="CO364" s="8" t="n"/>
      <c r="CP364" s="8" t="n"/>
      <c r="CQ364" s="8" t="n"/>
      <c r="CR364" s="8" t="n"/>
      <c r="CS364" s="8" t="n"/>
      <c r="CT364" s="8" t="n"/>
      <c r="CU364" s="8" t="n"/>
      <c r="CV364" s="8" t="n"/>
      <c r="CW364" s="8" t="n"/>
      <c r="CX364" s="8" t="n"/>
      <c r="CY364" s="8" t="n"/>
      <c r="CZ364" s="8" t="n"/>
      <c r="DA364" s="8" t="n"/>
      <c r="DB364" s="8" t="n"/>
      <c r="DC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  <c r="AC365" s="8" t="n"/>
      <c r="AD365" s="8" t="n"/>
      <c r="AE365" s="8" t="n"/>
      <c r="AF365" s="8" t="n"/>
      <c r="AG365" s="8" t="n"/>
      <c r="AH365" s="8" t="n"/>
      <c r="AI365" s="8" t="n"/>
      <c r="AJ365" s="8" t="n"/>
      <c r="AK365" s="8" t="n"/>
      <c r="AL365" s="8" t="n"/>
      <c r="AM365" s="8" t="n"/>
      <c r="AN365" s="8" t="n"/>
      <c r="AO365" s="8" t="n"/>
      <c r="AP365" s="8" t="n"/>
      <c r="AQ365" s="8" t="n"/>
      <c r="AR365" s="8" t="n"/>
      <c r="AS365" s="8" t="n"/>
      <c r="AT365" s="8" t="n"/>
      <c r="AU365" s="8" t="n"/>
      <c r="AV365" s="8" t="n"/>
      <c r="AW365" s="8" t="n"/>
      <c r="AX365" s="8" t="n"/>
      <c r="AY365" s="8" t="n"/>
      <c r="AZ365" s="8" t="n"/>
      <c r="BA365" s="8" t="n"/>
      <c r="BB365" s="8" t="n"/>
      <c r="BC365" s="8" t="n"/>
      <c r="BD365" s="8" t="n"/>
      <c r="BE365" s="8" t="n"/>
      <c r="BF365" s="8" t="n"/>
      <c r="BG365" s="8" t="n"/>
      <c r="BH365" s="8" t="n"/>
      <c r="BI365" s="8" t="n"/>
      <c r="BJ365" s="153" t="n">
        <v>288</v>
      </c>
      <c r="BK365" s="153" t="inlineStr">
        <is>
          <t>TRATAMIENTO DE LA MADERA Y PRODUCCION DE POSTES Y DURMIENTES</t>
        </is>
      </c>
      <c r="BL365" s="153" t="n"/>
      <c r="BM365" s="153" t="n"/>
      <c r="BN365" s="153" t="n"/>
      <c r="BO365" s="153" t="n"/>
      <c r="BP365" s="153" t="n"/>
      <c r="BQ365" s="153" t="n"/>
      <c r="BR365" s="153" t="n"/>
      <c r="BS365" s="153" t="n"/>
      <c r="BT365" s="153" t="n"/>
      <c r="BU365" s="8" t="n"/>
      <c r="BV365" s="8" t="n"/>
      <c r="BW365" s="8" t="n"/>
      <c r="BX365" s="8" t="n"/>
      <c r="BY365" s="8" t="n"/>
      <c r="BZ365" s="8" t="n"/>
      <c r="CA365" s="8" t="n"/>
      <c r="CB365" s="8" t="n"/>
      <c r="CC365" s="8" t="n"/>
      <c r="CD365" s="8" t="n"/>
      <c r="CE365" s="8" t="n"/>
      <c r="CF365" s="8" t="n"/>
      <c r="CG365" s="8" t="n"/>
      <c r="CH365" s="8" t="n"/>
      <c r="CI365" s="8" t="n"/>
      <c r="CJ365" s="8" t="n"/>
      <c r="CK365" s="8" t="n"/>
      <c r="CL365" s="8" t="n"/>
      <c r="CM365" s="8" t="n"/>
      <c r="CN365" s="8" t="n"/>
      <c r="CO365" s="8" t="n"/>
      <c r="CP365" s="8" t="n"/>
      <c r="CQ365" s="8" t="n"/>
      <c r="CR365" s="8" t="n"/>
      <c r="CS365" s="8" t="n"/>
      <c r="CT365" s="8" t="n"/>
      <c r="CU365" s="8" t="n"/>
      <c r="CV365" s="8" t="n"/>
      <c r="CW365" s="8" t="n"/>
      <c r="CX365" s="8" t="n"/>
      <c r="CY365" s="8" t="n"/>
      <c r="CZ365" s="8" t="n"/>
      <c r="DA365" s="8" t="n"/>
      <c r="DB365" s="8" t="n"/>
      <c r="DC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  <c r="AC366" s="8" t="n"/>
      <c r="AD366" s="8" t="n"/>
      <c r="AE366" s="8" t="n"/>
      <c r="AF366" s="8" t="n"/>
      <c r="AG366" s="8" t="n"/>
      <c r="AH366" s="8" t="n"/>
      <c r="AI366" s="8" t="n"/>
      <c r="AJ366" s="8" t="n"/>
      <c r="AK366" s="8" t="n"/>
      <c r="AL366" s="8" t="n"/>
      <c r="AM366" s="8" t="n"/>
      <c r="AN366" s="8" t="n"/>
      <c r="AO366" s="8" t="n"/>
      <c r="AP366" s="8" t="n"/>
      <c r="AQ366" s="8" t="n"/>
      <c r="AR366" s="8" t="n"/>
      <c r="AS366" s="8" t="n"/>
      <c r="AT366" s="8" t="n"/>
      <c r="AU366" s="8" t="n"/>
      <c r="AV366" s="8" t="n"/>
      <c r="AW366" s="8" t="n"/>
      <c r="AX366" s="8" t="n"/>
      <c r="AY366" s="8" t="n"/>
      <c r="AZ366" s="8" t="n"/>
      <c r="BA366" s="8" t="n"/>
      <c r="BB366" s="8" t="n"/>
      <c r="BC366" s="8" t="n"/>
      <c r="BD366" s="8" t="n"/>
      <c r="BE366" s="8" t="n"/>
      <c r="BF366" s="8" t="n"/>
      <c r="BG366" s="8" t="n"/>
      <c r="BH366" s="8" t="n"/>
      <c r="BI366" s="8" t="n"/>
      <c r="BJ366" s="153" t="n">
        <v>289</v>
      </c>
      <c r="BK366" s="153" t="inlineStr">
        <is>
          <t>FABRICACION DE LAMINADOS Y AGLUTINADOS DE MADERA</t>
        </is>
      </c>
      <c r="BL366" s="153" t="n"/>
      <c r="BM366" s="153" t="n"/>
      <c r="BN366" s="153" t="n"/>
      <c r="BO366" s="153" t="n"/>
      <c r="BP366" s="153" t="n"/>
      <c r="BQ366" s="153" t="n"/>
      <c r="BR366" s="153" t="n"/>
      <c r="BS366" s="153" t="n"/>
      <c r="BT366" s="153" t="n"/>
      <c r="BU366" s="8" t="n"/>
      <c r="BV366" s="8" t="n"/>
      <c r="BW366" s="8" t="n"/>
      <c r="BX366" s="8" t="n"/>
      <c r="BY366" s="8" t="n"/>
      <c r="BZ366" s="8" t="n"/>
      <c r="CA366" s="8" t="n"/>
      <c r="CB366" s="8" t="n"/>
      <c r="CC366" s="8" t="n"/>
      <c r="CD366" s="8" t="n"/>
      <c r="CE366" s="8" t="n"/>
      <c r="CF366" s="8" t="n"/>
      <c r="CG366" s="8" t="n"/>
      <c r="CH366" s="8" t="n"/>
      <c r="CI366" s="8" t="n"/>
      <c r="CJ366" s="8" t="n"/>
      <c r="CK366" s="8" t="n"/>
      <c r="CL366" s="8" t="n"/>
      <c r="CM366" s="8" t="n"/>
      <c r="CN366" s="8" t="n"/>
      <c r="CO366" s="8" t="n"/>
      <c r="CP366" s="8" t="n"/>
      <c r="CQ366" s="8" t="n"/>
      <c r="CR366" s="8" t="n"/>
      <c r="CS366" s="8" t="n"/>
      <c r="CT366" s="8" t="n"/>
      <c r="CU366" s="8" t="n"/>
      <c r="CV366" s="8" t="n"/>
      <c r="CW366" s="8" t="n"/>
      <c r="CX366" s="8" t="n"/>
      <c r="CY366" s="8" t="n"/>
      <c r="CZ366" s="8" t="n"/>
      <c r="DA366" s="8" t="n"/>
      <c r="DB366" s="8" t="n"/>
      <c r="DC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  <c r="AC367" s="8" t="n"/>
      <c r="AD367" s="8" t="n"/>
      <c r="AE367" s="8" t="n"/>
      <c r="AF367" s="8" t="n"/>
      <c r="AG367" s="8" t="n"/>
      <c r="AH367" s="8" t="n"/>
      <c r="AI367" s="8" t="n"/>
      <c r="AJ367" s="8" t="n"/>
      <c r="AK367" s="8" t="n"/>
      <c r="AL367" s="8" t="n"/>
      <c r="AM367" s="8" t="n"/>
      <c r="AN367" s="8" t="n"/>
      <c r="AO367" s="8" t="n"/>
      <c r="AP367" s="8" t="n"/>
      <c r="AQ367" s="8" t="n"/>
      <c r="AR367" s="8" t="n"/>
      <c r="AS367" s="8" t="n"/>
      <c r="AT367" s="8" t="n"/>
      <c r="AU367" s="8" t="n"/>
      <c r="AV367" s="8" t="n"/>
      <c r="AW367" s="8" t="n"/>
      <c r="AX367" s="8" t="n"/>
      <c r="AY367" s="8" t="n"/>
      <c r="AZ367" s="8" t="n"/>
      <c r="BA367" s="8" t="n"/>
      <c r="BB367" s="8" t="n"/>
      <c r="BC367" s="8" t="n"/>
      <c r="BD367" s="8" t="n"/>
      <c r="BE367" s="8" t="n"/>
      <c r="BF367" s="8" t="n"/>
      <c r="BG367" s="8" t="n"/>
      <c r="BH367" s="8" t="n"/>
      <c r="BI367" s="8" t="n"/>
      <c r="BJ367" s="153" t="n">
        <v>290</v>
      </c>
      <c r="BK367" s="153" t="inlineStr">
        <is>
          <t>FABRICACION DE PRODUCTOS DE MADERA PARA LA CONSTRUCCION, COMO PUERTAS, VENTANAS</t>
        </is>
      </c>
      <c r="BL367" s="153" t="n"/>
      <c r="BM367" s="153" t="n"/>
      <c r="BN367" s="153" t="n"/>
      <c r="BO367" s="153" t="n"/>
      <c r="BP367" s="153" t="n"/>
      <c r="BQ367" s="153" t="n"/>
      <c r="BR367" s="153" t="n"/>
      <c r="BS367" s="153" t="n"/>
      <c r="BT367" s="153" t="n"/>
      <c r="BU367" s="8" t="n"/>
      <c r="BV367" s="8" t="n"/>
      <c r="BW367" s="8" t="n"/>
      <c r="BX367" s="8" t="n"/>
      <c r="BY367" s="8" t="n"/>
      <c r="BZ367" s="8" t="n"/>
      <c r="CA367" s="8" t="n"/>
      <c r="CB367" s="8" t="n"/>
      <c r="CC367" s="8" t="n"/>
      <c r="CD367" s="8" t="n"/>
      <c r="CE367" s="8" t="n"/>
      <c r="CF367" s="8" t="n"/>
      <c r="CG367" s="8" t="n"/>
      <c r="CH367" s="8" t="n"/>
      <c r="CI367" s="8" t="n"/>
      <c r="CJ367" s="8" t="n"/>
      <c r="CK367" s="8" t="n"/>
      <c r="CL367" s="8" t="n"/>
      <c r="CM367" s="8" t="n"/>
      <c r="CN367" s="8" t="n"/>
      <c r="CO367" s="8" t="n"/>
      <c r="CP367" s="8" t="n"/>
      <c r="CQ367" s="8" t="n"/>
      <c r="CR367" s="8" t="n"/>
      <c r="CS367" s="8" t="n"/>
      <c r="CT367" s="8" t="n"/>
      <c r="CU367" s="8" t="n"/>
      <c r="CV367" s="8" t="n"/>
      <c r="CW367" s="8" t="n"/>
      <c r="CX367" s="8" t="n"/>
      <c r="CY367" s="8" t="n"/>
      <c r="CZ367" s="8" t="n"/>
      <c r="DA367" s="8" t="n"/>
      <c r="DB367" s="8" t="n"/>
      <c r="DC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  <c r="AC368" s="8" t="n"/>
      <c r="AD368" s="8" t="n"/>
      <c r="AE368" s="8" t="n"/>
      <c r="AF368" s="8" t="n"/>
      <c r="AG368" s="8" t="n"/>
      <c r="AH368" s="8" t="n"/>
      <c r="AI368" s="8" t="n"/>
      <c r="AJ368" s="8" t="n"/>
      <c r="AK368" s="8" t="n"/>
      <c r="AL368" s="8" t="n"/>
      <c r="AM368" s="8" t="n"/>
      <c r="AN368" s="8" t="n"/>
      <c r="AO368" s="8" t="n"/>
      <c r="AP368" s="8" t="n"/>
      <c r="AQ368" s="8" t="n"/>
      <c r="AR368" s="8" t="n"/>
      <c r="AS368" s="8" t="n"/>
      <c r="AT368" s="8" t="n"/>
      <c r="AU368" s="8" t="n"/>
      <c r="AV368" s="8" t="n"/>
      <c r="AW368" s="8" t="n"/>
      <c r="AX368" s="8" t="n"/>
      <c r="AY368" s="8" t="n"/>
      <c r="AZ368" s="8" t="n"/>
      <c r="BA368" s="8" t="n"/>
      <c r="BB368" s="8" t="n"/>
      <c r="BC368" s="8" t="n"/>
      <c r="BD368" s="8" t="n"/>
      <c r="BE368" s="8" t="n"/>
      <c r="BF368" s="8" t="n"/>
      <c r="BG368" s="8" t="n"/>
      <c r="BH368" s="8" t="n"/>
      <c r="BI368" s="8" t="n"/>
      <c r="BJ368" s="153" t="n">
        <v>291</v>
      </c>
      <c r="BK368" s="153" t="inlineStr">
        <is>
          <t>FABRICACION DE PRODUCTOS PARA EMBALAJE Y ENVASES DE MADERA</t>
        </is>
      </c>
      <c r="BL368" s="153" t="n"/>
      <c r="BM368" s="153" t="n"/>
      <c r="BN368" s="153" t="n"/>
      <c r="BO368" s="153" t="n"/>
      <c r="BP368" s="153" t="n"/>
      <c r="BQ368" s="153" t="n"/>
      <c r="BR368" s="153" t="n"/>
      <c r="BS368" s="153" t="n"/>
      <c r="BT368" s="153" t="n"/>
      <c r="BU368" s="8" t="n"/>
      <c r="BV368" s="8" t="n"/>
      <c r="BW368" s="8" t="n"/>
      <c r="BX368" s="8" t="n"/>
      <c r="BY368" s="8" t="n"/>
      <c r="BZ368" s="8" t="n"/>
      <c r="CA368" s="8" t="n"/>
      <c r="CB368" s="8" t="n"/>
      <c r="CC368" s="8" t="n"/>
      <c r="CD368" s="8" t="n"/>
      <c r="CE368" s="8" t="n"/>
      <c r="CF368" s="8" t="n"/>
      <c r="CG368" s="8" t="n"/>
      <c r="CH368" s="8" t="n"/>
      <c r="CI368" s="8" t="n"/>
      <c r="CJ368" s="8" t="n"/>
      <c r="CK368" s="8" t="n"/>
      <c r="CL368" s="8" t="n"/>
      <c r="CM368" s="8" t="n"/>
      <c r="CN368" s="8" t="n"/>
      <c r="CO368" s="8" t="n"/>
      <c r="CP368" s="8" t="n"/>
      <c r="CQ368" s="8" t="n"/>
      <c r="CR368" s="8" t="n"/>
      <c r="CS368" s="8" t="n"/>
      <c r="CT368" s="8" t="n"/>
      <c r="CU368" s="8" t="n"/>
      <c r="CV368" s="8" t="n"/>
      <c r="CW368" s="8" t="n"/>
      <c r="CX368" s="8" t="n"/>
      <c r="CY368" s="8" t="n"/>
      <c r="CZ368" s="8" t="n"/>
      <c r="DA368" s="8" t="n"/>
      <c r="DB368" s="8" t="n"/>
      <c r="DC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  <c r="AC369" s="8" t="n"/>
      <c r="AD369" s="8" t="n"/>
      <c r="AE369" s="8" t="n"/>
      <c r="AF369" s="8" t="n"/>
      <c r="AG369" s="8" t="n"/>
      <c r="AH369" s="8" t="n"/>
      <c r="AI369" s="8" t="n"/>
      <c r="AJ369" s="8" t="n"/>
      <c r="AK369" s="8" t="n"/>
      <c r="AL369" s="8" t="n"/>
      <c r="AM369" s="8" t="n"/>
      <c r="AN369" s="8" t="n"/>
      <c r="AO369" s="8" t="n"/>
      <c r="AP369" s="8" t="n"/>
      <c r="AQ369" s="8" t="n"/>
      <c r="AR369" s="8" t="n"/>
      <c r="AS369" s="8" t="n"/>
      <c r="AT369" s="8" t="n"/>
      <c r="AU369" s="8" t="n"/>
      <c r="AV369" s="8" t="n"/>
      <c r="AW369" s="8" t="n"/>
      <c r="AX369" s="8" t="n"/>
      <c r="AY369" s="8" t="n"/>
      <c r="AZ369" s="8" t="n"/>
      <c r="BA369" s="8" t="n"/>
      <c r="BB369" s="8" t="n"/>
      <c r="BC369" s="8" t="n"/>
      <c r="BD369" s="8" t="n"/>
      <c r="BE369" s="8" t="n"/>
      <c r="BF369" s="8" t="n"/>
      <c r="BG369" s="8" t="n"/>
      <c r="BH369" s="8" t="n"/>
      <c r="BI369" s="8" t="n"/>
      <c r="BJ369" s="153" t="n">
        <v>292</v>
      </c>
      <c r="BK369" s="153" t="inlineStr">
        <is>
          <t>FABRICACION DE PRODUCTOS DE MATERIALES TRENZABLES COMO VARA, CARRIZO, MIMBRE, EXCEPTO PALMA</t>
        </is>
      </c>
      <c r="BL369" s="153" t="n"/>
      <c r="BM369" s="153" t="n"/>
      <c r="BN369" s="153" t="n"/>
      <c r="BO369" s="153" t="n"/>
      <c r="BP369" s="153" t="n"/>
      <c r="BQ369" s="153" t="n"/>
      <c r="BR369" s="153" t="n"/>
      <c r="BS369" s="153" t="n"/>
      <c r="BT369" s="153" t="n"/>
      <c r="BU369" s="8" t="n"/>
      <c r="BV369" s="8" t="n"/>
      <c r="BW369" s="8" t="n"/>
      <c r="BX369" s="8" t="n"/>
      <c r="BY369" s="8" t="n"/>
      <c r="BZ369" s="8" t="n"/>
      <c r="CA369" s="8" t="n"/>
      <c r="CB369" s="8" t="n"/>
      <c r="CC369" s="8" t="n"/>
      <c r="CD369" s="8" t="n"/>
      <c r="CE369" s="8" t="n"/>
      <c r="CF369" s="8" t="n"/>
      <c r="CG369" s="8" t="n"/>
      <c r="CH369" s="8" t="n"/>
      <c r="CI369" s="8" t="n"/>
      <c r="CJ369" s="8" t="n"/>
      <c r="CK369" s="8" t="n"/>
      <c r="CL369" s="8" t="n"/>
      <c r="CM369" s="8" t="n"/>
      <c r="CN369" s="8" t="n"/>
      <c r="CO369" s="8" t="n"/>
      <c r="CP369" s="8" t="n"/>
      <c r="CQ369" s="8" t="n"/>
      <c r="CR369" s="8" t="n"/>
      <c r="CS369" s="8" t="n"/>
      <c r="CT369" s="8" t="n"/>
      <c r="CU369" s="8" t="n"/>
      <c r="CV369" s="8" t="n"/>
      <c r="CW369" s="8" t="n"/>
      <c r="CX369" s="8" t="n"/>
      <c r="CY369" s="8" t="n"/>
      <c r="CZ369" s="8" t="n"/>
      <c r="DA369" s="8" t="n"/>
      <c r="DB369" s="8" t="n"/>
      <c r="DC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  <c r="AC370" s="8" t="n"/>
      <c r="AD370" s="8" t="n"/>
      <c r="AE370" s="8" t="n"/>
      <c r="AF370" s="8" t="n"/>
      <c r="AG370" s="8" t="n"/>
      <c r="AH370" s="8" t="n"/>
      <c r="AI370" s="8" t="n"/>
      <c r="AJ370" s="8" t="n"/>
      <c r="AK370" s="8" t="n"/>
      <c r="AL370" s="8" t="n"/>
      <c r="AM370" s="8" t="n"/>
      <c r="AN370" s="8" t="n"/>
      <c r="AO370" s="8" t="n"/>
      <c r="AP370" s="8" t="n"/>
      <c r="AQ370" s="8" t="n"/>
      <c r="AR370" s="8" t="n"/>
      <c r="AS370" s="8" t="n"/>
      <c r="AT370" s="8" t="n"/>
      <c r="AU370" s="8" t="n"/>
      <c r="AV370" s="8" t="n"/>
      <c r="AW370" s="8" t="n"/>
      <c r="AX370" s="8" t="n"/>
      <c r="AY370" s="8" t="n"/>
      <c r="AZ370" s="8" t="n"/>
      <c r="BA370" s="8" t="n"/>
      <c r="BB370" s="8" t="n"/>
      <c r="BC370" s="8" t="n"/>
      <c r="BD370" s="8" t="n"/>
      <c r="BE370" s="8" t="n"/>
      <c r="BF370" s="8" t="n"/>
      <c r="BG370" s="8" t="n"/>
      <c r="BH370" s="8" t="n"/>
      <c r="BI370" s="8" t="n"/>
      <c r="BJ370" s="153" t="n">
        <v>293</v>
      </c>
      <c r="BK370" s="153" t="inlineStr">
        <is>
          <t>FABRICACION DE ARTICULOS Y UTENSILIOS DE MADERA PARA EL HOGAR</t>
        </is>
      </c>
      <c r="BL370" s="153" t="n"/>
      <c r="BM370" s="153" t="n"/>
      <c r="BN370" s="153" t="n"/>
      <c r="BO370" s="153" t="n"/>
      <c r="BP370" s="153" t="n"/>
      <c r="BQ370" s="153" t="n"/>
      <c r="BR370" s="153" t="n"/>
      <c r="BS370" s="153" t="n"/>
      <c r="BT370" s="153" t="n"/>
      <c r="BU370" s="8" t="n"/>
      <c r="BV370" s="8" t="n"/>
      <c r="BW370" s="8" t="n"/>
      <c r="BX370" s="8" t="n"/>
      <c r="BY370" s="8" t="n"/>
      <c r="BZ370" s="8" t="n"/>
      <c r="CA370" s="8" t="n"/>
      <c r="CB370" s="8" t="n"/>
      <c r="CC370" s="8" t="n"/>
      <c r="CD370" s="8" t="n"/>
      <c r="CE370" s="8" t="n"/>
      <c r="CF370" s="8" t="n"/>
      <c r="CG370" s="8" t="n"/>
      <c r="CH370" s="8" t="n"/>
      <c r="CI370" s="8" t="n"/>
      <c r="CJ370" s="8" t="n"/>
      <c r="CK370" s="8" t="n"/>
      <c r="CL370" s="8" t="n"/>
      <c r="CM370" s="8" t="n"/>
      <c r="CN370" s="8" t="n"/>
      <c r="CO370" s="8" t="n"/>
      <c r="CP370" s="8" t="n"/>
      <c r="CQ370" s="8" t="n"/>
      <c r="CR370" s="8" t="n"/>
      <c r="CS370" s="8" t="n"/>
      <c r="CT370" s="8" t="n"/>
      <c r="CU370" s="8" t="n"/>
      <c r="CV370" s="8" t="n"/>
      <c r="CW370" s="8" t="n"/>
      <c r="CX370" s="8" t="n"/>
      <c r="CY370" s="8" t="n"/>
      <c r="CZ370" s="8" t="n"/>
      <c r="DA370" s="8" t="n"/>
      <c r="DB370" s="8" t="n"/>
      <c r="DC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  <c r="AC371" s="8" t="n"/>
      <c r="AD371" s="8" t="n"/>
      <c r="AE371" s="8" t="n"/>
      <c r="AF371" s="8" t="n"/>
      <c r="AG371" s="8" t="n"/>
      <c r="AH371" s="8" t="n"/>
      <c r="AI371" s="8" t="n"/>
      <c r="AJ371" s="8" t="n"/>
      <c r="AK371" s="8" t="n"/>
      <c r="AL371" s="8" t="n"/>
      <c r="AM371" s="8" t="n"/>
      <c r="AN371" s="8" t="n"/>
      <c r="AO371" s="8" t="n"/>
      <c r="AP371" s="8" t="n"/>
      <c r="AQ371" s="8" t="n"/>
      <c r="AR371" s="8" t="n"/>
      <c r="AS371" s="8" t="n"/>
      <c r="AT371" s="8" t="n"/>
      <c r="AU371" s="8" t="n"/>
      <c r="AV371" s="8" t="n"/>
      <c r="AW371" s="8" t="n"/>
      <c r="AX371" s="8" t="n"/>
      <c r="AY371" s="8" t="n"/>
      <c r="AZ371" s="8" t="n"/>
      <c r="BA371" s="8" t="n"/>
      <c r="BB371" s="8" t="n"/>
      <c r="BC371" s="8" t="n"/>
      <c r="BD371" s="8" t="n"/>
      <c r="BE371" s="8" t="n"/>
      <c r="BF371" s="8" t="n"/>
      <c r="BG371" s="8" t="n"/>
      <c r="BH371" s="8" t="n"/>
      <c r="BI371" s="8" t="n"/>
      <c r="BJ371" s="153" t="n">
        <v>294</v>
      </c>
      <c r="BK371" s="153" t="inlineStr">
        <is>
          <t>FABRICACION DE PRODUCTOS DE MADERA DE USO INDUSTRIAL</t>
        </is>
      </c>
      <c r="BL371" s="153" t="n"/>
      <c r="BM371" s="153" t="n"/>
      <c r="BN371" s="153" t="n"/>
      <c r="BO371" s="153" t="n"/>
      <c r="BP371" s="153" t="n"/>
      <c r="BQ371" s="153" t="n"/>
      <c r="BR371" s="153" t="n"/>
      <c r="BS371" s="153" t="n"/>
      <c r="BT371" s="153" t="n"/>
      <c r="BU371" s="8" t="n"/>
      <c r="BV371" s="8" t="n"/>
      <c r="BW371" s="8" t="n"/>
      <c r="BX371" s="8" t="n"/>
      <c r="BY371" s="8" t="n"/>
      <c r="BZ371" s="8" t="n"/>
      <c r="CA371" s="8" t="n"/>
      <c r="CB371" s="8" t="n"/>
      <c r="CC371" s="8" t="n"/>
      <c r="CD371" s="8" t="n"/>
      <c r="CE371" s="8" t="n"/>
      <c r="CF371" s="8" t="n"/>
      <c r="CG371" s="8" t="n"/>
      <c r="CH371" s="8" t="n"/>
      <c r="CI371" s="8" t="n"/>
      <c r="CJ371" s="8" t="n"/>
      <c r="CK371" s="8" t="n"/>
      <c r="CL371" s="8" t="n"/>
      <c r="CM371" s="8" t="n"/>
      <c r="CN371" s="8" t="n"/>
      <c r="CO371" s="8" t="n"/>
      <c r="CP371" s="8" t="n"/>
      <c r="CQ371" s="8" t="n"/>
      <c r="CR371" s="8" t="n"/>
      <c r="CS371" s="8" t="n"/>
      <c r="CT371" s="8" t="n"/>
      <c r="CU371" s="8" t="n"/>
      <c r="CV371" s="8" t="n"/>
      <c r="CW371" s="8" t="n"/>
      <c r="CX371" s="8" t="n"/>
      <c r="CY371" s="8" t="n"/>
      <c r="CZ371" s="8" t="n"/>
      <c r="DA371" s="8" t="n"/>
      <c r="DB371" s="8" t="n"/>
      <c r="DC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  <c r="AC372" s="8" t="n"/>
      <c r="AD372" s="8" t="n"/>
      <c r="AE372" s="8" t="n"/>
      <c r="AF372" s="8" t="n"/>
      <c r="AG372" s="8" t="n"/>
      <c r="AH372" s="8" t="n"/>
      <c r="AI372" s="8" t="n"/>
      <c r="AJ372" s="8" t="n"/>
      <c r="AK372" s="8" t="n"/>
      <c r="AL372" s="8" t="n"/>
      <c r="AM372" s="8" t="n"/>
      <c r="AN372" s="8" t="n"/>
      <c r="AO372" s="8" t="n"/>
      <c r="AP372" s="8" t="n"/>
      <c r="AQ372" s="8" t="n"/>
      <c r="AR372" s="8" t="n"/>
      <c r="AS372" s="8" t="n"/>
      <c r="AT372" s="8" t="n"/>
      <c r="AU372" s="8" t="n"/>
      <c r="AV372" s="8" t="n"/>
      <c r="AW372" s="8" t="n"/>
      <c r="AX372" s="8" t="n"/>
      <c r="AY372" s="8" t="n"/>
      <c r="AZ372" s="8" t="n"/>
      <c r="BA372" s="8" t="n"/>
      <c r="BB372" s="8" t="n"/>
      <c r="BC372" s="8" t="n"/>
      <c r="BD372" s="8" t="n"/>
      <c r="BE372" s="8" t="n"/>
      <c r="BF372" s="8" t="n"/>
      <c r="BG372" s="8" t="n"/>
      <c r="BH372" s="8" t="n"/>
      <c r="BI372" s="8" t="n"/>
      <c r="BJ372" s="153" t="n">
        <v>295</v>
      </c>
      <c r="BK372" s="153" t="inlineStr">
        <is>
          <t>FABRICACION DE OTROS PRODUCTOS DE MADERA</t>
        </is>
      </c>
      <c r="BL372" s="153" t="n"/>
      <c r="BM372" s="153" t="n"/>
      <c r="BN372" s="153" t="n"/>
      <c r="BO372" s="153" t="n"/>
      <c r="BP372" s="153" t="n"/>
      <c r="BQ372" s="153" t="n"/>
      <c r="BR372" s="153" t="n"/>
      <c r="BS372" s="153" t="n"/>
      <c r="BT372" s="153" t="n"/>
      <c r="BU372" s="8" t="n"/>
      <c r="BV372" s="8" t="n"/>
      <c r="BW372" s="8" t="n"/>
      <c r="BX372" s="8" t="n"/>
      <c r="BY372" s="8" t="n"/>
      <c r="BZ372" s="8" t="n"/>
      <c r="CA372" s="8" t="n"/>
      <c r="CB372" s="8" t="n"/>
      <c r="CC372" s="8" t="n"/>
      <c r="CD372" s="8" t="n"/>
      <c r="CE372" s="8" t="n"/>
      <c r="CF372" s="8" t="n"/>
      <c r="CG372" s="8" t="n"/>
      <c r="CH372" s="8" t="n"/>
      <c r="CI372" s="8" t="n"/>
      <c r="CJ372" s="8" t="n"/>
      <c r="CK372" s="8" t="n"/>
      <c r="CL372" s="8" t="n"/>
      <c r="CM372" s="8" t="n"/>
      <c r="CN372" s="8" t="n"/>
      <c r="CO372" s="8" t="n"/>
      <c r="CP372" s="8" t="n"/>
      <c r="CQ372" s="8" t="n"/>
      <c r="CR372" s="8" t="n"/>
      <c r="CS372" s="8" t="n"/>
      <c r="CT372" s="8" t="n"/>
      <c r="CU372" s="8" t="n"/>
      <c r="CV372" s="8" t="n"/>
      <c r="CW372" s="8" t="n"/>
      <c r="CX372" s="8" t="n"/>
      <c r="CY372" s="8" t="n"/>
      <c r="CZ372" s="8" t="n"/>
      <c r="DA372" s="8" t="n"/>
      <c r="DB372" s="8" t="n"/>
      <c r="DC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  <c r="AC373" s="8" t="n"/>
      <c r="AD373" s="8" t="n"/>
      <c r="AE373" s="8" t="n"/>
      <c r="AF373" s="8" t="n"/>
      <c r="AG373" s="8" t="n"/>
      <c r="AH373" s="8" t="n"/>
      <c r="AI373" s="8" t="n"/>
      <c r="AJ373" s="8" t="n"/>
      <c r="AK373" s="8" t="n"/>
      <c r="AL373" s="8" t="n"/>
      <c r="AM373" s="8" t="n"/>
      <c r="AN373" s="8" t="n"/>
      <c r="AO373" s="8" t="n"/>
      <c r="AP373" s="8" t="n"/>
      <c r="AQ373" s="8" t="n"/>
      <c r="AR373" s="8" t="n"/>
      <c r="AS373" s="8" t="n"/>
      <c r="AT373" s="8" t="n"/>
      <c r="AU373" s="8" t="n"/>
      <c r="AV373" s="8" t="n"/>
      <c r="AW373" s="8" t="n"/>
      <c r="AX373" s="8" t="n"/>
      <c r="AY373" s="8" t="n"/>
      <c r="AZ373" s="8" t="n"/>
      <c r="BA373" s="8" t="n"/>
      <c r="BB373" s="8" t="n"/>
      <c r="BC373" s="8" t="n"/>
      <c r="BD373" s="8" t="n"/>
      <c r="BE373" s="8" t="n"/>
      <c r="BF373" s="8" t="n"/>
      <c r="BG373" s="8" t="n"/>
      <c r="BH373" s="8" t="n"/>
      <c r="BI373" s="8" t="n"/>
      <c r="BJ373" s="153" t="n">
        <v>296</v>
      </c>
      <c r="BK373" s="153" t="inlineStr">
        <is>
          <t>FABRICACION DE CELULOSA A PARTIR DE MADERA, BAGAZO Y MATERIALES RECICLABLES COMO PAPEL, CARTON Y TEXTILES</t>
        </is>
      </c>
      <c r="BL373" s="153" t="n"/>
      <c r="BM373" s="153" t="n"/>
      <c r="BN373" s="153" t="n"/>
      <c r="BO373" s="153" t="n"/>
      <c r="BP373" s="153" t="n"/>
      <c r="BQ373" s="153" t="n"/>
      <c r="BR373" s="153" t="n"/>
      <c r="BS373" s="153" t="n"/>
      <c r="BT373" s="153" t="n"/>
      <c r="BU373" s="8" t="n"/>
      <c r="BV373" s="8" t="n"/>
      <c r="BW373" s="8" t="n"/>
      <c r="BX373" s="8" t="n"/>
      <c r="BY373" s="8" t="n"/>
      <c r="BZ373" s="8" t="n"/>
      <c r="CA373" s="8" t="n"/>
      <c r="CB373" s="8" t="n"/>
      <c r="CC373" s="8" t="n"/>
      <c r="CD373" s="8" t="n"/>
      <c r="CE373" s="8" t="n"/>
      <c r="CF373" s="8" t="n"/>
      <c r="CG373" s="8" t="n"/>
      <c r="CH373" s="8" t="n"/>
      <c r="CI373" s="8" t="n"/>
      <c r="CJ373" s="8" t="n"/>
      <c r="CK373" s="8" t="n"/>
      <c r="CL373" s="8" t="n"/>
      <c r="CM373" s="8" t="n"/>
      <c r="CN373" s="8" t="n"/>
      <c r="CO373" s="8" t="n"/>
      <c r="CP373" s="8" t="n"/>
      <c r="CQ373" s="8" t="n"/>
      <c r="CR373" s="8" t="n"/>
      <c r="CS373" s="8" t="n"/>
      <c r="CT373" s="8" t="n"/>
      <c r="CU373" s="8" t="n"/>
      <c r="CV373" s="8" t="n"/>
      <c r="CW373" s="8" t="n"/>
      <c r="CX373" s="8" t="n"/>
      <c r="CY373" s="8" t="n"/>
      <c r="CZ373" s="8" t="n"/>
      <c r="DA373" s="8" t="n"/>
      <c r="DB373" s="8" t="n"/>
      <c r="DC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  <c r="AC374" s="8" t="n"/>
      <c r="AD374" s="8" t="n"/>
      <c r="AE374" s="8" t="n"/>
      <c r="AF374" s="8" t="n"/>
      <c r="AG374" s="8" t="n"/>
      <c r="AH374" s="8" t="n"/>
      <c r="AI374" s="8" t="n"/>
      <c r="AJ374" s="8" t="n"/>
      <c r="AK374" s="8" t="n"/>
      <c r="AL374" s="8" t="n"/>
      <c r="AM374" s="8" t="n"/>
      <c r="AN374" s="8" t="n"/>
      <c r="AO374" s="8" t="n"/>
      <c r="AP374" s="8" t="n"/>
      <c r="AQ374" s="8" t="n"/>
      <c r="AR374" s="8" t="n"/>
      <c r="AS374" s="8" t="n"/>
      <c r="AT374" s="8" t="n"/>
      <c r="AU374" s="8" t="n"/>
      <c r="AV374" s="8" t="n"/>
      <c r="AW374" s="8" t="n"/>
      <c r="AX374" s="8" t="n"/>
      <c r="AY374" s="8" t="n"/>
      <c r="AZ374" s="8" t="n"/>
      <c r="BA374" s="8" t="n"/>
      <c r="BB374" s="8" t="n"/>
      <c r="BC374" s="8" t="n"/>
      <c r="BD374" s="8" t="n"/>
      <c r="BE374" s="8" t="n"/>
      <c r="BF374" s="8" t="n"/>
      <c r="BG374" s="8" t="n"/>
      <c r="BH374" s="8" t="n"/>
      <c r="BI374" s="8" t="n"/>
      <c r="BJ374" s="153" t="n">
        <v>297</v>
      </c>
      <c r="BK374" s="153" t="inlineStr">
        <is>
          <t>FABRICACION DE CELULOSA, PAPEL Y PRODUCTOS DE PAPEL EN PLANTAS INTEGRADAS</t>
        </is>
      </c>
      <c r="BL374" s="153" t="n"/>
      <c r="BM374" s="153" t="n"/>
      <c r="BN374" s="153" t="n"/>
      <c r="BO374" s="153" t="n"/>
      <c r="BP374" s="153" t="n"/>
      <c r="BQ374" s="153" t="n"/>
      <c r="BR374" s="153" t="n"/>
      <c r="BS374" s="153" t="n"/>
      <c r="BT374" s="153" t="n"/>
      <c r="BU374" s="8" t="n"/>
      <c r="BV374" s="8" t="n"/>
      <c r="BW374" s="8" t="n"/>
      <c r="BX374" s="8" t="n"/>
      <c r="BY374" s="8" t="n"/>
      <c r="BZ374" s="8" t="n"/>
      <c r="CA374" s="8" t="n"/>
      <c r="CB374" s="8" t="n"/>
      <c r="CC374" s="8" t="n"/>
      <c r="CD374" s="8" t="n"/>
      <c r="CE374" s="8" t="n"/>
      <c r="CF374" s="8" t="n"/>
      <c r="CG374" s="8" t="n"/>
      <c r="CH374" s="8" t="n"/>
      <c r="CI374" s="8" t="n"/>
      <c r="CJ374" s="8" t="n"/>
      <c r="CK374" s="8" t="n"/>
      <c r="CL374" s="8" t="n"/>
      <c r="CM374" s="8" t="n"/>
      <c r="CN374" s="8" t="n"/>
      <c r="CO374" s="8" t="n"/>
      <c r="CP374" s="8" t="n"/>
      <c r="CQ374" s="8" t="n"/>
      <c r="CR374" s="8" t="n"/>
      <c r="CS374" s="8" t="n"/>
      <c r="CT374" s="8" t="n"/>
      <c r="CU374" s="8" t="n"/>
      <c r="CV374" s="8" t="n"/>
      <c r="CW374" s="8" t="n"/>
      <c r="CX374" s="8" t="n"/>
      <c r="CY374" s="8" t="n"/>
      <c r="CZ374" s="8" t="n"/>
      <c r="DA374" s="8" t="n"/>
      <c r="DB374" s="8" t="n"/>
      <c r="DC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  <c r="AC375" s="8" t="n"/>
      <c r="AD375" s="8" t="n"/>
      <c r="AE375" s="8" t="n"/>
      <c r="AF375" s="8" t="n"/>
      <c r="AG375" s="8" t="n"/>
      <c r="AH375" s="8" t="n"/>
      <c r="AI375" s="8" t="n"/>
      <c r="AJ375" s="8" t="n"/>
      <c r="AK375" s="8" t="n"/>
      <c r="AL375" s="8" t="n"/>
      <c r="AM375" s="8" t="n"/>
      <c r="AN375" s="8" t="n"/>
      <c r="AO375" s="8" t="n"/>
      <c r="AP375" s="8" t="n"/>
      <c r="AQ375" s="8" t="n"/>
      <c r="AR375" s="8" t="n"/>
      <c r="AS375" s="8" t="n"/>
      <c r="AT375" s="8" t="n"/>
      <c r="AU375" s="8" t="n"/>
      <c r="AV375" s="8" t="n"/>
      <c r="AW375" s="8" t="n"/>
      <c r="AX375" s="8" t="n"/>
      <c r="AY375" s="8" t="n"/>
      <c r="AZ375" s="8" t="n"/>
      <c r="BA375" s="8" t="n"/>
      <c r="BB375" s="8" t="n"/>
      <c r="BC375" s="8" t="n"/>
      <c r="BD375" s="8" t="n"/>
      <c r="BE375" s="8" t="n"/>
      <c r="BF375" s="8" t="n"/>
      <c r="BG375" s="8" t="n"/>
      <c r="BH375" s="8" t="n"/>
      <c r="BI375" s="8" t="n"/>
      <c r="BJ375" s="153" t="n">
        <v>298</v>
      </c>
      <c r="BK375" s="153" t="inlineStr">
        <is>
          <t>FABRICACION DE PAPEL A PARTIR DE CELULOSA</t>
        </is>
      </c>
      <c r="BL375" s="153" t="n"/>
      <c r="BM375" s="153" t="n"/>
      <c r="BN375" s="153" t="n"/>
      <c r="BO375" s="153" t="n"/>
      <c r="BP375" s="153" t="n"/>
      <c r="BQ375" s="153" t="n"/>
      <c r="BR375" s="153" t="n"/>
      <c r="BS375" s="153" t="n"/>
      <c r="BT375" s="153" t="n"/>
      <c r="BU375" s="8" t="n"/>
      <c r="BV375" s="8" t="n"/>
      <c r="BW375" s="8" t="n"/>
      <c r="BX375" s="8" t="n"/>
      <c r="BY375" s="8" t="n"/>
      <c r="BZ375" s="8" t="n"/>
      <c r="CA375" s="8" t="n"/>
      <c r="CB375" s="8" t="n"/>
      <c r="CC375" s="8" t="n"/>
      <c r="CD375" s="8" t="n"/>
      <c r="CE375" s="8" t="n"/>
      <c r="CF375" s="8" t="n"/>
      <c r="CG375" s="8" t="n"/>
      <c r="CH375" s="8" t="n"/>
      <c r="CI375" s="8" t="n"/>
      <c r="CJ375" s="8" t="n"/>
      <c r="CK375" s="8" t="n"/>
      <c r="CL375" s="8" t="n"/>
      <c r="CM375" s="8" t="n"/>
      <c r="CN375" s="8" t="n"/>
      <c r="CO375" s="8" t="n"/>
      <c r="CP375" s="8" t="n"/>
      <c r="CQ375" s="8" t="n"/>
      <c r="CR375" s="8" t="n"/>
      <c r="CS375" s="8" t="n"/>
      <c r="CT375" s="8" t="n"/>
      <c r="CU375" s="8" t="n"/>
      <c r="CV375" s="8" t="n"/>
      <c r="CW375" s="8" t="n"/>
      <c r="CX375" s="8" t="n"/>
      <c r="CY375" s="8" t="n"/>
      <c r="CZ375" s="8" t="n"/>
      <c r="DA375" s="8" t="n"/>
      <c r="DB375" s="8" t="n"/>
      <c r="DC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  <c r="AC376" s="8" t="n"/>
      <c r="AD376" s="8" t="n"/>
      <c r="AE376" s="8" t="n"/>
      <c r="AF376" s="8" t="n"/>
      <c r="AG376" s="8" t="n"/>
      <c r="AH376" s="8" t="n"/>
      <c r="AI376" s="8" t="n"/>
      <c r="AJ376" s="8" t="n"/>
      <c r="AK376" s="8" t="n"/>
      <c r="AL376" s="8" t="n"/>
      <c r="AM376" s="8" t="n"/>
      <c r="AN376" s="8" t="n"/>
      <c r="AO376" s="8" t="n"/>
      <c r="AP376" s="8" t="n"/>
      <c r="AQ376" s="8" t="n"/>
      <c r="AR376" s="8" t="n"/>
      <c r="AS376" s="8" t="n"/>
      <c r="AT376" s="8" t="n"/>
      <c r="AU376" s="8" t="n"/>
      <c r="AV376" s="8" t="n"/>
      <c r="AW376" s="8" t="n"/>
      <c r="AX376" s="8" t="n"/>
      <c r="AY376" s="8" t="n"/>
      <c r="AZ376" s="8" t="n"/>
      <c r="BA376" s="8" t="n"/>
      <c r="BB376" s="8" t="n"/>
      <c r="BC376" s="8" t="n"/>
      <c r="BD376" s="8" t="n"/>
      <c r="BE376" s="8" t="n"/>
      <c r="BF376" s="8" t="n"/>
      <c r="BG376" s="8" t="n"/>
      <c r="BH376" s="8" t="n"/>
      <c r="BI376" s="8" t="n"/>
      <c r="BJ376" s="153" t="n">
        <v>299</v>
      </c>
      <c r="BK376" s="153" t="inlineStr">
        <is>
          <t>FABRICACION DE CARTON EN PLANTAS INTEGRADAS</t>
        </is>
      </c>
      <c r="BL376" s="153" t="n"/>
      <c r="BM376" s="153" t="n"/>
      <c r="BN376" s="153" t="n"/>
      <c r="BO376" s="153" t="n"/>
      <c r="BP376" s="153" t="n"/>
      <c r="BQ376" s="153" t="n"/>
      <c r="BR376" s="153" t="n"/>
      <c r="BS376" s="153" t="n"/>
      <c r="BT376" s="153" t="n"/>
      <c r="BU376" s="8" t="n"/>
      <c r="BV376" s="8" t="n"/>
      <c r="BW376" s="8" t="n"/>
      <c r="BX376" s="8" t="n"/>
      <c r="BY376" s="8" t="n"/>
      <c r="BZ376" s="8" t="n"/>
      <c r="CA376" s="8" t="n"/>
      <c r="CB376" s="8" t="n"/>
      <c r="CC376" s="8" t="n"/>
      <c r="CD376" s="8" t="n"/>
      <c r="CE376" s="8" t="n"/>
      <c r="CF376" s="8" t="n"/>
      <c r="CG376" s="8" t="n"/>
      <c r="CH376" s="8" t="n"/>
      <c r="CI376" s="8" t="n"/>
      <c r="CJ376" s="8" t="n"/>
      <c r="CK376" s="8" t="n"/>
      <c r="CL376" s="8" t="n"/>
      <c r="CM376" s="8" t="n"/>
      <c r="CN376" s="8" t="n"/>
      <c r="CO376" s="8" t="n"/>
      <c r="CP376" s="8" t="n"/>
      <c r="CQ376" s="8" t="n"/>
      <c r="CR376" s="8" t="n"/>
      <c r="CS376" s="8" t="n"/>
      <c r="CT376" s="8" t="n"/>
      <c r="CU376" s="8" t="n"/>
      <c r="CV376" s="8" t="n"/>
      <c r="CW376" s="8" t="n"/>
      <c r="CX376" s="8" t="n"/>
      <c r="CY376" s="8" t="n"/>
      <c r="CZ376" s="8" t="n"/>
      <c r="DA376" s="8" t="n"/>
      <c r="DB376" s="8" t="n"/>
      <c r="DC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  <c r="AC377" s="8" t="n"/>
      <c r="AD377" s="8" t="n"/>
      <c r="AE377" s="8" t="n"/>
      <c r="AF377" s="8" t="n"/>
      <c r="AG377" s="8" t="n"/>
      <c r="AH377" s="8" t="n"/>
      <c r="AI377" s="8" t="n"/>
      <c r="AJ377" s="8" t="n"/>
      <c r="AK377" s="8" t="n"/>
      <c r="AL377" s="8" t="n"/>
      <c r="AM377" s="8" t="n"/>
      <c r="AN377" s="8" t="n"/>
      <c r="AO377" s="8" t="n"/>
      <c r="AP377" s="8" t="n"/>
      <c r="AQ377" s="8" t="n"/>
      <c r="AR377" s="8" t="n"/>
      <c r="AS377" s="8" t="n"/>
      <c r="AT377" s="8" t="n"/>
      <c r="AU377" s="8" t="n"/>
      <c r="AV377" s="8" t="n"/>
      <c r="AW377" s="8" t="n"/>
      <c r="AX377" s="8" t="n"/>
      <c r="AY377" s="8" t="n"/>
      <c r="AZ377" s="8" t="n"/>
      <c r="BA377" s="8" t="n"/>
      <c r="BB377" s="8" t="n"/>
      <c r="BC377" s="8" t="n"/>
      <c r="BD377" s="8" t="n"/>
      <c r="BE377" s="8" t="n"/>
      <c r="BF377" s="8" t="n"/>
      <c r="BG377" s="8" t="n"/>
      <c r="BH377" s="8" t="n"/>
      <c r="BI377" s="8" t="n"/>
      <c r="BJ377" s="153" t="n">
        <v>300</v>
      </c>
      <c r="BK377" s="153" t="inlineStr">
        <is>
          <t>FABRICACION DE CARTON Y CARTONCILLO A PARTIR DE CELULOSA</t>
        </is>
      </c>
      <c r="BL377" s="153" t="n"/>
      <c r="BM377" s="153" t="n"/>
      <c r="BN377" s="153" t="n"/>
      <c r="BO377" s="153" t="n"/>
      <c r="BP377" s="153" t="n"/>
      <c r="BQ377" s="153" t="n"/>
      <c r="BR377" s="153" t="n"/>
      <c r="BS377" s="153" t="n"/>
      <c r="BT377" s="153" t="n"/>
      <c r="BU377" s="8" t="n"/>
      <c r="BV377" s="8" t="n"/>
      <c r="BW377" s="8" t="n"/>
      <c r="BX377" s="8" t="n"/>
      <c r="BY377" s="8" t="n"/>
      <c r="BZ377" s="8" t="n"/>
      <c r="CA377" s="8" t="n"/>
      <c r="CB377" s="8" t="n"/>
      <c r="CC377" s="8" t="n"/>
      <c r="CD377" s="8" t="n"/>
      <c r="CE377" s="8" t="n"/>
      <c r="CF377" s="8" t="n"/>
      <c r="CG377" s="8" t="n"/>
      <c r="CH377" s="8" t="n"/>
      <c r="CI377" s="8" t="n"/>
      <c r="CJ377" s="8" t="n"/>
      <c r="CK377" s="8" t="n"/>
      <c r="CL377" s="8" t="n"/>
      <c r="CM377" s="8" t="n"/>
      <c r="CN377" s="8" t="n"/>
      <c r="CO377" s="8" t="n"/>
      <c r="CP377" s="8" t="n"/>
      <c r="CQ377" s="8" t="n"/>
      <c r="CR377" s="8" t="n"/>
      <c r="CS377" s="8" t="n"/>
      <c r="CT377" s="8" t="n"/>
      <c r="CU377" s="8" t="n"/>
      <c r="CV377" s="8" t="n"/>
      <c r="CW377" s="8" t="n"/>
      <c r="CX377" s="8" t="n"/>
      <c r="CY377" s="8" t="n"/>
      <c r="CZ377" s="8" t="n"/>
      <c r="DA377" s="8" t="n"/>
      <c r="DB377" s="8" t="n"/>
      <c r="DC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  <c r="AC378" s="8" t="n"/>
      <c r="AD378" s="8" t="n"/>
      <c r="AE378" s="8" t="n"/>
      <c r="AF378" s="8" t="n"/>
      <c r="AG378" s="8" t="n"/>
      <c r="AH378" s="8" t="n"/>
      <c r="AI378" s="8" t="n"/>
      <c r="AJ378" s="8" t="n"/>
      <c r="AK378" s="8" t="n"/>
      <c r="AL378" s="8" t="n"/>
      <c r="AM378" s="8" t="n"/>
      <c r="AN378" s="8" t="n"/>
      <c r="AO378" s="8" t="n"/>
      <c r="AP378" s="8" t="n"/>
      <c r="AQ378" s="8" t="n"/>
      <c r="AR378" s="8" t="n"/>
      <c r="AS378" s="8" t="n"/>
      <c r="AT378" s="8" t="n"/>
      <c r="AU378" s="8" t="n"/>
      <c r="AV378" s="8" t="n"/>
      <c r="AW378" s="8" t="n"/>
      <c r="AX378" s="8" t="n"/>
      <c r="AY378" s="8" t="n"/>
      <c r="AZ378" s="8" t="n"/>
      <c r="BA378" s="8" t="n"/>
      <c r="BB378" s="8" t="n"/>
      <c r="BC378" s="8" t="n"/>
      <c r="BD378" s="8" t="n"/>
      <c r="BE378" s="8" t="n"/>
      <c r="BF378" s="8" t="n"/>
      <c r="BG378" s="8" t="n"/>
      <c r="BH378" s="8" t="n"/>
      <c r="BI378" s="8" t="n"/>
      <c r="BJ378" s="153" t="n">
        <v>301</v>
      </c>
      <c r="BK378" s="153" t="inlineStr">
        <is>
          <t>FABRICACION DE ENVASES DE CARTON</t>
        </is>
      </c>
      <c r="BL378" s="153" t="n"/>
      <c r="BM378" s="153" t="n"/>
      <c r="BN378" s="153" t="n"/>
      <c r="BO378" s="153" t="n"/>
      <c r="BP378" s="153" t="n"/>
      <c r="BQ378" s="153" t="n"/>
      <c r="BR378" s="153" t="n"/>
      <c r="BS378" s="153" t="n"/>
      <c r="BT378" s="153" t="n"/>
      <c r="BU378" s="8" t="n"/>
      <c r="BV378" s="8" t="n"/>
      <c r="BW378" s="8" t="n"/>
      <c r="BX378" s="8" t="n"/>
      <c r="BY378" s="8" t="n"/>
      <c r="BZ378" s="8" t="n"/>
      <c r="CA378" s="8" t="n"/>
      <c r="CB378" s="8" t="n"/>
      <c r="CC378" s="8" t="n"/>
      <c r="CD378" s="8" t="n"/>
      <c r="CE378" s="8" t="n"/>
      <c r="CF378" s="8" t="n"/>
      <c r="CG378" s="8" t="n"/>
      <c r="CH378" s="8" t="n"/>
      <c r="CI378" s="8" t="n"/>
      <c r="CJ378" s="8" t="n"/>
      <c r="CK378" s="8" t="n"/>
      <c r="CL378" s="8" t="n"/>
      <c r="CM378" s="8" t="n"/>
      <c r="CN378" s="8" t="n"/>
      <c r="CO378" s="8" t="n"/>
      <c r="CP378" s="8" t="n"/>
      <c r="CQ378" s="8" t="n"/>
      <c r="CR378" s="8" t="n"/>
      <c r="CS378" s="8" t="n"/>
      <c r="CT378" s="8" t="n"/>
      <c r="CU378" s="8" t="n"/>
      <c r="CV378" s="8" t="n"/>
      <c r="CW378" s="8" t="n"/>
      <c r="CX378" s="8" t="n"/>
      <c r="CY378" s="8" t="n"/>
      <c r="CZ378" s="8" t="n"/>
      <c r="DA378" s="8" t="n"/>
      <c r="DB378" s="8" t="n"/>
      <c r="DC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8" t="n"/>
      <c r="AJ379" s="8" t="n"/>
      <c r="AK379" s="8" t="n"/>
      <c r="AL379" s="8" t="n"/>
      <c r="AM379" s="8" t="n"/>
      <c r="AN379" s="8" t="n"/>
      <c r="AO379" s="8" t="n"/>
      <c r="AP379" s="8" t="n"/>
      <c r="AQ379" s="8" t="n"/>
      <c r="AR379" s="8" t="n"/>
      <c r="AS379" s="8" t="n"/>
      <c r="AT379" s="8" t="n"/>
      <c r="AU379" s="8" t="n"/>
      <c r="AV379" s="8" t="n"/>
      <c r="AW379" s="8" t="n"/>
      <c r="AX379" s="8" t="n"/>
      <c r="AY379" s="8" t="n"/>
      <c r="AZ379" s="8" t="n"/>
      <c r="BA379" s="8" t="n"/>
      <c r="BB379" s="8" t="n"/>
      <c r="BC379" s="8" t="n"/>
      <c r="BD379" s="8" t="n"/>
      <c r="BE379" s="8" t="n"/>
      <c r="BF379" s="8" t="n"/>
      <c r="BG379" s="8" t="n"/>
      <c r="BH379" s="8" t="n"/>
      <c r="BI379" s="8" t="n"/>
      <c r="BJ379" s="153" t="n">
        <v>302</v>
      </c>
      <c r="BK379" s="153" t="inlineStr">
        <is>
          <t>FABRICACION DE BOLSAS DE PAPEL Y PRODUCTOS CELULOSICOS RECUBIERTOS Y TRATADOS</t>
        </is>
      </c>
      <c r="BL379" s="153" t="n"/>
      <c r="BM379" s="153" t="n"/>
      <c r="BN379" s="153" t="n"/>
      <c r="BO379" s="153" t="n"/>
      <c r="BP379" s="153" t="n"/>
      <c r="BQ379" s="153" t="n"/>
      <c r="BR379" s="153" t="n"/>
      <c r="BS379" s="153" t="n"/>
      <c r="BT379" s="153" t="n"/>
      <c r="BU379" s="8" t="n"/>
      <c r="BV379" s="8" t="n"/>
      <c r="BW379" s="8" t="n"/>
      <c r="BX379" s="8" t="n"/>
      <c r="BY379" s="8" t="n"/>
      <c r="BZ379" s="8" t="n"/>
      <c r="CA379" s="8" t="n"/>
      <c r="CB379" s="8" t="n"/>
      <c r="CC379" s="8" t="n"/>
      <c r="CD379" s="8" t="n"/>
      <c r="CE379" s="8" t="n"/>
      <c r="CF379" s="8" t="n"/>
      <c r="CG379" s="8" t="n"/>
      <c r="CH379" s="8" t="n"/>
      <c r="CI379" s="8" t="n"/>
      <c r="CJ379" s="8" t="n"/>
      <c r="CK379" s="8" t="n"/>
      <c r="CL379" s="8" t="n"/>
      <c r="CM379" s="8" t="n"/>
      <c r="CN379" s="8" t="n"/>
      <c r="CO379" s="8" t="n"/>
      <c r="CP379" s="8" t="n"/>
      <c r="CQ379" s="8" t="n"/>
      <c r="CR379" s="8" t="n"/>
      <c r="CS379" s="8" t="n"/>
      <c r="CT379" s="8" t="n"/>
      <c r="CU379" s="8" t="n"/>
      <c r="CV379" s="8" t="n"/>
      <c r="CW379" s="8" t="n"/>
      <c r="CX379" s="8" t="n"/>
      <c r="CY379" s="8" t="n"/>
      <c r="CZ379" s="8" t="n"/>
      <c r="DA379" s="8" t="n"/>
      <c r="DB379" s="8" t="n"/>
      <c r="DC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  <c r="AH380" s="8" t="n"/>
      <c r="AI380" s="8" t="n"/>
      <c r="AJ380" s="8" t="n"/>
      <c r="AK380" s="8" t="n"/>
      <c r="AL380" s="8" t="n"/>
      <c r="AM380" s="8" t="n"/>
      <c r="AN380" s="8" t="n"/>
      <c r="AO380" s="8" t="n"/>
      <c r="AP380" s="8" t="n"/>
      <c r="AQ380" s="8" t="n"/>
      <c r="AR380" s="8" t="n"/>
      <c r="AS380" s="8" t="n"/>
      <c r="AT380" s="8" t="n"/>
      <c r="AU380" s="8" t="n"/>
      <c r="AV380" s="8" t="n"/>
      <c r="AW380" s="8" t="n"/>
      <c r="AX380" s="8" t="n"/>
      <c r="AY380" s="8" t="n"/>
      <c r="AZ380" s="8" t="n"/>
      <c r="BA380" s="8" t="n"/>
      <c r="BB380" s="8" t="n"/>
      <c r="BC380" s="8" t="n"/>
      <c r="BD380" s="8" t="n"/>
      <c r="BE380" s="8" t="n"/>
      <c r="BF380" s="8" t="n"/>
      <c r="BG380" s="8" t="n"/>
      <c r="BH380" s="8" t="n"/>
      <c r="BI380" s="8" t="n"/>
      <c r="BJ380" s="153" t="n">
        <v>303</v>
      </c>
      <c r="BK380" s="153" t="inlineStr">
        <is>
          <t>FABRICACION DE PRODUCTOS DE PAPELERIA</t>
        </is>
      </c>
      <c r="BL380" s="153" t="n"/>
      <c r="BM380" s="153" t="n"/>
      <c r="BN380" s="153" t="n"/>
      <c r="BO380" s="153" t="n"/>
      <c r="BP380" s="153" t="n"/>
      <c r="BQ380" s="153" t="n"/>
      <c r="BR380" s="153" t="n"/>
      <c r="BS380" s="153" t="n"/>
      <c r="BT380" s="153" t="n"/>
      <c r="BU380" s="8" t="n"/>
      <c r="BV380" s="8" t="n"/>
      <c r="BW380" s="8" t="n"/>
      <c r="BX380" s="8" t="n"/>
      <c r="BY380" s="8" t="n"/>
      <c r="BZ380" s="8" t="n"/>
      <c r="CA380" s="8" t="n"/>
      <c r="CB380" s="8" t="n"/>
      <c r="CC380" s="8" t="n"/>
      <c r="CD380" s="8" t="n"/>
      <c r="CE380" s="8" t="n"/>
      <c r="CF380" s="8" t="n"/>
      <c r="CG380" s="8" t="n"/>
      <c r="CH380" s="8" t="n"/>
      <c r="CI380" s="8" t="n"/>
      <c r="CJ380" s="8" t="n"/>
      <c r="CK380" s="8" t="n"/>
      <c r="CL380" s="8" t="n"/>
      <c r="CM380" s="8" t="n"/>
      <c r="CN380" s="8" t="n"/>
      <c r="CO380" s="8" t="n"/>
      <c r="CP380" s="8" t="n"/>
      <c r="CQ380" s="8" t="n"/>
      <c r="CR380" s="8" t="n"/>
      <c r="CS380" s="8" t="n"/>
      <c r="CT380" s="8" t="n"/>
      <c r="CU380" s="8" t="n"/>
      <c r="CV380" s="8" t="n"/>
      <c r="CW380" s="8" t="n"/>
      <c r="CX380" s="8" t="n"/>
      <c r="CY380" s="8" t="n"/>
      <c r="CZ380" s="8" t="n"/>
      <c r="DA380" s="8" t="n"/>
      <c r="DB380" s="8" t="n"/>
      <c r="DC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  <c r="AC381" s="8" t="n"/>
      <c r="AD381" s="8" t="n"/>
      <c r="AE381" s="8" t="n"/>
      <c r="AF381" s="8" t="n"/>
      <c r="AG381" s="8" t="n"/>
      <c r="AH381" s="8" t="n"/>
      <c r="AI381" s="8" t="n"/>
      <c r="AJ381" s="8" t="n"/>
      <c r="AK381" s="8" t="n"/>
      <c r="AL381" s="8" t="n"/>
      <c r="AM381" s="8" t="n"/>
      <c r="AN381" s="8" t="n"/>
      <c r="AO381" s="8" t="n"/>
      <c r="AP381" s="8" t="n"/>
      <c r="AQ381" s="8" t="n"/>
      <c r="AR381" s="8" t="n"/>
      <c r="AS381" s="8" t="n"/>
      <c r="AT381" s="8" t="n"/>
      <c r="AU381" s="8" t="n"/>
      <c r="AV381" s="8" t="n"/>
      <c r="AW381" s="8" t="n"/>
      <c r="AX381" s="8" t="n"/>
      <c r="AY381" s="8" t="n"/>
      <c r="AZ381" s="8" t="n"/>
      <c r="BA381" s="8" t="n"/>
      <c r="BB381" s="8" t="n"/>
      <c r="BC381" s="8" t="n"/>
      <c r="BD381" s="8" t="n"/>
      <c r="BE381" s="8" t="n"/>
      <c r="BF381" s="8" t="n"/>
      <c r="BG381" s="8" t="n"/>
      <c r="BH381" s="8" t="n"/>
      <c r="BI381" s="8" t="n"/>
      <c r="BJ381" s="153" t="n">
        <v>304</v>
      </c>
      <c r="BK381" s="153" t="inlineStr">
        <is>
          <t>FABRICACION DE PA?ALES DESECHABLES Y PRODUCTOS SANITARIOS</t>
        </is>
      </c>
      <c r="BL381" s="153" t="n"/>
      <c r="BM381" s="153" t="n"/>
      <c r="BN381" s="153" t="n"/>
      <c r="BO381" s="153" t="n"/>
      <c r="BP381" s="153" t="n"/>
      <c r="BQ381" s="153" t="n"/>
      <c r="BR381" s="153" t="n"/>
      <c r="BS381" s="153" t="n"/>
      <c r="BT381" s="153" t="n"/>
      <c r="BU381" s="8" t="n"/>
      <c r="BV381" s="8" t="n"/>
      <c r="BW381" s="8" t="n"/>
      <c r="BX381" s="8" t="n"/>
      <c r="BY381" s="8" t="n"/>
      <c r="BZ381" s="8" t="n"/>
      <c r="CA381" s="8" t="n"/>
      <c r="CB381" s="8" t="n"/>
      <c r="CC381" s="8" t="n"/>
      <c r="CD381" s="8" t="n"/>
      <c r="CE381" s="8" t="n"/>
      <c r="CF381" s="8" t="n"/>
      <c r="CG381" s="8" t="n"/>
      <c r="CH381" s="8" t="n"/>
      <c r="CI381" s="8" t="n"/>
      <c r="CJ381" s="8" t="n"/>
      <c r="CK381" s="8" t="n"/>
      <c r="CL381" s="8" t="n"/>
      <c r="CM381" s="8" t="n"/>
      <c r="CN381" s="8" t="n"/>
      <c r="CO381" s="8" t="n"/>
      <c r="CP381" s="8" t="n"/>
      <c r="CQ381" s="8" t="n"/>
      <c r="CR381" s="8" t="n"/>
      <c r="CS381" s="8" t="n"/>
      <c r="CT381" s="8" t="n"/>
      <c r="CU381" s="8" t="n"/>
      <c r="CV381" s="8" t="n"/>
      <c r="CW381" s="8" t="n"/>
      <c r="CX381" s="8" t="n"/>
      <c r="CY381" s="8" t="n"/>
      <c r="CZ381" s="8" t="n"/>
      <c r="DA381" s="8" t="n"/>
      <c r="DB381" s="8" t="n"/>
      <c r="DC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  <c r="AH382" s="8" t="n"/>
      <c r="AI382" s="8" t="n"/>
      <c r="AJ382" s="8" t="n"/>
      <c r="AK382" s="8" t="n"/>
      <c r="AL382" s="8" t="n"/>
      <c r="AM382" s="8" t="n"/>
      <c r="AN382" s="8" t="n"/>
      <c r="AO382" s="8" t="n"/>
      <c r="AP382" s="8" t="n"/>
      <c r="AQ382" s="8" t="n"/>
      <c r="AR382" s="8" t="n"/>
      <c r="AS382" s="8" t="n"/>
      <c r="AT382" s="8" t="n"/>
      <c r="AU382" s="8" t="n"/>
      <c r="AV382" s="8" t="n"/>
      <c r="AW382" s="8" t="n"/>
      <c r="AX382" s="8" t="n"/>
      <c r="AY382" s="8" t="n"/>
      <c r="AZ382" s="8" t="n"/>
      <c r="BA382" s="8" t="n"/>
      <c r="BB382" s="8" t="n"/>
      <c r="BC382" s="8" t="n"/>
      <c r="BD382" s="8" t="n"/>
      <c r="BE382" s="8" t="n"/>
      <c r="BF382" s="8" t="n"/>
      <c r="BG382" s="8" t="n"/>
      <c r="BH382" s="8" t="n"/>
      <c r="BI382" s="8" t="n"/>
      <c r="BJ382" s="153" t="n">
        <v>305</v>
      </c>
      <c r="BK382" s="153" t="inlineStr">
        <is>
          <t>FABRICACION DE OTROS PRODUCTOS DE PAPEL Y CARTON</t>
        </is>
      </c>
      <c r="BL382" s="153" t="n"/>
      <c r="BM382" s="153" t="n"/>
      <c r="BN382" s="153" t="n"/>
      <c r="BO382" s="153" t="n"/>
      <c r="BP382" s="153" t="n"/>
      <c r="BQ382" s="153" t="n"/>
      <c r="BR382" s="153" t="n"/>
      <c r="BS382" s="153" t="n"/>
      <c r="BT382" s="153" t="n"/>
      <c r="BU382" s="8" t="n"/>
      <c r="BV382" s="8" t="n"/>
      <c r="BW382" s="8" t="n"/>
      <c r="BX382" s="8" t="n"/>
      <c r="BY382" s="8" t="n"/>
      <c r="BZ382" s="8" t="n"/>
      <c r="CA382" s="8" t="n"/>
      <c r="CB382" s="8" t="n"/>
      <c r="CC382" s="8" t="n"/>
      <c r="CD382" s="8" t="n"/>
      <c r="CE382" s="8" t="n"/>
      <c r="CF382" s="8" t="n"/>
      <c r="CG382" s="8" t="n"/>
      <c r="CH382" s="8" t="n"/>
      <c r="CI382" s="8" t="n"/>
      <c r="CJ382" s="8" t="n"/>
      <c r="CK382" s="8" t="n"/>
      <c r="CL382" s="8" t="n"/>
      <c r="CM382" s="8" t="n"/>
      <c r="CN382" s="8" t="n"/>
      <c r="CO382" s="8" t="n"/>
      <c r="CP382" s="8" t="n"/>
      <c r="CQ382" s="8" t="n"/>
      <c r="CR382" s="8" t="n"/>
      <c r="CS382" s="8" t="n"/>
      <c r="CT382" s="8" t="n"/>
      <c r="CU382" s="8" t="n"/>
      <c r="CV382" s="8" t="n"/>
      <c r="CW382" s="8" t="n"/>
      <c r="CX382" s="8" t="n"/>
      <c r="CY382" s="8" t="n"/>
      <c r="CZ382" s="8" t="n"/>
      <c r="DA382" s="8" t="n"/>
      <c r="DB382" s="8" t="n"/>
      <c r="DC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8" t="n"/>
      <c r="AJ383" s="8" t="n"/>
      <c r="AK383" s="8" t="n"/>
      <c r="AL383" s="8" t="n"/>
      <c r="AM383" s="8" t="n"/>
      <c r="AN383" s="8" t="n"/>
      <c r="AO383" s="8" t="n"/>
      <c r="AP383" s="8" t="n"/>
      <c r="AQ383" s="8" t="n"/>
      <c r="AR383" s="8" t="n"/>
      <c r="AS383" s="8" t="n"/>
      <c r="AT383" s="8" t="n"/>
      <c r="AU383" s="8" t="n"/>
      <c r="AV383" s="8" t="n"/>
      <c r="AW383" s="8" t="n"/>
      <c r="AX383" s="8" t="n"/>
      <c r="AY383" s="8" t="n"/>
      <c r="AZ383" s="8" t="n"/>
      <c r="BA383" s="8" t="n"/>
      <c r="BB383" s="8" t="n"/>
      <c r="BC383" s="8" t="n"/>
      <c r="BD383" s="8" t="n"/>
      <c r="BE383" s="8" t="n"/>
      <c r="BF383" s="8" t="n"/>
      <c r="BG383" s="8" t="n"/>
      <c r="BH383" s="8" t="n"/>
      <c r="BI383" s="8" t="n"/>
      <c r="BJ383" s="153" t="n">
        <v>306</v>
      </c>
      <c r="BK383" s="153" t="inlineStr">
        <is>
          <t>IMPRESION DE LIBROS, PERIODICOS Y REVISTAS POR CONTRATO</t>
        </is>
      </c>
      <c r="BL383" s="153" t="n"/>
      <c r="BM383" s="153" t="n"/>
      <c r="BN383" s="153" t="n"/>
      <c r="BO383" s="153" t="n"/>
      <c r="BP383" s="153" t="n"/>
      <c r="BQ383" s="153" t="n"/>
      <c r="BR383" s="153" t="n"/>
      <c r="BS383" s="153" t="n"/>
      <c r="BT383" s="153" t="n"/>
      <c r="BU383" s="8" t="n"/>
      <c r="BV383" s="8" t="n"/>
      <c r="BW383" s="8" t="n"/>
      <c r="BX383" s="8" t="n"/>
      <c r="BY383" s="8" t="n"/>
      <c r="BZ383" s="8" t="n"/>
      <c r="CA383" s="8" t="n"/>
      <c r="CB383" s="8" t="n"/>
      <c r="CC383" s="8" t="n"/>
      <c r="CD383" s="8" t="n"/>
      <c r="CE383" s="8" t="n"/>
      <c r="CF383" s="8" t="n"/>
      <c r="CG383" s="8" t="n"/>
      <c r="CH383" s="8" t="n"/>
      <c r="CI383" s="8" t="n"/>
      <c r="CJ383" s="8" t="n"/>
      <c r="CK383" s="8" t="n"/>
      <c r="CL383" s="8" t="n"/>
      <c r="CM383" s="8" t="n"/>
      <c r="CN383" s="8" t="n"/>
      <c r="CO383" s="8" t="n"/>
      <c r="CP383" s="8" t="n"/>
      <c r="CQ383" s="8" t="n"/>
      <c r="CR383" s="8" t="n"/>
      <c r="CS383" s="8" t="n"/>
      <c r="CT383" s="8" t="n"/>
      <c r="CU383" s="8" t="n"/>
      <c r="CV383" s="8" t="n"/>
      <c r="CW383" s="8" t="n"/>
      <c r="CX383" s="8" t="n"/>
      <c r="CY383" s="8" t="n"/>
      <c r="CZ383" s="8" t="n"/>
      <c r="DA383" s="8" t="n"/>
      <c r="DB383" s="8" t="n"/>
      <c r="DC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  <c r="AC384" s="8" t="n"/>
      <c r="AD384" s="8" t="n"/>
      <c r="AE384" s="8" t="n"/>
      <c r="AF384" s="8" t="n"/>
      <c r="AG384" s="8" t="n"/>
      <c r="AH384" s="8" t="n"/>
      <c r="AI384" s="8" t="n"/>
      <c r="AJ384" s="8" t="n"/>
      <c r="AK384" s="8" t="n"/>
      <c r="AL384" s="8" t="n"/>
      <c r="AM384" s="8" t="n"/>
      <c r="AN384" s="8" t="n"/>
      <c r="AO384" s="8" t="n"/>
      <c r="AP384" s="8" t="n"/>
      <c r="AQ384" s="8" t="n"/>
      <c r="AR384" s="8" t="n"/>
      <c r="AS384" s="8" t="n"/>
      <c r="AT384" s="8" t="n"/>
      <c r="AU384" s="8" t="n"/>
      <c r="AV384" s="8" t="n"/>
      <c r="AW384" s="8" t="n"/>
      <c r="AX384" s="8" t="n"/>
      <c r="AY384" s="8" t="n"/>
      <c r="AZ384" s="8" t="n"/>
      <c r="BA384" s="8" t="n"/>
      <c r="BB384" s="8" t="n"/>
      <c r="BC384" s="8" t="n"/>
      <c r="BD384" s="8" t="n"/>
      <c r="BE384" s="8" t="n"/>
      <c r="BF384" s="8" t="n"/>
      <c r="BG384" s="8" t="n"/>
      <c r="BH384" s="8" t="n"/>
      <c r="BI384" s="8" t="n"/>
      <c r="BJ384" s="153" t="n">
        <v>308</v>
      </c>
      <c r="BK384" s="153" t="inlineStr">
        <is>
          <t>IMPRESION DE FORMAS CONTINUAS Y OTROS IMPRESOS</t>
        </is>
      </c>
      <c r="BL384" s="153" t="n"/>
      <c r="BM384" s="153" t="n"/>
      <c r="BN384" s="153" t="n"/>
      <c r="BO384" s="153" t="n"/>
      <c r="BP384" s="153" t="n"/>
      <c r="BQ384" s="153" t="n"/>
      <c r="BR384" s="153" t="n"/>
      <c r="BS384" s="153" t="n"/>
      <c r="BT384" s="153" t="n"/>
      <c r="BU384" s="8" t="n"/>
      <c r="BV384" s="8" t="n"/>
      <c r="BW384" s="8" t="n"/>
      <c r="BX384" s="8" t="n"/>
      <c r="BY384" s="8" t="n"/>
      <c r="BZ384" s="8" t="n"/>
      <c r="CA384" s="8" t="n"/>
      <c r="CB384" s="8" t="n"/>
      <c r="CC384" s="8" t="n"/>
      <c r="CD384" s="8" t="n"/>
      <c r="CE384" s="8" t="n"/>
      <c r="CF384" s="8" t="n"/>
      <c r="CG384" s="8" t="n"/>
      <c r="CH384" s="8" t="n"/>
      <c r="CI384" s="8" t="n"/>
      <c r="CJ384" s="8" t="n"/>
      <c r="CK384" s="8" t="n"/>
      <c r="CL384" s="8" t="n"/>
      <c r="CM384" s="8" t="n"/>
      <c r="CN384" s="8" t="n"/>
      <c r="CO384" s="8" t="n"/>
      <c r="CP384" s="8" t="n"/>
      <c r="CQ384" s="8" t="n"/>
      <c r="CR384" s="8" t="n"/>
      <c r="CS384" s="8" t="n"/>
      <c r="CT384" s="8" t="n"/>
      <c r="CU384" s="8" t="n"/>
      <c r="CV384" s="8" t="n"/>
      <c r="CW384" s="8" t="n"/>
      <c r="CX384" s="8" t="n"/>
      <c r="CY384" s="8" t="n"/>
      <c r="CZ384" s="8" t="n"/>
      <c r="DA384" s="8" t="n"/>
      <c r="DB384" s="8" t="n"/>
      <c r="DC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  <c r="AC385" s="8" t="n"/>
      <c r="AD385" s="8" t="n"/>
      <c r="AE385" s="8" t="n"/>
      <c r="AF385" s="8" t="n"/>
      <c r="AG385" s="8" t="n"/>
      <c r="AH385" s="8" t="n"/>
      <c r="AI385" s="8" t="n"/>
      <c r="AJ385" s="8" t="n"/>
      <c r="AK385" s="8" t="n"/>
      <c r="AL385" s="8" t="n"/>
      <c r="AM385" s="8" t="n"/>
      <c r="AN385" s="8" t="n"/>
      <c r="AO385" s="8" t="n"/>
      <c r="AP385" s="8" t="n"/>
      <c r="AQ385" s="8" t="n"/>
      <c r="AR385" s="8" t="n"/>
      <c r="AS385" s="8" t="n"/>
      <c r="AT385" s="8" t="n"/>
      <c r="AU385" s="8" t="n"/>
      <c r="AV385" s="8" t="n"/>
      <c r="AW385" s="8" t="n"/>
      <c r="AX385" s="8" t="n"/>
      <c r="AY385" s="8" t="n"/>
      <c r="AZ385" s="8" t="n"/>
      <c r="BA385" s="8" t="n"/>
      <c r="BB385" s="8" t="n"/>
      <c r="BC385" s="8" t="n"/>
      <c r="BD385" s="8" t="n"/>
      <c r="BE385" s="8" t="n"/>
      <c r="BF385" s="8" t="n"/>
      <c r="BG385" s="8" t="n"/>
      <c r="BH385" s="8" t="n"/>
      <c r="BI385" s="8" t="n"/>
      <c r="BJ385" s="153" t="n">
        <v>309</v>
      </c>
      <c r="BK385" s="153" t="inlineStr">
        <is>
          <t>INDUSTRIAS CONEXAS A LA IMPRESION, COMO LA ENCUADERNACION Y LA ELABORACION DE PLACAS, CLICHES, GRABADOS Y OTROS PRODUCTOS SIMILARES.</t>
        </is>
      </c>
      <c r="BL385" s="153" t="n"/>
      <c r="BM385" s="153" t="n"/>
      <c r="BN385" s="153" t="n"/>
      <c r="BO385" s="153" t="n"/>
      <c r="BP385" s="153" t="n"/>
      <c r="BQ385" s="153" t="n"/>
      <c r="BR385" s="153" t="n"/>
      <c r="BS385" s="153" t="n"/>
      <c r="BT385" s="153" t="n"/>
      <c r="BU385" s="8" t="n"/>
      <c r="BV385" s="8" t="n"/>
      <c r="BW385" s="8" t="n"/>
      <c r="BX385" s="8" t="n"/>
      <c r="BY385" s="8" t="n"/>
      <c r="BZ385" s="8" t="n"/>
      <c r="CA385" s="8" t="n"/>
      <c r="CB385" s="8" t="n"/>
      <c r="CC385" s="8" t="n"/>
      <c r="CD385" s="8" t="n"/>
      <c r="CE385" s="8" t="n"/>
      <c r="CF385" s="8" t="n"/>
      <c r="CG385" s="8" t="n"/>
      <c r="CH385" s="8" t="n"/>
      <c r="CI385" s="8" t="n"/>
      <c r="CJ385" s="8" t="n"/>
      <c r="CK385" s="8" t="n"/>
      <c r="CL385" s="8" t="n"/>
      <c r="CM385" s="8" t="n"/>
      <c r="CN385" s="8" t="n"/>
      <c r="CO385" s="8" t="n"/>
      <c r="CP385" s="8" t="n"/>
      <c r="CQ385" s="8" t="n"/>
      <c r="CR385" s="8" t="n"/>
      <c r="CS385" s="8" t="n"/>
      <c r="CT385" s="8" t="n"/>
      <c r="CU385" s="8" t="n"/>
      <c r="CV385" s="8" t="n"/>
      <c r="CW385" s="8" t="n"/>
      <c r="CX385" s="8" t="n"/>
      <c r="CY385" s="8" t="n"/>
      <c r="CZ385" s="8" t="n"/>
      <c r="DA385" s="8" t="n"/>
      <c r="DB385" s="8" t="n"/>
      <c r="DC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  <c r="AC386" s="8" t="n"/>
      <c r="AD386" s="8" t="n"/>
      <c r="AE386" s="8" t="n"/>
      <c r="AF386" s="8" t="n"/>
      <c r="AG386" s="8" t="n"/>
      <c r="AH386" s="8" t="n"/>
      <c r="AI386" s="8" t="n"/>
      <c r="AJ386" s="8" t="n"/>
      <c r="AK386" s="8" t="n"/>
      <c r="AL386" s="8" t="n"/>
      <c r="AM386" s="8" t="n"/>
      <c r="AN386" s="8" t="n"/>
      <c r="AO386" s="8" t="n"/>
      <c r="AP386" s="8" t="n"/>
      <c r="AQ386" s="8" t="n"/>
      <c r="AR386" s="8" t="n"/>
      <c r="AS386" s="8" t="n"/>
      <c r="AT386" s="8" t="n"/>
      <c r="AU386" s="8" t="n"/>
      <c r="AV386" s="8" t="n"/>
      <c r="AW386" s="8" t="n"/>
      <c r="AX386" s="8" t="n"/>
      <c r="AY386" s="8" t="n"/>
      <c r="AZ386" s="8" t="n"/>
      <c r="BA386" s="8" t="n"/>
      <c r="BB386" s="8" t="n"/>
      <c r="BC386" s="8" t="n"/>
      <c r="BD386" s="8" t="n"/>
      <c r="BE386" s="8" t="n"/>
      <c r="BF386" s="8" t="n"/>
      <c r="BG386" s="8" t="n"/>
      <c r="BH386" s="8" t="n"/>
      <c r="BI386" s="8" t="n"/>
      <c r="BJ386" s="153" t="n">
        <v>310</v>
      </c>
      <c r="BK386" s="153" t="inlineStr">
        <is>
          <t>REFINACION DE PETROLEO</t>
        </is>
      </c>
      <c r="BL386" s="153" t="n"/>
      <c r="BM386" s="153" t="n"/>
      <c r="BN386" s="153" t="n"/>
      <c r="BO386" s="153" t="n"/>
      <c r="BP386" s="153" t="n"/>
      <c r="BQ386" s="153" t="n"/>
      <c r="BR386" s="153" t="n"/>
      <c r="BS386" s="153" t="n"/>
      <c r="BT386" s="153" t="n"/>
      <c r="BU386" s="8" t="n"/>
      <c r="BV386" s="8" t="n"/>
      <c r="BW386" s="8" t="n"/>
      <c r="BX386" s="8" t="n"/>
      <c r="BY386" s="8" t="n"/>
      <c r="BZ386" s="8" t="n"/>
      <c r="CA386" s="8" t="n"/>
      <c r="CB386" s="8" t="n"/>
      <c r="CC386" s="8" t="n"/>
      <c r="CD386" s="8" t="n"/>
      <c r="CE386" s="8" t="n"/>
      <c r="CF386" s="8" t="n"/>
      <c r="CG386" s="8" t="n"/>
      <c r="CH386" s="8" t="n"/>
      <c r="CI386" s="8" t="n"/>
      <c r="CJ386" s="8" t="n"/>
      <c r="CK386" s="8" t="n"/>
      <c r="CL386" s="8" t="n"/>
      <c r="CM386" s="8" t="n"/>
      <c r="CN386" s="8" t="n"/>
      <c r="CO386" s="8" t="n"/>
      <c r="CP386" s="8" t="n"/>
      <c r="CQ386" s="8" t="n"/>
      <c r="CR386" s="8" t="n"/>
      <c r="CS386" s="8" t="n"/>
      <c r="CT386" s="8" t="n"/>
      <c r="CU386" s="8" t="n"/>
      <c r="CV386" s="8" t="n"/>
      <c r="CW386" s="8" t="n"/>
      <c r="CX386" s="8" t="n"/>
      <c r="CY386" s="8" t="n"/>
      <c r="CZ386" s="8" t="n"/>
      <c r="DA386" s="8" t="n"/>
      <c r="DB386" s="8" t="n"/>
      <c r="DC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  <c r="AC387" s="8" t="n"/>
      <c r="AD387" s="8" t="n"/>
      <c r="AE387" s="8" t="n"/>
      <c r="AF387" s="8" t="n"/>
      <c r="AG387" s="8" t="n"/>
      <c r="AH387" s="8" t="n"/>
      <c r="AI387" s="8" t="n"/>
      <c r="AJ387" s="8" t="n"/>
      <c r="AK387" s="8" t="n"/>
      <c r="AL387" s="8" t="n"/>
      <c r="AM387" s="8" t="n"/>
      <c r="AN387" s="8" t="n"/>
      <c r="AO387" s="8" t="n"/>
      <c r="AP387" s="8" t="n"/>
      <c r="AQ387" s="8" t="n"/>
      <c r="AR387" s="8" t="n"/>
      <c r="AS387" s="8" t="n"/>
      <c r="AT387" s="8" t="n"/>
      <c r="AU387" s="8" t="n"/>
      <c r="AV387" s="8" t="n"/>
      <c r="AW387" s="8" t="n"/>
      <c r="AX387" s="8" t="n"/>
      <c r="AY387" s="8" t="n"/>
      <c r="AZ387" s="8" t="n"/>
      <c r="BA387" s="8" t="n"/>
      <c r="BB387" s="8" t="n"/>
      <c r="BC387" s="8" t="n"/>
      <c r="BD387" s="8" t="n"/>
      <c r="BE387" s="8" t="n"/>
      <c r="BF387" s="8" t="n"/>
      <c r="BG387" s="8" t="n"/>
      <c r="BH387" s="8" t="n"/>
      <c r="BI387" s="8" t="n"/>
      <c r="BJ387" s="153" t="n">
        <v>311</v>
      </c>
      <c r="BK387" s="153" t="inlineStr">
        <is>
          <t>PRODUCCION, ELABORACION DE GASOLINA Y DIESEL (PEMEX)</t>
        </is>
      </c>
      <c r="BL387" s="153" t="n"/>
      <c r="BM387" s="153" t="n"/>
      <c r="BN387" s="153" t="n"/>
      <c r="BO387" s="153" t="n"/>
      <c r="BP387" s="153" t="n"/>
      <c r="BQ387" s="153" t="n"/>
      <c r="BR387" s="153" t="n"/>
      <c r="BS387" s="153" t="n"/>
      <c r="BT387" s="153" t="n"/>
      <c r="BU387" s="8" t="n"/>
      <c r="BV387" s="8" t="n"/>
      <c r="BW387" s="8" t="n"/>
      <c r="BX387" s="8" t="n"/>
      <c r="BY387" s="8" t="n"/>
      <c r="BZ387" s="8" t="n"/>
      <c r="CA387" s="8" t="n"/>
      <c r="CB387" s="8" t="n"/>
      <c r="CC387" s="8" t="n"/>
      <c r="CD387" s="8" t="n"/>
      <c r="CE387" s="8" t="n"/>
      <c r="CF387" s="8" t="n"/>
      <c r="CG387" s="8" t="n"/>
      <c r="CH387" s="8" t="n"/>
      <c r="CI387" s="8" t="n"/>
      <c r="CJ387" s="8" t="n"/>
      <c r="CK387" s="8" t="n"/>
      <c r="CL387" s="8" t="n"/>
      <c r="CM387" s="8" t="n"/>
      <c r="CN387" s="8" t="n"/>
      <c r="CO387" s="8" t="n"/>
      <c r="CP387" s="8" t="n"/>
      <c r="CQ387" s="8" t="n"/>
      <c r="CR387" s="8" t="n"/>
      <c r="CS387" s="8" t="n"/>
      <c r="CT387" s="8" t="n"/>
      <c r="CU387" s="8" t="n"/>
      <c r="CV387" s="8" t="n"/>
      <c r="CW387" s="8" t="n"/>
      <c r="CX387" s="8" t="n"/>
      <c r="CY387" s="8" t="n"/>
      <c r="CZ387" s="8" t="n"/>
      <c r="DA387" s="8" t="n"/>
      <c r="DB387" s="8" t="n"/>
      <c r="DC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  <c r="AC388" s="8" t="n"/>
      <c r="AD388" s="8" t="n"/>
      <c r="AE388" s="8" t="n"/>
      <c r="AF388" s="8" t="n"/>
      <c r="AG388" s="8" t="n"/>
      <c r="AH388" s="8" t="n"/>
      <c r="AI388" s="8" t="n"/>
      <c r="AJ388" s="8" t="n"/>
      <c r="AK388" s="8" t="n"/>
      <c r="AL388" s="8" t="n"/>
      <c r="AM388" s="8" t="n"/>
      <c r="AN388" s="8" t="n"/>
      <c r="AO388" s="8" t="n"/>
      <c r="AP388" s="8" t="n"/>
      <c r="AQ388" s="8" t="n"/>
      <c r="AR388" s="8" t="n"/>
      <c r="AS388" s="8" t="n"/>
      <c r="AT388" s="8" t="n"/>
      <c r="AU388" s="8" t="n"/>
      <c r="AV388" s="8" t="n"/>
      <c r="AW388" s="8" t="n"/>
      <c r="AX388" s="8" t="n"/>
      <c r="AY388" s="8" t="n"/>
      <c r="AZ388" s="8" t="n"/>
      <c r="BA388" s="8" t="n"/>
      <c r="BB388" s="8" t="n"/>
      <c r="BC388" s="8" t="n"/>
      <c r="BD388" s="8" t="n"/>
      <c r="BE388" s="8" t="n"/>
      <c r="BF388" s="8" t="n"/>
      <c r="BG388" s="8" t="n"/>
      <c r="BH388" s="8" t="n"/>
      <c r="BI388" s="8" t="n"/>
      <c r="BJ388" s="153" t="n">
        <v>312</v>
      </c>
      <c r="BK388" s="153" t="inlineStr">
        <is>
          <t>FABRICACION DE PRODUCTOS DE ASFALTO</t>
        </is>
      </c>
      <c r="BL388" s="153" t="n"/>
      <c r="BM388" s="153" t="n"/>
      <c r="BN388" s="153" t="n"/>
      <c r="BO388" s="153" t="n"/>
      <c r="BP388" s="153" t="n"/>
      <c r="BQ388" s="153" t="n"/>
      <c r="BR388" s="153" t="n"/>
      <c r="BS388" s="153" t="n"/>
      <c r="BT388" s="153" t="n"/>
      <c r="BU388" s="8" t="n"/>
      <c r="BV388" s="8" t="n"/>
      <c r="BW388" s="8" t="n"/>
      <c r="BX388" s="8" t="n"/>
      <c r="BY388" s="8" t="n"/>
      <c r="BZ388" s="8" t="n"/>
      <c r="CA388" s="8" t="n"/>
      <c r="CB388" s="8" t="n"/>
      <c r="CC388" s="8" t="n"/>
      <c r="CD388" s="8" t="n"/>
      <c r="CE388" s="8" t="n"/>
      <c r="CF388" s="8" t="n"/>
      <c r="CG388" s="8" t="n"/>
      <c r="CH388" s="8" t="n"/>
      <c r="CI388" s="8" t="n"/>
      <c r="CJ388" s="8" t="n"/>
      <c r="CK388" s="8" t="n"/>
      <c r="CL388" s="8" t="n"/>
      <c r="CM388" s="8" t="n"/>
      <c r="CN388" s="8" t="n"/>
      <c r="CO388" s="8" t="n"/>
      <c r="CP388" s="8" t="n"/>
      <c r="CQ388" s="8" t="n"/>
      <c r="CR388" s="8" t="n"/>
      <c r="CS388" s="8" t="n"/>
      <c r="CT388" s="8" t="n"/>
      <c r="CU388" s="8" t="n"/>
      <c r="CV388" s="8" t="n"/>
      <c r="CW388" s="8" t="n"/>
      <c r="CX388" s="8" t="n"/>
      <c r="CY388" s="8" t="n"/>
      <c r="CZ388" s="8" t="n"/>
      <c r="DA388" s="8" t="n"/>
      <c r="DB388" s="8" t="n"/>
      <c r="DC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8" t="n"/>
      <c r="AJ389" s="8" t="n"/>
      <c r="AK389" s="8" t="n"/>
      <c r="AL389" s="8" t="n"/>
      <c r="AM389" s="8" t="n"/>
      <c r="AN389" s="8" t="n"/>
      <c r="AO389" s="8" t="n"/>
      <c r="AP389" s="8" t="n"/>
      <c r="AQ389" s="8" t="n"/>
      <c r="AR389" s="8" t="n"/>
      <c r="AS389" s="8" t="n"/>
      <c r="AT389" s="8" t="n"/>
      <c r="AU389" s="8" t="n"/>
      <c r="AV389" s="8" t="n"/>
      <c r="AW389" s="8" t="n"/>
      <c r="AX389" s="8" t="n"/>
      <c r="AY389" s="8" t="n"/>
      <c r="AZ389" s="8" t="n"/>
      <c r="BA389" s="8" t="n"/>
      <c r="BB389" s="8" t="n"/>
      <c r="BC389" s="8" t="n"/>
      <c r="BD389" s="8" t="n"/>
      <c r="BE389" s="8" t="n"/>
      <c r="BF389" s="8" t="n"/>
      <c r="BG389" s="8" t="n"/>
      <c r="BH389" s="8" t="n"/>
      <c r="BI389" s="8" t="n"/>
      <c r="BJ389" s="153" t="n">
        <v>313</v>
      </c>
      <c r="BK389" s="153" t="inlineStr">
        <is>
          <t>FABRICACION DE ACEITES Y GRASAS LUBRICANTES</t>
        </is>
      </c>
      <c r="BL389" s="153" t="n"/>
      <c r="BM389" s="153" t="n"/>
      <c r="BN389" s="153" t="n"/>
      <c r="BO389" s="153" t="n"/>
      <c r="BP389" s="153" t="n"/>
      <c r="BQ389" s="153" t="n"/>
      <c r="BR389" s="153" t="n"/>
      <c r="BS389" s="153" t="n"/>
      <c r="BT389" s="153" t="n"/>
      <c r="BU389" s="8" t="n"/>
      <c r="BV389" s="8" t="n"/>
      <c r="BW389" s="8" t="n"/>
      <c r="BX389" s="8" t="n"/>
      <c r="BY389" s="8" t="n"/>
      <c r="BZ389" s="8" t="n"/>
      <c r="CA389" s="8" t="n"/>
      <c r="CB389" s="8" t="n"/>
      <c r="CC389" s="8" t="n"/>
      <c r="CD389" s="8" t="n"/>
      <c r="CE389" s="8" t="n"/>
      <c r="CF389" s="8" t="n"/>
      <c r="CG389" s="8" t="n"/>
      <c r="CH389" s="8" t="n"/>
      <c r="CI389" s="8" t="n"/>
      <c r="CJ389" s="8" t="n"/>
      <c r="CK389" s="8" t="n"/>
      <c r="CL389" s="8" t="n"/>
      <c r="CM389" s="8" t="n"/>
      <c r="CN389" s="8" t="n"/>
      <c r="CO389" s="8" t="n"/>
      <c r="CP389" s="8" t="n"/>
      <c r="CQ389" s="8" t="n"/>
      <c r="CR389" s="8" t="n"/>
      <c r="CS389" s="8" t="n"/>
      <c r="CT389" s="8" t="n"/>
      <c r="CU389" s="8" t="n"/>
      <c r="CV389" s="8" t="n"/>
      <c r="CW389" s="8" t="n"/>
      <c r="CX389" s="8" t="n"/>
      <c r="CY389" s="8" t="n"/>
      <c r="CZ389" s="8" t="n"/>
      <c r="DA389" s="8" t="n"/>
      <c r="DB389" s="8" t="n"/>
      <c r="DC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  <c r="AC390" s="8" t="n"/>
      <c r="AD390" s="8" t="n"/>
      <c r="AE390" s="8" t="n"/>
      <c r="AF390" s="8" t="n"/>
      <c r="AG390" s="8" t="n"/>
      <c r="AH390" s="8" t="n"/>
      <c r="AI390" s="8" t="n"/>
      <c r="AJ390" s="8" t="n"/>
      <c r="AK390" s="8" t="n"/>
      <c r="AL390" s="8" t="n"/>
      <c r="AM390" s="8" t="n"/>
      <c r="AN390" s="8" t="n"/>
      <c r="AO390" s="8" t="n"/>
      <c r="AP390" s="8" t="n"/>
      <c r="AQ390" s="8" t="n"/>
      <c r="AR390" s="8" t="n"/>
      <c r="AS390" s="8" t="n"/>
      <c r="AT390" s="8" t="n"/>
      <c r="AU390" s="8" t="n"/>
      <c r="AV390" s="8" t="n"/>
      <c r="AW390" s="8" t="n"/>
      <c r="AX390" s="8" t="n"/>
      <c r="AY390" s="8" t="n"/>
      <c r="AZ390" s="8" t="n"/>
      <c r="BA390" s="8" t="n"/>
      <c r="BB390" s="8" t="n"/>
      <c r="BC390" s="8" t="n"/>
      <c r="BD390" s="8" t="n"/>
      <c r="BE390" s="8" t="n"/>
      <c r="BF390" s="8" t="n"/>
      <c r="BG390" s="8" t="n"/>
      <c r="BH390" s="8" t="n"/>
      <c r="BI390" s="8" t="n"/>
      <c r="BJ390" s="153" t="n">
        <v>314</v>
      </c>
      <c r="BK390" s="153" t="inlineStr">
        <is>
          <t>FABRICACION DE COQUE Y OTROS PRODUCTOS DERIVADOS DEL PETROLEO Y DEL CARBON</t>
        </is>
      </c>
      <c r="BL390" s="153" t="n"/>
      <c r="BM390" s="153" t="n"/>
      <c r="BN390" s="153" t="n"/>
      <c r="BO390" s="153" t="n"/>
      <c r="BP390" s="153" t="n"/>
      <c r="BQ390" s="153" t="n"/>
      <c r="BR390" s="153" t="n"/>
      <c r="BS390" s="153" t="n"/>
      <c r="BT390" s="153" t="n"/>
      <c r="BU390" s="8" t="n"/>
      <c r="BV390" s="8" t="n"/>
      <c r="BW390" s="8" t="n"/>
      <c r="BX390" s="8" t="n"/>
      <c r="BY390" s="8" t="n"/>
      <c r="BZ390" s="8" t="n"/>
      <c r="CA390" s="8" t="n"/>
      <c r="CB390" s="8" t="n"/>
      <c r="CC390" s="8" t="n"/>
      <c r="CD390" s="8" t="n"/>
      <c r="CE390" s="8" t="n"/>
      <c r="CF390" s="8" t="n"/>
      <c r="CG390" s="8" t="n"/>
      <c r="CH390" s="8" t="n"/>
      <c r="CI390" s="8" t="n"/>
      <c r="CJ390" s="8" t="n"/>
      <c r="CK390" s="8" t="n"/>
      <c r="CL390" s="8" t="n"/>
      <c r="CM390" s="8" t="n"/>
      <c r="CN390" s="8" t="n"/>
      <c r="CO390" s="8" t="n"/>
      <c r="CP390" s="8" t="n"/>
      <c r="CQ390" s="8" t="n"/>
      <c r="CR390" s="8" t="n"/>
      <c r="CS390" s="8" t="n"/>
      <c r="CT390" s="8" t="n"/>
      <c r="CU390" s="8" t="n"/>
      <c r="CV390" s="8" t="n"/>
      <c r="CW390" s="8" t="n"/>
      <c r="CX390" s="8" t="n"/>
      <c r="CY390" s="8" t="n"/>
      <c r="CZ390" s="8" t="n"/>
      <c r="DA390" s="8" t="n"/>
      <c r="DB390" s="8" t="n"/>
      <c r="DC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  <c r="AC391" s="8" t="n"/>
      <c r="AD391" s="8" t="n"/>
      <c r="AE391" s="8" t="n"/>
      <c r="AF391" s="8" t="n"/>
      <c r="AG391" s="8" t="n"/>
      <c r="AH391" s="8" t="n"/>
      <c r="AI391" s="8" t="n"/>
      <c r="AJ391" s="8" t="n"/>
      <c r="AK391" s="8" t="n"/>
      <c r="AL391" s="8" t="n"/>
      <c r="AM391" s="8" t="n"/>
      <c r="AN391" s="8" t="n"/>
      <c r="AO391" s="8" t="n"/>
      <c r="AP391" s="8" t="n"/>
      <c r="AQ391" s="8" t="n"/>
      <c r="AR391" s="8" t="n"/>
      <c r="AS391" s="8" t="n"/>
      <c r="AT391" s="8" t="n"/>
      <c r="AU391" s="8" t="n"/>
      <c r="AV391" s="8" t="n"/>
      <c r="AW391" s="8" t="n"/>
      <c r="AX391" s="8" t="n"/>
      <c r="AY391" s="8" t="n"/>
      <c r="AZ391" s="8" t="n"/>
      <c r="BA391" s="8" t="n"/>
      <c r="BB391" s="8" t="n"/>
      <c r="BC391" s="8" t="n"/>
      <c r="BD391" s="8" t="n"/>
      <c r="BE391" s="8" t="n"/>
      <c r="BF391" s="8" t="n"/>
      <c r="BG391" s="8" t="n"/>
      <c r="BH391" s="8" t="n"/>
      <c r="BI391" s="8" t="n"/>
      <c r="BJ391" s="153" t="n">
        <v>315</v>
      </c>
      <c r="BK391" s="153" t="inlineStr">
        <is>
          <t>FABRICACION DE PRODUCTOS PETROQUIMICOS</t>
        </is>
      </c>
      <c r="BL391" s="153" t="n"/>
      <c r="BM391" s="153" t="n"/>
      <c r="BN391" s="153" t="n"/>
      <c r="BO391" s="153" t="n"/>
      <c r="BP391" s="153" t="n"/>
      <c r="BQ391" s="153" t="n"/>
      <c r="BR391" s="153" t="n"/>
      <c r="BS391" s="153" t="n"/>
      <c r="BT391" s="153" t="n"/>
      <c r="BU391" s="8" t="n"/>
      <c r="BV391" s="8" t="n"/>
      <c r="BW391" s="8" t="n"/>
      <c r="BX391" s="8" t="n"/>
      <c r="BY391" s="8" t="n"/>
      <c r="BZ391" s="8" t="n"/>
      <c r="CA391" s="8" t="n"/>
      <c r="CB391" s="8" t="n"/>
      <c r="CC391" s="8" t="n"/>
      <c r="CD391" s="8" t="n"/>
      <c r="CE391" s="8" t="n"/>
      <c r="CF391" s="8" t="n"/>
      <c r="CG391" s="8" t="n"/>
      <c r="CH391" s="8" t="n"/>
      <c r="CI391" s="8" t="n"/>
      <c r="CJ391" s="8" t="n"/>
      <c r="CK391" s="8" t="n"/>
      <c r="CL391" s="8" t="n"/>
      <c r="CM391" s="8" t="n"/>
      <c r="CN391" s="8" t="n"/>
      <c r="CO391" s="8" t="n"/>
      <c r="CP391" s="8" t="n"/>
      <c r="CQ391" s="8" t="n"/>
      <c r="CR391" s="8" t="n"/>
      <c r="CS391" s="8" t="n"/>
      <c r="CT391" s="8" t="n"/>
      <c r="CU391" s="8" t="n"/>
      <c r="CV391" s="8" t="n"/>
      <c r="CW391" s="8" t="n"/>
      <c r="CX391" s="8" t="n"/>
      <c r="CY391" s="8" t="n"/>
      <c r="CZ391" s="8" t="n"/>
      <c r="DA391" s="8" t="n"/>
      <c r="DB391" s="8" t="n"/>
      <c r="DC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  <c r="AC392" s="8" t="n"/>
      <c r="AD392" s="8" t="n"/>
      <c r="AE392" s="8" t="n"/>
      <c r="AF392" s="8" t="n"/>
      <c r="AG392" s="8" t="n"/>
      <c r="AH392" s="8" t="n"/>
      <c r="AI392" s="8" t="n"/>
      <c r="AJ392" s="8" t="n"/>
      <c r="AK392" s="8" t="n"/>
      <c r="AL392" s="8" t="n"/>
      <c r="AM392" s="8" t="n"/>
      <c r="AN392" s="8" t="n"/>
      <c r="AO392" s="8" t="n"/>
      <c r="AP392" s="8" t="n"/>
      <c r="AQ392" s="8" t="n"/>
      <c r="AR392" s="8" t="n"/>
      <c r="AS392" s="8" t="n"/>
      <c r="AT392" s="8" t="n"/>
      <c r="AU392" s="8" t="n"/>
      <c r="AV392" s="8" t="n"/>
      <c r="AW392" s="8" t="n"/>
      <c r="AX392" s="8" t="n"/>
      <c r="AY392" s="8" t="n"/>
      <c r="AZ392" s="8" t="n"/>
      <c r="BA392" s="8" t="n"/>
      <c r="BB392" s="8" t="n"/>
      <c r="BC392" s="8" t="n"/>
      <c r="BD392" s="8" t="n"/>
      <c r="BE392" s="8" t="n"/>
      <c r="BF392" s="8" t="n"/>
      <c r="BG392" s="8" t="n"/>
      <c r="BH392" s="8" t="n"/>
      <c r="BI392" s="8" t="n"/>
      <c r="BJ392" s="153" t="n">
        <v>316</v>
      </c>
      <c r="BK392" s="153" t="inlineStr">
        <is>
          <t>FABRICACION DE GASES INDUSTRIALES</t>
        </is>
      </c>
      <c r="BL392" s="153" t="n"/>
      <c r="BM392" s="153" t="n"/>
      <c r="BN392" s="153" t="n"/>
      <c r="BO392" s="153" t="n"/>
      <c r="BP392" s="153" t="n"/>
      <c r="BQ392" s="153" t="n"/>
      <c r="BR392" s="153" t="n"/>
      <c r="BS392" s="153" t="n"/>
      <c r="BT392" s="153" t="n"/>
      <c r="BU392" s="8" t="n"/>
      <c r="BV392" s="8" t="n"/>
      <c r="BW392" s="8" t="n"/>
      <c r="BX392" s="8" t="n"/>
      <c r="BY392" s="8" t="n"/>
      <c r="BZ392" s="8" t="n"/>
      <c r="CA392" s="8" t="n"/>
      <c r="CB392" s="8" t="n"/>
      <c r="CC392" s="8" t="n"/>
      <c r="CD392" s="8" t="n"/>
      <c r="CE392" s="8" t="n"/>
      <c r="CF392" s="8" t="n"/>
      <c r="CG392" s="8" t="n"/>
      <c r="CH392" s="8" t="n"/>
      <c r="CI392" s="8" t="n"/>
      <c r="CJ392" s="8" t="n"/>
      <c r="CK392" s="8" t="n"/>
      <c r="CL392" s="8" t="n"/>
      <c r="CM392" s="8" t="n"/>
      <c r="CN392" s="8" t="n"/>
      <c r="CO392" s="8" t="n"/>
      <c r="CP392" s="8" t="n"/>
      <c r="CQ392" s="8" t="n"/>
      <c r="CR392" s="8" t="n"/>
      <c r="CS392" s="8" t="n"/>
      <c r="CT392" s="8" t="n"/>
      <c r="CU392" s="8" t="n"/>
      <c r="CV392" s="8" t="n"/>
      <c r="CW392" s="8" t="n"/>
      <c r="CX392" s="8" t="n"/>
      <c r="CY392" s="8" t="n"/>
      <c r="CZ392" s="8" t="n"/>
      <c r="DA392" s="8" t="n"/>
      <c r="DB392" s="8" t="n"/>
      <c r="DC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8" t="n"/>
      <c r="AJ393" s="8" t="n"/>
      <c r="AK393" s="8" t="n"/>
      <c r="AL393" s="8" t="n"/>
      <c r="AM393" s="8" t="n"/>
      <c r="AN393" s="8" t="n"/>
      <c r="AO393" s="8" t="n"/>
      <c r="AP393" s="8" t="n"/>
      <c r="AQ393" s="8" t="n"/>
      <c r="AR393" s="8" t="n"/>
      <c r="AS393" s="8" t="n"/>
      <c r="AT393" s="8" t="n"/>
      <c r="AU393" s="8" t="n"/>
      <c r="AV393" s="8" t="n"/>
      <c r="AW393" s="8" t="n"/>
      <c r="AX393" s="8" t="n"/>
      <c r="AY393" s="8" t="n"/>
      <c r="AZ393" s="8" t="n"/>
      <c r="BA393" s="8" t="n"/>
      <c r="BB393" s="8" t="n"/>
      <c r="BC393" s="8" t="n"/>
      <c r="BD393" s="8" t="n"/>
      <c r="BE393" s="8" t="n"/>
      <c r="BF393" s="8" t="n"/>
      <c r="BG393" s="8" t="n"/>
      <c r="BH393" s="8" t="n"/>
      <c r="BI393" s="8" t="n"/>
      <c r="BJ393" s="153" t="n">
        <v>317</v>
      </c>
      <c r="BK393" s="153" t="inlineStr">
        <is>
          <t>FABRICACION DE PIGMENTOS Y COLORANTES SINTETICOS</t>
        </is>
      </c>
      <c r="BL393" s="153" t="n"/>
      <c r="BM393" s="153" t="n"/>
      <c r="BN393" s="153" t="n"/>
      <c r="BO393" s="153" t="n"/>
      <c r="BP393" s="153" t="n"/>
      <c r="BQ393" s="153" t="n"/>
      <c r="BR393" s="153" t="n"/>
      <c r="BS393" s="153" t="n"/>
      <c r="BT393" s="153" t="n"/>
      <c r="BU393" s="8" t="n"/>
      <c r="BV393" s="8" t="n"/>
      <c r="BW393" s="8" t="n"/>
      <c r="BX393" s="8" t="n"/>
      <c r="BY393" s="8" t="n"/>
      <c r="BZ393" s="8" t="n"/>
      <c r="CA393" s="8" t="n"/>
      <c r="CB393" s="8" t="n"/>
      <c r="CC393" s="8" t="n"/>
      <c r="CD393" s="8" t="n"/>
      <c r="CE393" s="8" t="n"/>
      <c r="CF393" s="8" t="n"/>
      <c r="CG393" s="8" t="n"/>
      <c r="CH393" s="8" t="n"/>
      <c r="CI393" s="8" t="n"/>
      <c r="CJ393" s="8" t="n"/>
      <c r="CK393" s="8" t="n"/>
      <c r="CL393" s="8" t="n"/>
      <c r="CM393" s="8" t="n"/>
      <c r="CN393" s="8" t="n"/>
      <c r="CO393" s="8" t="n"/>
      <c r="CP393" s="8" t="n"/>
      <c r="CQ393" s="8" t="n"/>
      <c r="CR393" s="8" t="n"/>
      <c r="CS393" s="8" t="n"/>
      <c r="CT393" s="8" t="n"/>
      <c r="CU393" s="8" t="n"/>
      <c r="CV393" s="8" t="n"/>
      <c r="CW393" s="8" t="n"/>
      <c r="CX393" s="8" t="n"/>
      <c r="CY393" s="8" t="n"/>
      <c r="CZ393" s="8" t="n"/>
      <c r="DA393" s="8" t="n"/>
      <c r="DB393" s="8" t="n"/>
      <c r="DC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  <c r="AC394" s="8" t="n"/>
      <c r="AD394" s="8" t="n"/>
      <c r="AE394" s="8" t="n"/>
      <c r="AF394" s="8" t="n"/>
      <c r="AG394" s="8" t="n"/>
      <c r="AH394" s="8" t="n"/>
      <c r="AI394" s="8" t="n"/>
      <c r="AJ394" s="8" t="n"/>
      <c r="AK394" s="8" t="n"/>
      <c r="AL394" s="8" t="n"/>
      <c r="AM394" s="8" t="n"/>
      <c r="AN394" s="8" t="n"/>
      <c r="AO394" s="8" t="n"/>
      <c r="AP394" s="8" t="n"/>
      <c r="AQ394" s="8" t="n"/>
      <c r="AR394" s="8" t="n"/>
      <c r="AS394" s="8" t="n"/>
      <c r="AT394" s="8" t="n"/>
      <c r="AU394" s="8" t="n"/>
      <c r="AV394" s="8" t="n"/>
      <c r="AW394" s="8" t="n"/>
      <c r="AX394" s="8" t="n"/>
      <c r="AY394" s="8" t="n"/>
      <c r="AZ394" s="8" t="n"/>
      <c r="BA394" s="8" t="n"/>
      <c r="BB394" s="8" t="n"/>
      <c r="BC394" s="8" t="n"/>
      <c r="BD394" s="8" t="n"/>
      <c r="BE394" s="8" t="n"/>
      <c r="BF394" s="8" t="n"/>
      <c r="BG394" s="8" t="n"/>
      <c r="BH394" s="8" t="n"/>
      <c r="BI394" s="8" t="n"/>
      <c r="BJ394" s="153" t="n">
        <v>318</v>
      </c>
      <c r="BK394" s="153" t="inlineStr">
        <is>
          <t>FABRICACION DE OTROS PRODUCTOS QUIMICOS BASICOS INORGANICOS</t>
        </is>
      </c>
      <c r="BL394" s="153" t="n"/>
      <c r="BM394" s="153" t="n"/>
      <c r="BN394" s="153" t="n"/>
      <c r="BO394" s="153" t="n"/>
      <c r="BP394" s="153" t="n"/>
      <c r="BQ394" s="153" t="n"/>
      <c r="BR394" s="153" t="n"/>
      <c r="BS394" s="153" t="n"/>
      <c r="BT394" s="153" t="n"/>
      <c r="BU394" s="8" t="n"/>
      <c r="BV394" s="8" t="n"/>
      <c r="BW394" s="8" t="n"/>
      <c r="BX394" s="8" t="n"/>
      <c r="BY394" s="8" t="n"/>
      <c r="BZ394" s="8" t="n"/>
      <c r="CA394" s="8" t="n"/>
      <c r="CB394" s="8" t="n"/>
      <c r="CC394" s="8" t="n"/>
      <c r="CD394" s="8" t="n"/>
      <c r="CE394" s="8" t="n"/>
      <c r="CF394" s="8" t="n"/>
      <c r="CG394" s="8" t="n"/>
      <c r="CH394" s="8" t="n"/>
      <c r="CI394" s="8" t="n"/>
      <c r="CJ394" s="8" t="n"/>
      <c r="CK394" s="8" t="n"/>
      <c r="CL394" s="8" t="n"/>
      <c r="CM394" s="8" t="n"/>
      <c r="CN394" s="8" t="n"/>
      <c r="CO394" s="8" t="n"/>
      <c r="CP394" s="8" t="n"/>
      <c r="CQ394" s="8" t="n"/>
      <c r="CR394" s="8" t="n"/>
      <c r="CS394" s="8" t="n"/>
      <c r="CT394" s="8" t="n"/>
      <c r="CU394" s="8" t="n"/>
      <c r="CV394" s="8" t="n"/>
      <c r="CW394" s="8" t="n"/>
      <c r="CX394" s="8" t="n"/>
      <c r="CY394" s="8" t="n"/>
      <c r="CZ394" s="8" t="n"/>
      <c r="DA394" s="8" t="n"/>
      <c r="DB394" s="8" t="n"/>
      <c r="DC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  <c r="AC395" s="8" t="n"/>
      <c r="AD395" s="8" t="n"/>
      <c r="AE395" s="8" t="n"/>
      <c r="AF395" s="8" t="n"/>
      <c r="AG395" s="8" t="n"/>
      <c r="AH395" s="8" t="n"/>
      <c r="AI395" s="8" t="n"/>
      <c r="AJ395" s="8" t="n"/>
      <c r="AK395" s="8" t="n"/>
      <c r="AL395" s="8" t="n"/>
      <c r="AM395" s="8" t="n"/>
      <c r="AN395" s="8" t="n"/>
      <c r="AO395" s="8" t="n"/>
      <c r="AP395" s="8" t="n"/>
      <c r="AQ395" s="8" t="n"/>
      <c r="AR395" s="8" t="n"/>
      <c r="AS395" s="8" t="n"/>
      <c r="AT395" s="8" t="n"/>
      <c r="AU395" s="8" t="n"/>
      <c r="AV395" s="8" t="n"/>
      <c r="AW395" s="8" t="n"/>
      <c r="AX395" s="8" t="n"/>
      <c r="AY395" s="8" t="n"/>
      <c r="AZ395" s="8" t="n"/>
      <c r="BA395" s="8" t="n"/>
      <c r="BB395" s="8" t="n"/>
      <c r="BC395" s="8" t="n"/>
      <c r="BD395" s="8" t="n"/>
      <c r="BE395" s="8" t="n"/>
      <c r="BF395" s="8" t="n"/>
      <c r="BG395" s="8" t="n"/>
      <c r="BH395" s="8" t="n"/>
      <c r="BI395" s="8" t="n"/>
      <c r="BJ395" s="153" t="n">
        <v>319</v>
      </c>
      <c r="BK395" s="153" t="inlineStr">
        <is>
          <t>FABRICACION DE OTROS PRODUCTOS QUIMICOS BASICOS ORGANICOS</t>
        </is>
      </c>
      <c r="BL395" s="153" t="n"/>
      <c r="BM395" s="153" t="n"/>
      <c r="BN395" s="153" t="n"/>
      <c r="BO395" s="153" t="n"/>
      <c r="BP395" s="153" t="n"/>
      <c r="BQ395" s="153" t="n"/>
      <c r="BR395" s="153" t="n"/>
      <c r="BS395" s="153" t="n"/>
      <c r="BT395" s="153" t="n"/>
      <c r="BU395" s="8" t="n"/>
      <c r="BV395" s="8" t="n"/>
      <c r="BW395" s="8" t="n"/>
      <c r="BX395" s="8" t="n"/>
      <c r="BY395" s="8" t="n"/>
      <c r="BZ395" s="8" t="n"/>
      <c r="CA395" s="8" t="n"/>
      <c r="CB395" s="8" t="n"/>
      <c r="CC395" s="8" t="n"/>
      <c r="CD395" s="8" t="n"/>
      <c r="CE395" s="8" t="n"/>
      <c r="CF395" s="8" t="n"/>
      <c r="CG395" s="8" t="n"/>
      <c r="CH395" s="8" t="n"/>
      <c r="CI395" s="8" t="n"/>
      <c r="CJ395" s="8" t="n"/>
      <c r="CK395" s="8" t="n"/>
      <c r="CL395" s="8" t="n"/>
      <c r="CM395" s="8" t="n"/>
      <c r="CN395" s="8" t="n"/>
      <c r="CO395" s="8" t="n"/>
      <c r="CP395" s="8" t="n"/>
      <c r="CQ395" s="8" t="n"/>
      <c r="CR395" s="8" t="n"/>
      <c r="CS395" s="8" t="n"/>
      <c r="CT395" s="8" t="n"/>
      <c r="CU395" s="8" t="n"/>
      <c r="CV395" s="8" t="n"/>
      <c r="CW395" s="8" t="n"/>
      <c r="CX395" s="8" t="n"/>
      <c r="CY395" s="8" t="n"/>
      <c r="CZ395" s="8" t="n"/>
      <c r="DA395" s="8" t="n"/>
      <c r="DB395" s="8" t="n"/>
      <c r="DC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  <c r="AC396" s="8" t="n"/>
      <c r="AD396" s="8" t="n"/>
      <c r="AE396" s="8" t="n"/>
      <c r="AF396" s="8" t="n"/>
      <c r="AG396" s="8" t="n"/>
      <c r="AH396" s="8" t="n"/>
      <c r="AI396" s="8" t="n"/>
      <c r="AJ396" s="8" t="n"/>
      <c r="AK396" s="8" t="n"/>
      <c r="AL396" s="8" t="n"/>
      <c r="AM396" s="8" t="n"/>
      <c r="AN396" s="8" t="n"/>
      <c r="AO396" s="8" t="n"/>
      <c r="AP396" s="8" t="n"/>
      <c r="AQ396" s="8" t="n"/>
      <c r="AR396" s="8" t="n"/>
      <c r="AS396" s="8" t="n"/>
      <c r="AT396" s="8" t="n"/>
      <c r="AU396" s="8" t="n"/>
      <c r="AV396" s="8" t="n"/>
      <c r="AW396" s="8" t="n"/>
      <c r="AX396" s="8" t="n"/>
      <c r="AY396" s="8" t="n"/>
      <c r="AZ396" s="8" t="n"/>
      <c r="BA396" s="8" t="n"/>
      <c r="BB396" s="8" t="n"/>
      <c r="BC396" s="8" t="n"/>
      <c r="BD396" s="8" t="n"/>
      <c r="BE396" s="8" t="n"/>
      <c r="BF396" s="8" t="n"/>
      <c r="BG396" s="8" t="n"/>
      <c r="BH396" s="8" t="n"/>
      <c r="BI396" s="8" t="n"/>
      <c r="BJ396" s="153" t="n">
        <v>320</v>
      </c>
      <c r="BK396" s="153" t="inlineStr">
        <is>
          <t>FABRICACION DE RESINAS SINTETICAS</t>
        </is>
      </c>
      <c r="BL396" s="153" t="n"/>
      <c r="BM396" s="153" t="n"/>
      <c r="BN396" s="153" t="n"/>
      <c r="BO396" s="153" t="n"/>
      <c r="BP396" s="153" t="n"/>
      <c r="BQ396" s="153" t="n"/>
      <c r="BR396" s="153" t="n"/>
      <c r="BS396" s="153" t="n"/>
      <c r="BT396" s="153" t="n"/>
      <c r="BU396" s="8" t="n"/>
      <c r="BV396" s="8" t="n"/>
      <c r="BW396" s="8" t="n"/>
      <c r="BX396" s="8" t="n"/>
      <c r="BY396" s="8" t="n"/>
      <c r="BZ396" s="8" t="n"/>
      <c r="CA396" s="8" t="n"/>
      <c r="CB396" s="8" t="n"/>
      <c r="CC396" s="8" t="n"/>
      <c r="CD396" s="8" t="n"/>
      <c r="CE396" s="8" t="n"/>
      <c r="CF396" s="8" t="n"/>
      <c r="CG396" s="8" t="n"/>
      <c r="CH396" s="8" t="n"/>
      <c r="CI396" s="8" t="n"/>
      <c r="CJ396" s="8" t="n"/>
      <c r="CK396" s="8" t="n"/>
      <c r="CL396" s="8" t="n"/>
      <c r="CM396" s="8" t="n"/>
      <c r="CN396" s="8" t="n"/>
      <c r="CO396" s="8" t="n"/>
      <c r="CP396" s="8" t="n"/>
      <c r="CQ396" s="8" t="n"/>
      <c r="CR396" s="8" t="n"/>
      <c r="CS396" s="8" t="n"/>
      <c r="CT396" s="8" t="n"/>
      <c r="CU396" s="8" t="n"/>
      <c r="CV396" s="8" t="n"/>
      <c r="CW396" s="8" t="n"/>
      <c r="CX396" s="8" t="n"/>
      <c r="CY396" s="8" t="n"/>
      <c r="CZ396" s="8" t="n"/>
      <c r="DA396" s="8" t="n"/>
      <c r="DB396" s="8" t="n"/>
      <c r="DC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  <c r="AC397" s="8" t="n"/>
      <c r="AD397" s="8" t="n"/>
      <c r="AE397" s="8" t="n"/>
      <c r="AF397" s="8" t="n"/>
      <c r="AG397" s="8" t="n"/>
      <c r="AH397" s="8" t="n"/>
      <c r="AI397" s="8" t="n"/>
      <c r="AJ397" s="8" t="n"/>
      <c r="AK397" s="8" t="n"/>
      <c r="AL397" s="8" t="n"/>
      <c r="AM397" s="8" t="n"/>
      <c r="AN397" s="8" t="n"/>
      <c r="AO397" s="8" t="n"/>
      <c r="AP397" s="8" t="n"/>
      <c r="AQ397" s="8" t="n"/>
      <c r="AR397" s="8" t="n"/>
      <c r="AS397" s="8" t="n"/>
      <c r="AT397" s="8" t="n"/>
      <c r="AU397" s="8" t="n"/>
      <c r="AV397" s="8" t="n"/>
      <c r="AW397" s="8" t="n"/>
      <c r="AX397" s="8" t="n"/>
      <c r="AY397" s="8" t="n"/>
      <c r="AZ397" s="8" t="n"/>
      <c r="BA397" s="8" t="n"/>
      <c r="BB397" s="8" t="n"/>
      <c r="BC397" s="8" t="n"/>
      <c r="BD397" s="8" t="n"/>
      <c r="BE397" s="8" t="n"/>
      <c r="BF397" s="8" t="n"/>
      <c r="BG397" s="8" t="n"/>
      <c r="BH397" s="8" t="n"/>
      <c r="BI397" s="8" t="n"/>
      <c r="BJ397" s="153" t="n">
        <v>321</v>
      </c>
      <c r="BK397" s="153" t="inlineStr">
        <is>
          <t>FABRICACION DE HULES SINTETICOS</t>
        </is>
      </c>
      <c r="BL397" s="153" t="n"/>
      <c r="BM397" s="153" t="n"/>
      <c r="BN397" s="153" t="n"/>
      <c r="BO397" s="153" t="n"/>
      <c r="BP397" s="153" t="n"/>
      <c r="BQ397" s="153" t="n"/>
      <c r="BR397" s="153" t="n"/>
      <c r="BS397" s="153" t="n"/>
      <c r="BT397" s="153" t="n"/>
      <c r="BU397" s="8" t="n"/>
      <c r="BV397" s="8" t="n"/>
      <c r="BW397" s="8" t="n"/>
      <c r="BX397" s="8" t="n"/>
      <c r="BY397" s="8" t="n"/>
      <c r="BZ397" s="8" t="n"/>
      <c r="CA397" s="8" t="n"/>
      <c r="CB397" s="8" t="n"/>
      <c r="CC397" s="8" t="n"/>
      <c r="CD397" s="8" t="n"/>
      <c r="CE397" s="8" t="n"/>
      <c r="CF397" s="8" t="n"/>
      <c r="CG397" s="8" t="n"/>
      <c r="CH397" s="8" t="n"/>
      <c r="CI397" s="8" t="n"/>
      <c r="CJ397" s="8" t="n"/>
      <c r="CK397" s="8" t="n"/>
      <c r="CL397" s="8" t="n"/>
      <c r="CM397" s="8" t="n"/>
      <c r="CN397" s="8" t="n"/>
      <c r="CO397" s="8" t="n"/>
      <c r="CP397" s="8" t="n"/>
      <c r="CQ397" s="8" t="n"/>
      <c r="CR397" s="8" t="n"/>
      <c r="CS397" s="8" t="n"/>
      <c r="CT397" s="8" t="n"/>
      <c r="CU397" s="8" t="n"/>
      <c r="CV397" s="8" t="n"/>
      <c r="CW397" s="8" t="n"/>
      <c r="CX397" s="8" t="n"/>
      <c r="CY397" s="8" t="n"/>
      <c r="CZ397" s="8" t="n"/>
      <c r="DA397" s="8" t="n"/>
      <c r="DB397" s="8" t="n"/>
      <c r="DC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  <c r="AC398" s="8" t="n"/>
      <c r="AD398" s="8" t="n"/>
      <c r="AE398" s="8" t="n"/>
      <c r="AF398" s="8" t="n"/>
      <c r="AG398" s="8" t="n"/>
      <c r="AH398" s="8" t="n"/>
      <c r="AI398" s="8" t="n"/>
      <c r="AJ398" s="8" t="n"/>
      <c r="AK398" s="8" t="n"/>
      <c r="AL398" s="8" t="n"/>
      <c r="AM398" s="8" t="n"/>
      <c r="AN398" s="8" t="n"/>
      <c r="AO398" s="8" t="n"/>
      <c r="AP398" s="8" t="n"/>
      <c r="AQ398" s="8" t="n"/>
      <c r="AR398" s="8" t="n"/>
      <c r="AS398" s="8" t="n"/>
      <c r="AT398" s="8" t="n"/>
      <c r="AU398" s="8" t="n"/>
      <c r="AV398" s="8" t="n"/>
      <c r="AW398" s="8" t="n"/>
      <c r="AX398" s="8" t="n"/>
      <c r="AY398" s="8" t="n"/>
      <c r="AZ398" s="8" t="n"/>
      <c r="BA398" s="8" t="n"/>
      <c r="BB398" s="8" t="n"/>
      <c r="BC398" s="8" t="n"/>
      <c r="BD398" s="8" t="n"/>
      <c r="BE398" s="8" t="n"/>
      <c r="BF398" s="8" t="n"/>
      <c r="BG398" s="8" t="n"/>
      <c r="BH398" s="8" t="n"/>
      <c r="BI398" s="8" t="n"/>
      <c r="BJ398" s="153" t="n">
        <v>322</v>
      </c>
      <c r="BK398" s="153" t="inlineStr">
        <is>
          <t>FABRICACION DE FIBRAS QUIMICAS</t>
        </is>
      </c>
      <c r="BL398" s="153" t="n"/>
      <c r="BM398" s="153" t="n"/>
      <c r="BN398" s="153" t="n"/>
      <c r="BO398" s="153" t="n"/>
      <c r="BP398" s="153" t="n"/>
      <c r="BQ398" s="153" t="n"/>
      <c r="BR398" s="153" t="n"/>
      <c r="BS398" s="153" t="n"/>
      <c r="BT398" s="153" t="n"/>
      <c r="BU398" s="8" t="n"/>
      <c r="BV398" s="8" t="n"/>
      <c r="BW398" s="8" t="n"/>
      <c r="BX398" s="8" t="n"/>
      <c r="BY398" s="8" t="n"/>
      <c r="BZ398" s="8" t="n"/>
      <c r="CA398" s="8" t="n"/>
      <c r="CB398" s="8" t="n"/>
      <c r="CC398" s="8" t="n"/>
      <c r="CD398" s="8" t="n"/>
      <c r="CE398" s="8" t="n"/>
      <c r="CF398" s="8" t="n"/>
      <c r="CG398" s="8" t="n"/>
      <c r="CH398" s="8" t="n"/>
      <c r="CI398" s="8" t="n"/>
      <c r="CJ398" s="8" t="n"/>
      <c r="CK398" s="8" t="n"/>
      <c r="CL398" s="8" t="n"/>
      <c r="CM398" s="8" t="n"/>
      <c r="CN398" s="8" t="n"/>
      <c r="CO398" s="8" t="n"/>
      <c r="CP398" s="8" t="n"/>
      <c r="CQ398" s="8" t="n"/>
      <c r="CR398" s="8" t="n"/>
      <c r="CS398" s="8" t="n"/>
      <c r="CT398" s="8" t="n"/>
      <c r="CU398" s="8" t="n"/>
      <c r="CV398" s="8" t="n"/>
      <c r="CW398" s="8" t="n"/>
      <c r="CX398" s="8" t="n"/>
      <c r="CY398" s="8" t="n"/>
      <c r="CZ398" s="8" t="n"/>
      <c r="DA398" s="8" t="n"/>
      <c r="DB398" s="8" t="n"/>
      <c r="DC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  <c r="AC399" s="8" t="n"/>
      <c r="AD399" s="8" t="n"/>
      <c r="AE399" s="8" t="n"/>
      <c r="AF399" s="8" t="n"/>
      <c r="AG399" s="8" t="n"/>
      <c r="AH399" s="8" t="n"/>
      <c r="AI399" s="8" t="n"/>
      <c r="AJ399" s="8" t="n"/>
      <c r="AK399" s="8" t="n"/>
      <c r="AL399" s="8" t="n"/>
      <c r="AM399" s="8" t="n"/>
      <c r="AN399" s="8" t="n"/>
      <c r="AO399" s="8" t="n"/>
      <c r="AP399" s="8" t="n"/>
      <c r="AQ399" s="8" t="n"/>
      <c r="AR399" s="8" t="n"/>
      <c r="AS399" s="8" t="n"/>
      <c r="AT399" s="8" t="n"/>
      <c r="AU399" s="8" t="n"/>
      <c r="AV399" s="8" t="n"/>
      <c r="AW399" s="8" t="n"/>
      <c r="AX399" s="8" t="n"/>
      <c r="AY399" s="8" t="n"/>
      <c r="AZ399" s="8" t="n"/>
      <c r="BA399" s="8" t="n"/>
      <c r="BB399" s="8" t="n"/>
      <c r="BC399" s="8" t="n"/>
      <c r="BD399" s="8" t="n"/>
      <c r="BE399" s="8" t="n"/>
      <c r="BF399" s="8" t="n"/>
      <c r="BG399" s="8" t="n"/>
      <c r="BH399" s="8" t="n"/>
      <c r="BI399" s="8" t="n"/>
      <c r="BJ399" s="153" t="n">
        <v>323</v>
      </c>
      <c r="BK399" s="153" t="inlineStr">
        <is>
          <t>FABRICACION DE FERTILIZANTES DESTINADOS PARA SER UTILIZADOS EN LA AGRICULTURA O GANADERIA</t>
        </is>
      </c>
      <c r="BL399" s="153" t="n"/>
      <c r="BM399" s="153" t="n"/>
      <c r="BN399" s="153" t="n"/>
      <c r="BO399" s="153" t="n"/>
      <c r="BP399" s="153" t="n"/>
      <c r="BQ399" s="153" t="n"/>
      <c r="BR399" s="153" t="n"/>
      <c r="BS399" s="153" t="n"/>
      <c r="BT399" s="153" t="n"/>
      <c r="BU399" s="8" t="n"/>
      <c r="BV399" s="8" t="n"/>
      <c r="BW399" s="8" t="n"/>
      <c r="BX399" s="8" t="n"/>
      <c r="BY399" s="8" t="n"/>
      <c r="BZ399" s="8" t="n"/>
      <c r="CA399" s="8" t="n"/>
      <c r="CB399" s="8" t="n"/>
      <c r="CC399" s="8" t="n"/>
      <c r="CD399" s="8" t="n"/>
      <c r="CE399" s="8" t="n"/>
      <c r="CF399" s="8" t="n"/>
      <c r="CG399" s="8" t="n"/>
      <c r="CH399" s="8" t="n"/>
      <c r="CI399" s="8" t="n"/>
      <c r="CJ399" s="8" t="n"/>
      <c r="CK399" s="8" t="n"/>
      <c r="CL399" s="8" t="n"/>
      <c r="CM399" s="8" t="n"/>
      <c r="CN399" s="8" t="n"/>
      <c r="CO399" s="8" t="n"/>
      <c r="CP399" s="8" t="n"/>
      <c r="CQ399" s="8" t="n"/>
      <c r="CR399" s="8" t="n"/>
      <c r="CS399" s="8" t="n"/>
      <c r="CT399" s="8" t="n"/>
      <c r="CU399" s="8" t="n"/>
      <c r="CV399" s="8" t="n"/>
      <c r="CW399" s="8" t="n"/>
      <c r="CX399" s="8" t="n"/>
      <c r="CY399" s="8" t="n"/>
      <c r="CZ399" s="8" t="n"/>
      <c r="DA399" s="8" t="n"/>
      <c r="DB399" s="8" t="n"/>
      <c r="DC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  <c r="AC400" s="8" t="n"/>
      <c r="AD400" s="8" t="n"/>
      <c r="AE400" s="8" t="n"/>
      <c r="AF400" s="8" t="n"/>
      <c r="AG400" s="8" t="n"/>
      <c r="AH400" s="8" t="n"/>
      <c r="AI400" s="8" t="n"/>
      <c r="AJ400" s="8" t="n"/>
      <c r="AK400" s="8" t="n"/>
      <c r="AL400" s="8" t="n"/>
      <c r="AM400" s="8" t="n"/>
      <c r="AN400" s="8" t="n"/>
      <c r="AO400" s="8" t="n"/>
      <c r="AP400" s="8" t="n"/>
      <c r="AQ400" s="8" t="n"/>
      <c r="AR400" s="8" t="n"/>
      <c r="AS400" s="8" t="n"/>
      <c r="AT400" s="8" t="n"/>
      <c r="AU400" s="8" t="n"/>
      <c r="AV400" s="8" t="n"/>
      <c r="AW400" s="8" t="n"/>
      <c r="AX400" s="8" t="n"/>
      <c r="AY400" s="8" t="n"/>
      <c r="AZ400" s="8" t="n"/>
      <c r="BA400" s="8" t="n"/>
      <c r="BB400" s="8" t="n"/>
      <c r="BC400" s="8" t="n"/>
      <c r="BD400" s="8" t="n"/>
      <c r="BE400" s="8" t="n"/>
      <c r="BF400" s="8" t="n"/>
      <c r="BG400" s="8" t="n"/>
      <c r="BH400" s="8" t="n"/>
      <c r="BI400" s="8" t="n"/>
      <c r="BJ400" s="153" t="n">
        <v>324</v>
      </c>
      <c r="BK400" s="153" t="inlineStr">
        <is>
          <t>FABRICACION DE FERTILIZANTES DOMESTICOS O INDUSTRIALES</t>
        </is>
      </c>
      <c r="BL400" s="153" t="n"/>
      <c r="BM400" s="153" t="n"/>
      <c r="BN400" s="153" t="n"/>
      <c r="BO400" s="153" t="n"/>
      <c r="BP400" s="153" t="n"/>
      <c r="BQ400" s="153" t="n"/>
      <c r="BR400" s="153" t="n"/>
      <c r="BS400" s="153" t="n"/>
      <c r="BT400" s="153" t="n"/>
      <c r="BU400" s="8" t="n"/>
      <c r="BV400" s="8" t="n"/>
      <c r="BW400" s="8" t="n"/>
      <c r="BX400" s="8" t="n"/>
      <c r="BY400" s="8" t="n"/>
      <c r="BZ400" s="8" t="n"/>
      <c r="CA400" s="8" t="n"/>
      <c r="CB400" s="8" t="n"/>
      <c r="CC400" s="8" t="n"/>
      <c r="CD400" s="8" t="n"/>
      <c r="CE400" s="8" t="n"/>
      <c r="CF400" s="8" t="n"/>
      <c r="CG400" s="8" t="n"/>
      <c r="CH400" s="8" t="n"/>
      <c r="CI400" s="8" t="n"/>
      <c r="CJ400" s="8" t="n"/>
      <c r="CK400" s="8" t="n"/>
      <c r="CL400" s="8" t="n"/>
      <c r="CM400" s="8" t="n"/>
      <c r="CN400" s="8" t="n"/>
      <c r="CO400" s="8" t="n"/>
      <c r="CP400" s="8" t="n"/>
      <c r="CQ400" s="8" t="n"/>
      <c r="CR400" s="8" t="n"/>
      <c r="CS400" s="8" t="n"/>
      <c r="CT400" s="8" t="n"/>
      <c r="CU400" s="8" t="n"/>
      <c r="CV400" s="8" t="n"/>
      <c r="CW400" s="8" t="n"/>
      <c r="CX400" s="8" t="n"/>
      <c r="CY400" s="8" t="n"/>
      <c r="CZ400" s="8" t="n"/>
      <c r="DA400" s="8" t="n"/>
      <c r="DB400" s="8" t="n"/>
      <c r="DC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  <c r="AC401" s="8" t="n"/>
      <c r="AD401" s="8" t="n"/>
      <c r="AE401" s="8" t="n"/>
      <c r="AF401" s="8" t="n"/>
      <c r="AG401" s="8" t="n"/>
      <c r="AH401" s="8" t="n"/>
      <c r="AI401" s="8" t="n"/>
      <c r="AJ401" s="8" t="n"/>
      <c r="AK401" s="8" t="n"/>
      <c r="AL401" s="8" t="n"/>
      <c r="AM401" s="8" t="n"/>
      <c r="AN401" s="8" t="n"/>
      <c r="AO401" s="8" t="n"/>
      <c r="AP401" s="8" t="n"/>
      <c r="AQ401" s="8" t="n"/>
      <c r="AR401" s="8" t="n"/>
      <c r="AS401" s="8" t="n"/>
      <c r="AT401" s="8" t="n"/>
      <c r="AU401" s="8" t="n"/>
      <c r="AV401" s="8" t="n"/>
      <c r="AW401" s="8" t="n"/>
      <c r="AX401" s="8" t="n"/>
      <c r="AY401" s="8" t="n"/>
      <c r="AZ401" s="8" t="n"/>
      <c r="BA401" s="8" t="n"/>
      <c r="BB401" s="8" t="n"/>
      <c r="BC401" s="8" t="n"/>
      <c r="BD401" s="8" t="n"/>
      <c r="BE401" s="8" t="n"/>
      <c r="BF401" s="8" t="n"/>
      <c r="BG401" s="8" t="n"/>
      <c r="BH401" s="8" t="n"/>
      <c r="BI401" s="8" t="n"/>
      <c r="BJ401" s="153" t="n">
        <v>325</v>
      </c>
      <c r="BK401" s="153" t="inlineStr">
        <is>
          <t>FABRICACION DE PESTICIDAS Y AGROQUIMICOS, EXCEPTO PLAGUICIDAS</t>
        </is>
      </c>
      <c r="BL401" s="153" t="n"/>
      <c r="BM401" s="153" t="n"/>
      <c r="BN401" s="153" t="n"/>
      <c r="BO401" s="153" t="n"/>
      <c r="BP401" s="153" t="n"/>
      <c r="BQ401" s="153" t="n"/>
      <c r="BR401" s="153" t="n"/>
      <c r="BS401" s="153" t="n"/>
      <c r="BT401" s="153" t="n"/>
      <c r="BU401" s="8" t="n"/>
      <c r="BV401" s="8" t="n"/>
      <c r="BW401" s="8" t="n"/>
      <c r="BX401" s="8" t="n"/>
      <c r="BY401" s="8" t="n"/>
      <c r="BZ401" s="8" t="n"/>
      <c r="CA401" s="8" t="n"/>
      <c r="CB401" s="8" t="n"/>
      <c r="CC401" s="8" t="n"/>
      <c r="CD401" s="8" t="n"/>
      <c r="CE401" s="8" t="n"/>
      <c r="CF401" s="8" t="n"/>
      <c r="CG401" s="8" t="n"/>
      <c r="CH401" s="8" t="n"/>
      <c r="CI401" s="8" t="n"/>
      <c r="CJ401" s="8" t="n"/>
      <c r="CK401" s="8" t="n"/>
      <c r="CL401" s="8" t="n"/>
      <c r="CM401" s="8" t="n"/>
      <c r="CN401" s="8" t="n"/>
      <c r="CO401" s="8" t="n"/>
      <c r="CP401" s="8" t="n"/>
      <c r="CQ401" s="8" t="n"/>
      <c r="CR401" s="8" t="n"/>
      <c r="CS401" s="8" t="n"/>
      <c r="CT401" s="8" t="n"/>
      <c r="CU401" s="8" t="n"/>
      <c r="CV401" s="8" t="n"/>
      <c r="CW401" s="8" t="n"/>
      <c r="CX401" s="8" t="n"/>
      <c r="CY401" s="8" t="n"/>
      <c r="CZ401" s="8" t="n"/>
      <c r="DA401" s="8" t="n"/>
      <c r="DB401" s="8" t="n"/>
      <c r="DC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8" t="n"/>
      <c r="AJ402" s="8" t="n"/>
      <c r="AK402" s="8" t="n"/>
      <c r="AL402" s="8" t="n"/>
      <c r="AM402" s="8" t="n"/>
      <c r="AN402" s="8" t="n"/>
      <c r="AO402" s="8" t="n"/>
      <c r="AP402" s="8" t="n"/>
      <c r="AQ402" s="8" t="n"/>
      <c r="AR402" s="8" t="n"/>
      <c r="AS402" s="8" t="n"/>
      <c r="AT402" s="8" t="n"/>
      <c r="AU402" s="8" t="n"/>
      <c r="AV402" s="8" t="n"/>
      <c r="AW402" s="8" t="n"/>
      <c r="AX402" s="8" t="n"/>
      <c r="AY402" s="8" t="n"/>
      <c r="AZ402" s="8" t="n"/>
      <c r="BA402" s="8" t="n"/>
      <c r="BB402" s="8" t="n"/>
      <c r="BC402" s="8" t="n"/>
      <c r="BD402" s="8" t="n"/>
      <c r="BE402" s="8" t="n"/>
      <c r="BF402" s="8" t="n"/>
      <c r="BG402" s="8" t="n"/>
      <c r="BH402" s="8" t="n"/>
      <c r="BI402" s="8" t="n"/>
      <c r="BJ402" s="153" t="n">
        <v>326</v>
      </c>
      <c r="BK402" s="153" t="inlineStr">
        <is>
          <t>FABRICACION DE PESTICIDAS, EXCEPTO FERTILIZANTES Y PLAGUICIDAS</t>
        </is>
      </c>
      <c r="BL402" s="153" t="n"/>
      <c r="BM402" s="153" t="n"/>
      <c r="BN402" s="153" t="n"/>
      <c r="BO402" s="153" t="n"/>
      <c r="BP402" s="153" t="n"/>
      <c r="BQ402" s="153" t="n"/>
      <c r="BR402" s="153" t="n"/>
      <c r="BS402" s="153" t="n"/>
      <c r="BT402" s="153" t="n"/>
      <c r="BU402" s="8" t="n"/>
      <c r="BV402" s="8" t="n"/>
      <c r="BW402" s="8" t="n"/>
      <c r="BX402" s="8" t="n"/>
      <c r="BY402" s="8" t="n"/>
      <c r="BZ402" s="8" t="n"/>
      <c r="CA402" s="8" t="n"/>
      <c r="CB402" s="8" t="n"/>
      <c r="CC402" s="8" t="n"/>
      <c r="CD402" s="8" t="n"/>
      <c r="CE402" s="8" t="n"/>
      <c r="CF402" s="8" t="n"/>
      <c r="CG402" s="8" t="n"/>
      <c r="CH402" s="8" t="n"/>
      <c r="CI402" s="8" t="n"/>
      <c r="CJ402" s="8" t="n"/>
      <c r="CK402" s="8" t="n"/>
      <c r="CL402" s="8" t="n"/>
      <c r="CM402" s="8" t="n"/>
      <c r="CN402" s="8" t="n"/>
      <c r="CO402" s="8" t="n"/>
      <c r="CP402" s="8" t="n"/>
      <c r="CQ402" s="8" t="n"/>
      <c r="CR402" s="8" t="n"/>
      <c r="CS402" s="8" t="n"/>
      <c r="CT402" s="8" t="n"/>
      <c r="CU402" s="8" t="n"/>
      <c r="CV402" s="8" t="n"/>
      <c r="CW402" s="8" t="n"/>
      <c r="CX402" s="8" t="n"/>
      <c r="CY402" s="8" t="n"/>
      <c r="CZ402" s="8" t="n"/>
      <c r="DA402" s="8" t="n"/>
      <c r="DB402" s="8" t="n"/>
      <c r="DC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  <c r="AC403" s="8" t="n"/>
      <c r="AD403" s="8" t="n"/>
      <c r="AE403" s="8" t="n"/>
      <c r="AF403" s="8" t="n"/>
      <c r="AG403" s="8" t="n"/>
      <c r="AH403" s="8" t="n"/>
      <c r="AI403" s="8" t="n"/>
      <c r="AJ403" s="8" t="n"/>
      <c r="AK403" s="8" t="n"/>
      <c r="AL403" s="8" t="n"/>
      <c r="AM403" s="8" t="n"/>
      <c r="AN403" s="8" t="n"/>
      <c r="AO403" s="8" t="n"/>
      <c r="AP403" s="8" t="n"/>
      <c r="AQ403" s="8" t="n"/>
      <c r="AR403" s="8" t="n"/>
      <c r="AS403" s="8" t="n"/>
      <c r="AT403" s="8" t="n"/>
      <c r="AU403" s="8" t="n"/>
      <c r="AV403" s="8" t="n"/>
      <c r="AW403" s="8" t="n"/>
      <c r="AX403" s="8" t="n"/>
      <c r="AY403" s="8" t="n"/>
      <c r="AZ403" s="8" t="n"/>
      <c r="BA403" s="8" t="n"/>
      <c r="BB403" s="8" t="n"/>
      <c r="BC403" s="8" t="n"/>
      <c r="BD403" s="8" t="n"/>
      <c r="BE403" s="8" t="n"/>
      <c r="BF403" s="8" t="n"/>
      <c r="BG403" s="8" t="n"/>
      <c r="BH403" s="8" t="n"/>
      <c r="BI403" s="8" t="n"/>
      <c r="BJ403" s="153" t="n">
        <v>327</v>
      </c>
      <c r="BK403" s="153" t="inlineStr">
        <is>
          <t>FABRICACION DE MATERIAS PRIMAS PARA LA INDUSTRIA FARMACEUTICA</t>
        </is>
      </c>
      <c r="BL403" s="153" t="n"/>
      <c r="BM403" s="153" t="n"/>
      <c r="BN403" s="153" t="n"/>
      <c r="BO403" s="153" t="n"/>
      <c r="BP403" s="153" t="n"/>
      <c r="BQ403" s="153" t="n"/>
      <c r="BR403" s="153" t="n"/>
      <c r="BS403" s="153" t="n"/>
      <c r="BT403" s="153" t="n"/>
      <c r="BU403" s="8" t="n"/>
      <c r="BV403" s="8" t="n"/>
      <c r="BW403" s="8" t="n"/>
      <c r="BX403" s="8" t="n"/>
      <c r="BY403" s="8" t="n"/>
      <c r="BZ403" s="8" t="n"/>
      <c r="CA403" s="8" t="n"/>
      <c r="CB403" s="8" t="n"/>
      <c r="CC403" s="8" t="n"/>
      <c r="CD403" s="8" t="n"/>
      <c r="CE403" s="8" t="n"/>
      <c r="CF403" s="8" t="n"/>
      <c r="CG403" s="8" t="n"/>
      <c r="CH403" s="8" t="n"/>
      <c r="CI403" s="8" t="n"/>
      <c r="CJ403" s="8" t="n"/>
      <c r="CK403" s="8" t="n"/>
      <c r="CL403" s="8" t="n"/>
      <c r="CM403" s="8" t="n"/>
      <c r="CN403" s="8" t="n"/>
      <c r="CO403" s="8" t="n"/>
      <c r="CP403" s="8" t="n"/>
      <c r="CQ403" s="8" t="n"/>
      <c r="CR403" s="8" t="n"/>
      <c r="CS403" s="8" t="n"/>
      <c r="CT403" s="8" t="n"/>
      <c r="CU403" s="8" t="n"/>
      <c r="CV403" s="8" t="n"/>
      <c r="CW403" s="8" t="n"/>
      <c r="CX403" s="8" t="n"/>
      <c r="CY403" s="8" t="n"/>
      <c r="CZ403" s="8" t="n"/>
      <c r="DA403" s="8" t="n"/>
      <c r="DB403" s="8" t="n"/>
      <c r="DC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  <c r="AC404" s="8" t="n"/>
      <c r="AD404" s="8" t="n"/>
      <c r="AE404" s="8" t="n"/>
      <c r="AF404" s="8" t="n"/>
      <c r="AG404" s="8" t="n"/>
      <c r="AH404" s="8" t="n"/>
      <c r="AI404" s="8" t="n"/>
      <c r="AJ404" s="8" t="n"/>
      <c r="AK404" s="8" t="n"/>
      <c r="AL404" s="8" t="n"/>
      <c r="AM404" s="8" t="n"/>
      <c r="AN404" s="8" t="n"/>
      <c r="AO404" s="8" t="n"/>
      <c r="AP404" s="8" t="n"/>
      <c r="AQ404" s="8" t="n"/>
      <c r="AR404" s="8" t="n"/>
      <c r="AS404" s="8" t="n"/>
      <c r="AT404" s="8" t="n"/>
      <c r="AU404" s="8" t="n"/>
      <c r="AV404" s="8" t="n"/>
      <c r="AW404" s="8" t="n"/>
      <c r="AX404" s="8" t="n"/>
      <c r="AY404" s="8" t="n"/>
      <c r="AZ404" s="8" t="n"/>
      <c r="BA404" s="8" t="n"/>
      <c r="BB404" s="8" t="n"/>
      <c r="BC404" s="8" t="n"/>
      <c r="BD404" s="8" t="n"/>
      <c r="BE404" s="8" t="n"/>
      <c r="BF404" s="8" t="n"/>
      <c r="BG404" s="8" t="n"/>
      <c r="BH404" s="8" t="n"/>
      <c r="BI404" s="8" t="n"/>
      <c r="BJ404" s="153" t="n">
        <v>328</v>
      </c>
      <c r="BK404" s="153" t="inlineStr">
        <is>
          <t>FABRICACION DE PREPARACIONES FARMACEUTICAS</t>
        </is>
      </c>
      <c r="BL404" s="153" t="n"/>
      <c r="BM404" s="153" t="n"/>
      <c r="BN404" s="153" t="n"/>
      <c r="BO404" s="153" t="n"/>
      <c r="BP404" s="153" t="n"/>
      <c r="BQ404" s="153" t="n"/>
      <c r="BR404" s="153" t="n"/>
      <c r="BS404" s="153" t="n"/>
      <c r="BT404" s="153" t="n"/>
      <c r="BU404" s="8" t="n"/>
      <c r="BV404" s="8" t="n"/>
      <c r="BW404" s="8" t="n"/>
      <c r="BX404" s="8" t="n"/>
      <c r="BY404" s="8" t="n"/>
      <c r="BZ404" s="8" t="n"/>
      <c r="CA404" s="8" t="n"/>
      <c r="CB404" s="8" t="n"/>
      <c r="CC404" s="8" t="n"/>
      <c r="CD404" s="8" t="n"/>
      <c r="CE404" s="8" t="n"/>
      <c r="CF404" s="8" t="n"/>
      <c r="CG404" s="8" t="n"/>
      <c r="CH404" s="8" t="n"/>
      <c r="CI404" s="8" t="n"/>
      <c r="CJ404" s="8" t="n"/>
      <c r="CK404" s="8" t="n"/>
      <c r="CL404" s="8" t="n"/>
      <c r="CM404" s="8" t="n"/>
      <c r="CN404" s="8" t="n"/>
      <c r="CO404" s="8" t="n"/>
      <c r="CP404" s="8" t="n"/>
      <c r="CQ404" s="8" t="n"/>
      <c r="CR404" s="8" t="n"/>
      <c r="CS404" s="8" t="n"/>
      <c r="CT404" s="8" t="n"/>
      <c r="CU404" s="8" t="n"/>
      <c r="CV404" s="8" t="n"/>
      <c r="CW404" s="8" t="n"/>
      <c r="CX404" s="8" t="n"/>
      <c r="CY404" s="8" t="n"/>
      <c r="CZ404" s="8" t="n"/>
      <c r="DA404" s="8" t="n"/>
      <c r="DB404" s="8" t="n"/>
      <c r="DC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  <c r="AC405" s="8" t="n"/>
      <c r="AD405" s="8" t="n"/>
      <c r="AE405" s="8" t="n"/>
      <c r="AF405" s="8" t="n"/>
      <c r="AG405" s="8" t="n"/>
      <c r="AH405" s="8" t="n"/>
      <c r="AI405" s="8" t="n"/>
      <c r="AJ405" s="8" t="n"/>
      <c r="AK405" s="8" t="n"/>
      <c r="AL405" s="8" t="n"/>
      <c r="AM405" s="8" t="n"/>
      <c r="AN405" s="8" t="n"/>
      <c r="AO405" s="8" t="n"/>
      <c r="AP405" s="8" t="n"/>
      <c r="AQ405" s="8" t="n"/>
      <c r="AR405" s="8" t="n"/>
      <c r="AS405" s="8" t="n"/>
      <c r="AT405" s="8" t="n"/>
      <c r="AU405" s="8" t="n"/>
      <c r="AV405" s="8" t="n"/>
      <c r="AW405" s="8" t="n"/>
      <c r="AX405" s="8" t="n"/>
      <c r="AY405" s="8" t="n"/>
      <c r="AZ405" s="8" t="n"/>
      <c r="BA405" s="8" t="n"/>
      <c r="BB405" s="8" t="n"/>
      <c r="BC405" s="8" t="n"/>
      <c r="BD405" s="8" t="n"/>
      <c r="BE405" s="8" t="n"/>
      <c r="BF405" s="8" t="n"/>
      <c r="BG405" s="8" t="n"/>
      <c r="BH405" s="8" t="n"/>
      <c r="BI405" s="8" t="n"/>
      <c r="BJ405" s="153" t="n">
        <v>329</v>
      </c>
      <c r="BK405" s="153" t="inlineStr">
        <is>
          <t>FABRICACION DE PINTURAS (EXCEPTO EN AEROSOL) Y RECUBRIMIENTOS</t>
        </is>
      </c>
      <c r="BL405" s="153" t="n"/>
      <c r="BM405" s="153" t="n"/>
      <c r="BN405" s="153" t="n"/>
      <c r="BO405" s="153" t="n"/>
      <c r="BP405" s="153" t="n"/>
      <c r="BQ405" s="153" t="n"/>
      <c r="BR405" s="153" t="n"/>
      <c r="BS405" s="153" t="n"/>
      <c r="BT405" s="153" t="n"/>
      <c r="BU405" s="8" t="n"/>
      <c r="BV405" s="8" t="n"/>
      <c r="BW405" s="8" t="n"/>
      <c r="BX405" s="8" t="n"/>
      <c r="BY405" s="8" t="n"/>
      <c r="BZ405" s="8" t="n"/>
      <c r="CA405" s="8" t="n"/>
      <c r="CB405" s="8" t="n"/>
      <c r="CC405" s="8" t="n"/>
      <c r="CD405" s="8" t="n"/>
      <c r="CE405" s="8" t="n"/>
      <c r="CF405" s="8" t="n"/>
      <c r="CG405" s="8" t="n"/>
      <c r="CH405" s="8" t="n"/>
      <c r="CI405" s="8" t="n"/>
      <c r="CJ405" s="8" t="n"/>
      <c r="CK405" s="8" t="n"/>
      <c r="CL405" s="8" t="n"/>
      <c r="CM405" s="8" t="n"/>
      <c r="CN405" s="8" t="n"/>
      <c r="CO405" s="8" t="n"/>
      <c r="CP405" s="8" t="n"/>
      <c r="CQ405" s="8" t="n"/>
      <c r="CR405" s="8" t="n"/>
      <c r="CS405" s="8" t="n"/>
      <c r="CT405" s="8" t="n"/>
      <c r="CU405" s="8" t="n"/>
      <c r="CV405" s="8" t="n"/>
      <c r="CW405" s="8" t="n"/>
      <c r="CX405" s="8" t="n"/>
      <c r="CY405" s="8" t="n"/>
      <c r="CZ405" s="8" t="n"/>
      <c r="DA405" s="8" t="n"/>
      <c r="DB405" s="8" t="n"/>
      <c r="DC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  <c r="AH406" s="8" t="n"/>
      <c r="AI406" s="8" t="n"/>
      <c r="AJ406" s="8" t="n"/>
      <c r="AK406" s="8" t="n"/>
      <c r="AL406" s="8" t="n"/>
      <c r="AM406" s="8" t="n"/>
      <c r="AN406" s="8" t="n"/>
      <c r="AO406" s="8" t="n"/>
      <c r="AP406" s="8" t="n"/>
      <c r="AQ406" s="8" t="n"/>
      <c r="AR406" s="8" t="n"/>
      <c r="AS406" s="8" t="n"/>
      <c r="AT406" s="8" t="n"/>
      <c r="AU406" s="8" t="n"/>
      <c r="AV406" s="8" t="n"/>
      <c r="AW406" s="8" t="n"/>
      <c r="AX406" s="8" t="n"/>
      <c r="AY406" s="8" t="n"/>
      <c r="AZ406" s="8" t="n"/>
      <c r="BA406" s="8" t="n"/>
      <c r="BB406" s="8" t="n"/>
      <c r="BC406" s="8" t="n"/>
      <c r="BD406" s="8" t="n"/>
      <c r="BE406" s="8" t="n"/>
      <c r="BF406" s="8" t="n"/>
      <c r="BG406" s="8" t="n"/>
      <c r="BH406" s="8" t="n"/>
      <c r="BI406" s="8" t="n"/>
      <c r="BJ406" s="153" t="n">
        <v>330</v>
      </c>
      <c r="BK406" s="153" t="inlineStr">
        <is>
          <t>FABRICACION DE ADHESIVOS O PEGAMENTOS, SELLADORES, IMPERMEABILIZANTES, MASILLAS, RESANADORES, GOMAS-CEMENTO Y SIMILARES</t>
        </is>
      </c>
      <c r="BL406" s="153" t="n"/>
      <c r="BM406" s="153" t="n"/>
      <c r="BN406" s="153" t="n"/>
      <c r="BO406" s="153" t="n"/>
      <c r="BP406" s="153" t="n"/>
      <c r="BQ406" s="153" t="n"/>
      <c r="BR406" s="153" t="n"/>
      <c r="BS406" s="153" t="n"/>
      <c r="BT406" s="153" t="n"/>
      <c r="BU406" s="8" t="n"/>
      <c r="BV406" s="8" t="n"/>
      <c r="BW406" s="8" t="n"/>
      <c r="BX406" s="8" t="n"/>
      <c r="BY406" s="8" t="n"/>
      <c r="BZ406" s="8" t="n"/>
      <c r="CA406" s="8" t="n"/>
      <c r="CB406" s="8" t="n"/>
      <c r="CC406" s="8" t="n"/>
      <c r="CD406" s="8" t="n"/>
      <c r="CE406" s="8" t="n"/>
      <c r="CF406" s="8" t="n"/>
      <c r="CG406" s="8" t="n"/>
      <c r="CH406" s="8" t="n"/>
      <c r="CI406" s="8" t="n"/>
      <c r="CJ406" s="8" t="n"/>
      <c r="CK406" s="8" t="n"/>
      <c r="CL406" s="8" t="n"/>
      <c r="CM406" s="8" t="n"/>
      <c r="CN406" s="8" t="n"/>
      <c r="CO406" s="8" t="n"/>
      <c r="CP406" s="8" t="n"/>
      <c r="CQ406" s="8" t="n"/>
      <c r="CR406" s="8" t="n"/>
      <c r="CS406" s="8" t="n"/>
      <c r="CT406" s="8" t="n"/>
      <c r="CU406" s="8" t="n"/>
      <c r="CV406" s="8" t="n"/>
      <c r="CW406" s="8" t="n"/>
      <c r="CX406" s="8" t="n"/>
      <c r="CY406" s="8" t="n"/>
      <c r="CZ406" s="8" t="n"/>
      <c r="DA406" s="8" t="n"/>
      <c r="DB406" s="8" t="n"/>
      <c r="DC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  <c r="AC407" s="8" t="n"/>
      <c r="AD407" s="8" t="n"/>
      <c r="AE407" s="8" t="n"/>
      <c r="AF407" s="8" t="n"/>
      <c r="AG407" s="8" t="n"/>
      <c r="AH407" s="8" t="n"/>
      <c r="AI407" s="8" t="n"/>
      <c r="AJ407" s="8" t="n"/>
      <c r="AK407" s="8" t="n"/>
      <c r="AL407" s="8" t="n"/>
      <c r="AM407" s="8" t="n"/>
      <c r="AN407" s="8" t="n"/>
      <c r="AO407" s="8" t="n"/>
      <c r="AP407" s="8" t="n"/>
      <c r="AQ407" s="8" t="n"/>
      <c r="AR407" s="8" t="n"/>
      <c r="AS407" s="8" t="n"/>
      <c r="AT407" s="8" t="n"/>
      <c r="AU407" s="8" t="n"/>
      <c r="AV407" s="8" t="n"/>
      <c r="AW407" s="8" t="n"/>
      <c r="AX407" s="8" t="n"/>
      <c r="AY407" s="8" t="n"/>
      <c r="AZ407" s="8" t="n"/>
      <c r="BA407" s="8" t="n"/>
      <c r="BB407" s="8" t="n"/>
      <c r="BC407" s="8" t="n"/>
      <c r="BD407" s="8" t="n"/>
      <c r="BE407" s="8" t="n"/>
      <c r="BF407" s="8" t="n"/>
      <c r="BG407" s="8" t="n"/>
      <c r="BH407" s="8" t="n"/>
      <c r="BI407" s="8" t="n"/>
      <c r="BJ407" s="153" t="n">
        <v>331</v>
      </c>
      <c r="BK407" s="153" t="inlineStr">
        <is>
          <t>FABRICACION DE JABONES, LIMPIADORES Y DENTIFRICOS</t>
        </is>
      </c>
      <c r="BL407" s="153" t="n"/>
      <c r="BM407" s="153" t="n"/>
      <c r="BN407" s="153" t="n"/>
      <c r="BO407" s="153" t="n"/>
      <c r="BP407" s="153" t="n"/>
      <c r="BQ407" s="153" t="n"/>
      <c r="BR407" s="153" t="n"/>
      <c r="BS407" s="153" t="n"/>
      <c r="BT407" s="153" t="n"/>
      <c r="BU407" s="8" t="n"/>
      <c r="BV407" s="8" t="n"/>
      <c r="BW407" s="8" t="n"/>
      <c r="BX407" s="8" t="n"/>
      <c r="BY407" s="8" t="n"/>
      <c r="BZ407" s="8" t="n"/>
      <c r="CA407" s="8" t="n"/>
      <c r="CB407" s="8" t="n"/>
      <c r="CC407" s="8" t="n"/>
      <c r="CD407" s="8" t="n"/>
      <c r="CE407" s="8" t="n"/>
      <c r="CF407" s="8" t="n"/>
      <c r="CG407" s="8" t="n"/>
      <c r="CH407" s="8" t="n"/>
      <c r="CI407" s="8" t="n"/>
      <c r="CJ407" s="8" t="n"/>
      <c r="CK407" s="8" t="n"/>
      <c r="CL407" s="8" t="n"/>
      <c r="CM407" s="8" t="n"/>
      <c r="CN407" s="8" t="n"/>
      <c r="CO407" s="8" t="n"/>
      <c r="CP407" s="8" t="n"/>
      <c r="CQ407" s="8" t="n"/>
      <c r="CR407" s="8" t="n"/>
      <c r="CS407" s="8" t="n"/>
      <c r="CT407" s="8" t="n"/>
      <c r="CU407" s="8" t="n"/>
      <c r="CV407" s="8" t="n"/>
      <c r="CW407" s="8" t="n"/>
      <c r="CX407" s="8" t="n"/>
      <c r="CY407" s="8" t="n"/>
      <c r="CZ407" s="8" t="n"/>
      <c r="DA407" s="8" t="n"/>
      <c r="DB407" s="8" t="n"/>
      <c r="DC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8" t="n"/>
      <c r="AJ408" s="8" t="n"/>
      <c r="AK408" s="8" t="n"/>
      <c r="AL408" s="8" t="n"/>
      <c r="AM408" s="8" t="n"/>
      <c r="AN408" s="8" t="n"/>
      <c r="AO408" s="8" t="n"/>
      <c r="AP408" s="8" t="n"/>
      <c r="AQ408" s="8" t="n"/>
      <c r="AR408" s="8" t="n"/>
      <c r="AS408" s="8" t="n"/>
      <c r="AT408" s="8" t="n"/>
      <c r="AU408" s="8" t="n"/>
      <c r="AV408" s="8" t="n"/>
      <c r="AW408" s="8" t="n"/>
      <c r="AX408" s="8" t="n"/>
      <c r="AY408" s="8" t="n"/>
      <c r="AZ408" s="8" t="n"/>
      <c r="BA408" s="8" t="n"/>
      <c r="BB408" s="8" t="n"/>
      <c r="BC408" s="8" t="n"/>
      <c r="BD408" s="8" t="n"/>
      <c r="BE408" s="8" t="n"/>
      <c r="BF408" s="8" t="n"/>
      <c r="BG408" s="8" t="n"/>
      <c r="BH408" s="8" t="n"/>
      <c r="BI408" s="8" t="n"/>
      <c r="BJ408" s="153" t="n">
        <v>332</v>
      </c>
      <c r="BK408" s="153" t="inlineStr">
        <is>
          <t>FABRICACION DE COSMETICOS, PERFUMES Y OTRAS PREPARACIONES DE TOCADOR</t>
        </is>
      </c>
      <c r="BL408" s="153" t="n"/>
      <c r="BM408" s="153" t="n"/>
      <c r="BN408" s="153" t="n"/>
      <c r="BO408" s="153" t="n"/>
      <c r="BP408" s="153" t="n"/>
      <c r="BQ408" s="153" t="n"/>
      <c r="BR408" s="153" t="n"/>
      <c r="BS408" s="153" t="n"/>
      <c r="BT408" s="153" t="n"/>
      <c r="BU408" s="8" t="n"/>
      <c r="BV408" s="8" t="n"/>
      <c r="BW408" s="8" t="n"/>
      <c r="BX408" s="8" t="n"/>
      <c r="BY408" s="8" t="n"/>
      <c r="BZ408" s="8" t="n"/>
      <c r="CA408" s="8" t="n"/>
      <c r="CB408" s="8" t="n"/>
      <c r="CC408" s="8" t="n"/>
      <c r="CD408" s="8" t="n"/>
      <c r="CE408" s="8" t="n"/>
      <c r="CF408" s="8" t="n"/>
      <c r="CG408" s="8" t="n"/>
      <c r="CH408" s="8" t="n"/>
      <c r="CI408" s="8" t="n"/>
      <c r="CJ408" s="8" t="n"/>
      <c r="CK408" s="8" t="n"/>
      <c r="CL408" s="8" t="n"/>
      <c r="CM408" s="8" t="n"/>
      <c r="CN408" s="8" t="n"/>
      <c r="CO408" s="8" t="n"/>
      <c r="CP408" s="8" t="n"/>
      <c r="CQ408" s="8" t="n"/>
      <c r="CR408" s="8" t="n"/>
      <c r="CS408" s="8" t="n"/>
      <c r="CT408" s="8" t="n"/>
      <c r="CU408" s="8" t="n"/>
      <c r="CV408" s="8" t="n"/>
      <c r="CW408" s="8" t="n"/>
      <c r="CX408" s="8" t="n"/>
      <c r="CY408" s="8" t="n"/>
      <c r="CZ408" s="8" t="n"/>
      <c r="DA408" s="8" t="n"/>
      <c r="DB408" s="8" t="n"/>
      <c r="DC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  <c r="AC409" s="8" t="n"/>
      <c r="AD409" s="8" t="n"/>
      <c r="AE409" s="8" t="n"/>
      <c r="AF409" s="8" t="n"/>
      <c r="AG409" s="8" t="n"/>
      <c r="AH409" s="8" t="n"/>
      <c r="AI409" s="8" t="n"/>
      <c r="AJ409" s="8" t="n"/>
      <c r="AK409" s="8" t="n"/>
      <c r="AL409" s="8" t="n"/>
      <c r="AM409" s="8" t="n"/>
      <c r="AN409" s="8" t="n"/>
      <c r="AO409" s="8" t="n"/>
      <c r="AP409" s="8" t="n"/>
      <c r="AQ409" s="8" t="n"/>
      <c r="AR409" s="8" t="n"/>
      <c r="AS409" s="8" t="n"/>
      <c r="AT409" s="8" t="n"/>
      <c r="AU409" s="8" t="n"/>
      <c r="AV409" s="8" t="n"/>
      <c r="AW409" s="8" t="n"/>
      <c r="AX409" s="8" t="n"/>
      <c r="AY409" s="8" t="n"/>
      <c r="AZ409" s="8" t="n"/>
      <c r="BA409" s="8" t="n"/>
      <c r="BB409" s="8" t="n"/>
      <c r="BC409" s="8" t="n"/>
      <c r="BD409" s="8" t="n"/>
      <c r="BE409" s="8" t="n"/>
      <c r="BF409" s="8" t="n"/>
      <c r="BG409" s="8" t="n"/>
      <c r="BH409" s="8" t="n"/>
      <c r="BI409" s="8" t="n"/>
      <c r="BJ409" s="153" t="n">
        <v>333</v>
      </c>
      <c r="BK409" s="153" t="inlineStr">
        <is>
          <t>FABRICACION DE TINTAS PARA IMPRESION</t>
        </is>
      </c>
      <c r="BL409" s="153" t="n"/>
      <c r="BM409" s="153" t="n"/>
      <c r="BN409" s="153" t="n"/>
      <c r="BO409" s="153" t="n"/>
      <c r="BP409" s="153" t="n"/>
      <c r="BQ409" s="153" t="n"/>
      <c r="BR409" s="153" t="n"/>
      <c r="BS409" s="153" t="n"/>
      <c r="BT409" s="153" t="n"/>
      <c r="BU409" s="8" t="n"/>
      <c r="BV409" s="8" t="n"/>
      <c r="BW409" s="8" t="n"/>
      <c r="BX409" s="8" t="n"/>
      <c r="BY409" s="8" t="n"/>
      <c r="BZ409" s="8" t="n"/>
      <c r="CA409" s="8" t="n"/>
      <c r="CB409" s="8" t="n"/>
      <c r="CC409" s="8" t="n"/>
      <c r="CD409" s="8" t="n"/>
      <c r="CE409" s="8" t="n"/>
      <c r="CF409" s="8" t="n"/>
      <c r="CG409" s="8" t="n"/>
      <c r="CH409" s="8" t="n"/>
      <c r="CI409" s="8" t="n"/>
      <c r="CJ409" s="8" t="n"/>
      <c r="CK409" s="8" t="n"/>
      <c r="CL409" s="8" t="n"/>
      <c r="CM409" s="8" t="n"/>
      <c r="CN409" s="8" t="n"/>
      <c r="CO409" s="8" t="n"/>
      <c r="CP409" s="8" t="n"/>
      <c r="CQ409" s="8" t="n"/>
      <c r="CR409" s="8" t="n"/>
      <c r="CS409" s="8" t="n"/>
      <c r="CT409" s="8" t="n"/>
      <c r="CU409" s="8" t="n"/>
      <c r="CV409" s="8" t="n"/>
      <c r="CW409" s="8" t="n"/>
      <c r="CX409" s="8" t="n"/>
      <c r="CY409" s="8" t="n"/>
      <c r="CZ409" s="8" t="n"/>
      <c r="DA409" s="8" t="n"/>
      <c r="DB409" s="8" t="n"/>
      <c r="DC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  <c r="AC410" s="8" t="n"/>
      <c r="AD410" s="8" t="n"/>
      <c r="AE410" s="8" t="n"/>
      <c r="AF410" s="8" t="n"/>
      <c r="AG410" s="8" t="n"/>
      <c r="AH410" s="8" t="n"/>
      <c r="AI410" s="8" t="n"/>
      <c r="AJ410" s="8" t="n"/>
      <c r="AK410" s="8" t="n"/>
      <c r="AL410" s="8" t="n"/>
      <c r="AM410" s="8" t="n"/>
      <c r="AN410" s="8" t="n"/>
      <c r="AO410" s="8" t="n"/>
      <c r="AP410" s="8" t="n"/>
      <c r="AQ410" s="8" t="n"/>
      <c r="AR410" s="8" t="n"/>
      <c r="AS410" s="8" t="n"/>
      <c r="AT410" s="8" t="n"/>
      <c r="AU410" s="8" t="n"/>
      <c r="AV410" s="8" t="n"/>
      <c r="AW410" s="8" t="n"/>
      <c r="AX410" s="8" t="n"/>
      <c r="AY410" s="8" t="n"/>
      <c r="AZ410" s="8" t="n"/>
      <c r="BA410" s="8" t="n"/>
      <c r="BB410" s="8" t="n"/>
      <c r="BC410" s="8" t="n"/>
      <c r="BD410" s="8" t="n"/>
      <c r="BE410" s="8" t="n"/>
      <c r="BF410" s="8" t="n"/>
      <c r="BG410" s="8" t="n"/>
      <c r="BH410" s="8" t="n"/>
      <c r="BI410" s="8" t="n"/>
      <c r="BJ410" s="153" t="n">
        <v>334</v>
      </c>
      <c r="BK410" s="153" t="inlineStr">
        <is>
          <t>FABRICACION DE EXPLOSIVOS Y SUS ACCESORIOS (FUSIBLES DE SEGURIDAD, DETONANTES)</t>
        </is>
      </c>
      <c r="BL410" s="153" t="n"/>
      <c r="BM410" s="153" t="n"/>
      <c r="BN410" s="153" t="n"/>
      <c r="BO410" s="153" t="n"/>
      <c r="BP410" s="153" t="n"/>
      <c r="BQ410" s="153" t="n"/>
      <c r="BR410" s="153" t="n"/>
      <c r="BS410" s="153" t="n"/>
      <c r="BT410" s="153" t="n"/>
      <c r="BU410" s="8" t="n"/>
      <c r="BV410" s="8" t="n"/>
      <c r="BW410" s="8" t="n"/>
      <c r="BX410" s="8" t="n"/>
      <c r="BY410" s="8" t="n"/>
      <c r="BZ410" s="8" t="n"/>
      <c r="CA410" s="8" t="n"/>
      <c r="CB410" s="8" t="n"/>
      <c r="CC410" s="8" t="n"/>
      <c r="CD410" s="8" t="n"/>
      <c r="CE410" s="8" t="n"/>
      <c r="CF410" s="8" t="n"/>
      <c r="CG410" s="8" t="n"/>
      <c r="CH410" s="8" t="n"/>
      <c r="CI410" s="8" t="n"/>
      <c r="CJ410" s="8" t="n"/>
      <c r="CK410" s="8" t="n"/>
      <c r="CL410" s="8" t="n"/>
      <c r="CM410" s="8" t="n"/>
      <c r="CN410" s="8" t="n"/>
      <c r="CO410" s="8" t="n"/>
      <c r="CP410" s="8" t="n"/>
      <c r="CQ410" s="8" t="n"/>
      <c r="CR410" s="8" t="n"/>
      <c r="CS410" s="8" t="n"/>
      <c r="CT410" s="8" t="n"/>
      <c r="CU410" s="8" t="n"/>
      <c r="CV410" s="8" t="n"/>
      <c r="CW410" s="8" t="n"/>
      <c r="CX410" s="8" t="n"/>
      <c r="CY410" s="8" t="n"/>
      <c r="CZ410" s="8" t="n"/>
      <c r="DA410" s="8" t="n"/>
      <c r="DB410" s="8" t="n"/>
      <c r="DC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  <c r="AC411" s="8" t="n"/>
      <c r="AD411" s="8" t="n"/>
      <c r="AE411" s="8" t="n"/>
      <c r="AF411" s="8" t="n"/>
      <c r="AG411" s="8" t="n"/>
      <c r="AH411" s="8" t="n"/>
      <c r="AI411" s="8" t="n"/>
      <c r="AJ411" s="8" t="n"/>
      <c r="AK411" s="8" t="n"/>
      <c r="AL411" s="8" t="n"/>
      <c r="AM411" s="8" t="n"/>
      <c r="AN411" s="8" t="n"/>
      <c r="AO411" s="8" t="n"/>
      <c r="AP411" s="8" t="n"/>
      <c r="AQ411" s="8" t="n"/>
      <c r="AR411" s="8" t="n"/>
      <c r="AS411" s="8" t="n"/>
      <c r="AT411" s="8" t="n"/>
      <c r="AU411" s="8" t="n"/>
      <c r="AV411" s="8" t="n"/>
      <c r="AW411" s="8" t="n"/>
      <c r="AX411" s="8" t="n"/>
      <c r="AY411" s="8" t="n"/>
      <c r="AZ411" s="8" t="n"/>
      <c r="BA411" s="8" t="n"/>
      <c r="BB411" s="8" t="n"/>
      <c r="BC411" s="8" t="n"/>
      <c r="BD411" s="8" t="n"/>
      <c r="BE411" s="8" t="n"/>
      <c r="BF411" s="8" t="n"/>
      <c r="BG411" s="8" t="n"/>
      <c r="BH411" s="8" t="n"/>
      <c r="BI411" s="8" t="n"/>
      <c r="BJ411" s="153" t="n">
        <v>335</v>
      </c>
      <c r="BK411" s="153" t="inlineStr">
        <is>
          <t>FABRICACION DE CERILLOS O FOSFOROS</t>
        </is>
      </c>
      <c r="BL411" s="153" t="n"/>
      <c r="BM411" s="153" t="n"/>
      <c r="BN411" s="153" t="n"/>
      <c r="BO411" s="153" t="n"/>
      <c r="BP411" s="153" t="n"/>
      <c r="BQ411" s="153" t="n"/>
      <c r="BR411" s="153" t="n"/>
      <c r="BS411" s="153" t="n"/>
      <c r="BT411" s="153" t="n"/>
      <c r="BU411" s="8" t="n"/>
      <c r="BV411" s="8" t="n"/>
      <c r="BW411" s="8" t="n"/>
      <c r="BX411" s="8" t="n"/>
      <c r="BY411" s="8" t="n"/>
      <c r="BZ411" s="8" t="n"/>
      <c r="CA411" s="8" t="n"/>
      <c r="CB411" s="8" t="n"/>
      <c r="CC411" s="8" t="n"/>
      <c r="CD411" s="8" t="n"/>
      <c r="CE411" s="8" t="n"/>
      <c r="CF411" s="8" t="n"/>
      <c r="CG411" s="8" t="n"/>
      <c r="CH411" s="8" t="n"/>
      <c r="CI411" s="8" t="n"/>
      <c r="CJ411" s="8" t="n"/>
      <c r="CK411" s="8" t="n"/>
      <c r="CL411" s="8" t="n"/>
      <c r="CM411" s="8" t="n"/>
      <c r="CN411" s="8" t="n"/>
      <c r="CO411" s="8" t="n"/>
      <c r="CP411" s="8" t="n"/>
      <c r="CQ411" s="8" t="n"/>
      <c r="CR411" s="8" t="n"/>
      <c r="CS411" s="8" t="n"/>
      <c r="CT411" s="8" t="n"/>
      <c r="CU411" s="8" t="n"/>
      <c r="CV411" s="8" t="n"/>
      <c r="CW411" s="8" t="n"/>
      <c r="CX411" s="8" t="n"/>
      <c r="CY411" s="8" t="n"/>
      <c r="CZ411" s="8" t="n"/>
      <c r="DA411" s="8" t="n"/>
      <c r="DB411" s="8" t="n"/>
      <c r="DC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  <c r="AC412" s="8" t="n"/>
      <c r="AD412" s="8" t="n"/>
      <c r="AE412" s="8" t="n"/>
      <c r="AF412" s="8" t="n"/>
      <c r="AG412" s="8" t="n"/>
      <c r="AH412" s="8" t="n"/>
      <c r="AI412" s="8" t="n"/>
      <c r="AJ412" s="8" t="n"/>
      <c r="AK412" s="8" t="n"/>
      <c r="AL412" s="8" t="n"/>
      <c r="AM412" s="8" t="n"/>
      <c r="AN412" s="8" t="n"/>
      <c r="AO412" s="8" t="n"/>
      <c r="AP412" s="8" t="n"/>
      <c r="AQ412" s="8" t="n"/>
      <c r="AR412" s="8" t="n"/>
      <c r="AS412" s="8" t="n"/>
      <c r="AT412" s="8" t="n"/>
      <c r="AU412" s="8" t="n"/>
      <c r="AV412" s="8" t="n"/>
      <c r="AW412" s="8" t="n"/>
      <c r="AX412" s="8" t="n"/>
      <c r="AY412" s="8" t="n"/>
      <c r="AZ412" s="8" t="n"/>
      <c r="BA412" s="8" t="n"/>
      <c r="BB412" s="8" t="n"/>
      <c r="BC412" s="8" t="n"/>
      <c r="BD412" s="8" t="n"/>
      <c r="BE412" s="8" t="n"/>
      <c r="BF412" s="8" t="n"/>
      <c r="BG412" s="8" t="n"/>
      <c r="BH412" s="8" t="n"/>
      <c r="BI412" s="8" t="n"/>
      <c r="BJ412" s="153" t="n">
        <v>336</v>
      </c>
      <c r="BK412" s="153" t="inlineStr">
        <is>
          <t>FABRICACION DE PELICULAS, PLACAS, PRODUCTOS QUIMICOS PARA FOTOGRAFIA, TELAS Y PAPEL FOTOSENSIBLE PARA FOTOGRAFIA, CINEMATOGRAFIA, ARTES GRAFICAS Y RAYOS X</t>
        </is>
      </c>
      <c r="BL412" s="153" t="n"/>
      <c r="BM412" s="153" t="n"/>
      <c r="BN412" s="153" t="n"/>
      <c r="BO412" s="153" t="n"/>
      <c r="BP412" s="153" t="n"/>
      <c r="BQ412" s="153" t="n"/>
      <c r="BR412" s="153" t="n"/>
      <c r="BS412" s="153" t="n"/>
      <c r="BT412" s="153" t="n"/>
      <c r="BU412" s="8" t="n"/>
      <c r="BV412" s="8" t="n"/>
      <c r="BW412" s="8" t="n"/>
      <c r="BX412" s="8" t="n"/>
      <c r="BY412" s="8" t="n"/>
      <c r="BZ412" s="8" t="n"/>
      <c r="CA412" s="8" t="n"/>
      <c r="CB412" s="8" t="n"/>
      <c r="CC412" s="8" t="n"/>
      <c r="CD412" s="8" t="n"/>
      <c r="CE412" s="8" t="n"/>
      <c r="CF412" s="8" t="n"/>
      <c r="CG412" s="8" t="n"/>
      <c r="CH412" s="8" t="n"/>
      <c r="CI412" s="8" t="n"/>
      <c r="CJ412" s="8" t="n"/>
      <c r="CK412" s="8" t="n"/>
      <c r="CL412" s="8" t="n"/>
      <c r="CM412" s="8" t="n"/>
      <c r="CN412" s="8" t="n"/>
      <c r="CO412" s="8" t="n"/>
      <c r="CP412" s="8" t="n"/>
      <c r="CQ412" s="8" t="n"/>
      <c r="CR412" s="8" t="n"/>
      <c r="CS412" s="8" t="n"/>
      <c r="CT412" s="8" t="n"/>
      <c r="CU412" s="8" t="n"/>
      <c r="CV412" s="8" t="n"/>
      <c r="CW412" s="8" t="n"/>
      <c r="CX412" s="8" t="n"/>
      <c r="CY412" s="8" t="n"/>
      <c r="CZ412" s="8" t="n"/>
      <c r="DA412" s="8" t="n"/>
      <c r="DB412" s="8" t="n"/>
      <c r="DC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  <c r="AC413" s="8" t="n"/>
      <c r="AD413" s="8" t="n"/>
      <c r="AE413" s="8" t="n"/>
      <c r="AF413" s="8" t="n"/>
      <c r="AG413" s="8" t="n"/>
      <c r="AH413" s="8" t="n"/>
      <c r="AI413" s="8" t="n"/>
      <c r="AJ413" s="8" t="n"/>
      <c r="AK413" s="8" t="n"/>
      <c r="AL413" s="8" t="n"/>
      <c r="AM413" s="8" t="n"/>
      <c r="AN413" s="8" t="n"/>
      <c r="AO413" s="8" t="n"/>
      <c r="AP413" s="8" t="n"/>
      <c r="AQ413" s="8" t="n"/>
      <c r="AR413" s="8" t="n"/>
      <c r="AS413" s="8" t="n"/>
      <c r="AT413" s="8" t="n"/>
      <c r="AU413" s="8" t="n"/>
      <c r="AV413" s="8" t="n"/>
      <c r="AW413" s="8" t="n"/>
      <c r="AX413" s="8" t="n"/>
      <c r="AY413" s="8" t="n"/>
      <c r="AZ413" s="8" t="n"/>
      <c r="BA413" s="8" t="n"/>
      <c r="BB413" s="8" t="n"/>
      <c r="BC413" s="8" t="n"/>
      <c r="BD413" s="8" t="n"/>
      <c r="BE413" s="8" t="n"/>
      <c r="BF413" s="8" t="n"/>
      <c r="BG413" s="8" t="n"/>
      <c r="BH413" s="8" t="n"/>
      <c r="BI413" s="8" t="n"/>
      <c r="BJ413" s="153" t="n">
        <v>337</v>
      </c>
      <c r="BK413" s="153" t="inlineStr">
        <is>
          <t>FABRICACION DE RESINAS PLASTICAS HECHAS A PARTIR DE PLASTICOS RECICLADOS</t>
        </is>
      </c>
      <c r="BL413" s="153" t="n"/>
      <c r="BM413" s="153" t="n"/>
      <c r="BN413" s="153" t="n"/>
      <c r="BO413" s="153" t="n"/>
      <c r="BP413" s="153" t="n"/>
      <c r="BQ413" s="153" t="n"/>
      <c r="BR413" s="153" t="n"/>
      <c r="BS413" s="153" t="n"/>
      <c r="BT413" s="153" t="n"/>
      <c r="BU413" s="8" t="n"/>
      <c r="BV413" s="8" t="n"/>
      <c r="BW413" s="8" t="n"/>
      <c r="BX413" s="8" t="n"/>
      <c r="BY413" s="8" t="n"/>
      <c r="BZ413" s="8" t="n"/>
      <c r="CA413" s="8" t="n"/>
      <c r="CB413" s="8" t="n"/>
      <c r="CC413" s="8" t="n"/>
      <c r="CD413" s="8" t="n"/>
      <c r="CE413" s="8" t="n"/>
      <c r="CF413" s="8" t="n"/>
      <c r="CG413" s="8" t="n"/>
      <c r="CH413" s="8" t="n"/>
      <c r="CI413" s="8" t="n"/>
      <c r="CJ413" s="8" t="n"/>
      <c r="CK413" s="8" t="n"/>
      <c r="CL413" s="8" t="n"/>
      <c r="CM413" s="8" t="n"/>
      <c r="CN413" s="8" t="n"/>
      <c r="CO413" s="8" t="n"/>
      <c r="CP413" s="8" t="n"/>
      <c r="CQ413" s="8" t="n"/>
      <c r="CR413" s="8" t="n"/>
      <c r="CS413" s="8" t="n"/>
      <c r="CT413" s="8" t="n"/>
      <c r="CU413" s="8" t="n"/>
      <c r="CV413" s="8" t="n"/>
      <c r="CW413" s="8" t="n"/>
      <c r="CX413" s="8" t="n"/>
      <c r="CY413" s="8" t="n"/>
      <c r="CZ413" s="8" t="n"/>
      <c r="DA413" s="8" t="n"/>
      <c r="DB413" s="8" t="n"/>
      <c r="DC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  <c r="AC414" s="8" t="n"/>
      <c r="AD414" s="8" t="n"/>
      <c r="AE414" s="8" t="n"/>
      <c r="AF414" s="8" t="n"/>
      <c r="AG414" s="8" t="n"/>
      <c r="AH414" s="8" t="n"/>
      <c r="AI414" s="8" t="n"/>
      <c r="AJ414" s="8" t="n"/>
      <c r="AK414" s="8" t="n"/>
      <c r="AL414" s="8" t="n"/>
      <c r="AM414" s="8" t="n"/>
      <c r="AN414" s="8" t="n"/>
      <c r="AO414" s="8" t="n"/>
      <c r="AP414" s="8" t="n"/>
      <c r="AQ414" s="8" t="n"/>
      <c r="AR414" s="8" t="n"/>
      <c r="AS414" s="8" t="n"/>
      <c r="AT414" s="8" t="n"/>
      <c r="AU414" s="8" t="n"/>
      <c r="AV414" s="8" t="n"/>
      <c r="AW414" s="8" t="n"/>
      <c r="AX414" s="8" t="n"/>
      <c r="AY414" s="8" t="n"/>
      <c r="AZ414" s="8" t="n"/>
      <c r="BA414" s="8" t="n"/>
      <c r="BB414" s="8" t="n"/>
      <c r="BC414" s="8" t="n"/>
      <c r="BD414" s="8" t="n"/>
      <c r="BE414" s="8" t="n"/>
      <c r="BF414" s="8" t="n"/>
      <c r="BG414" s="8" t="n"/>
      <c r="BH414" s="8" t="n"/>
      <c r="BI414" s="8" t="n"/>
      <c r="BJ414" s="153" t="n">
        <v>338</v>
      </c>
      <c r="BK414" s="153" t="inlineStr">
        <is>
          <t>FABRICACION DE OTROS PRODUCTOS QUIMICOS</t>
        </is>
      </c>
      <c r="BL414" s="153" t="n"/>
      <c r="BM414" s="153" t="n"/>
      <c r="BN414" s="153" t="n"/>
      <c r="BO414" s="153" t="n"/>
      <c r="BP414" s="153" t="n"/>
      <c r="BQ414" s="153" t="n"/>
      <c r="BR414" s="153" t="n"/>
      <c r="BS414" s="153" t="n"/>
      <c r="BT414" s="153" t="n"/>
      <c r="BU414" s="8" t="n"/>
      <c r="BV414" s="8" t="n"/>
      <c r="BW414" s="8" t="n"/>
      <c r="BX414" s="8" t="n"/>
      <c r="BY414" s="8" t="n"/>
      <c r="BZ414" s="8" t="n"/>
      <c r="CA414" s="8" t="n"/>
      <c r="CB414" s="8" t="n"/>
      <c r="CC414" s="8" t="n"/>
      <c r="CD414" s="8" t="n"/>
      <c r="CE414" s="8" t="n"/>
      <c r="CF414" s="8" t="n"/>
      <c r="CG414" s="8" t="n"/>
      <c r="CH414" s="8" t="n"/>
      <c r="CI414" s="8" t="n"/>
      <c r="CJ414" s="8" t="n"/>
      <c r="CK414" s="8" t="n"/>
      <c r="CL414" s="8" t="n"/>
      <c r="CM414" s="8" t="n"/>
      <c r="CN414" s="8" t="n"/>
      <c r="CO414" s="8" t="n"/>
      <c r="CP414" s="8" t="n"/>
      <c r="CQ414" s="8" t="n"/>
      <c r="CR414" s="8" t="n"/>
      <c r="CS414" s="8" t="n"/>
      <c r="CT414" s="8" t="n"/>
      <c r="CU414" s="8" t="n"/>
      <c r="CV414" s="8" t="n"/>
      <c r="CW414" s="8" t="n"/>
      <c r="CX414" s="8" t="n"/>
      <c r="CY414" s="8" t="n"/>
      <c r="CZ414" s="8" t="n"/>
      <c r="DA414" s="8" t="n"/>
      <c r="DB414" s="8" t="n"/>
      <c r="DC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  <c r="AC415" s="8" t="n"/>
      <c r="AD415" s="8" t="n"/>
      <c r="AE415" s="8" t="n"/>
      <c r="AF415" s="8" t="n"/>
      <c r="AG415" s="8" t="n"/>
      <c r="AH415" s="8" t="n"/>
      <c r="AI415" s="8" t="n"/>
      <c r="AJ415" s="8" t="n"/>
      <c r="AK415" s="8" t="n"/>
      <c r="AL415" s="8" t="n"/>
      <c r="AM415" s="8" t="n"/>
      <c r="AN415" s="8" t="n"/>
      <c r="AO415" s="8" t="n"/>
      <c r="AP415" s="8" t="n"/>
      <c r="AQ415" s="8" t="n"/>
      <c r="AR415" s="8" t="n"/>
      <c r="AS415" s="8" t="n"/>
      <c r="AT415" s="8" t="n"/>
      <c r="AU415" s="8" t="n"/>
      <c r="AV415" s="8" t="n"/>
      <c r="AW415" s="8" t="n"/>
      <c r="AX415" s="8" t="n"/>
      <c r="AY415" s="8" t="n"/>
      <c r="AZ415" s="8" t="n"/>
      <c r="BA415" s="8" t="n"/>
      <c r="BB415" s="8" t="n"/>
      <c r="BC415" s="8" t="n"/>
      <c r="BD415" s="8" t="n"/>
      <c r="BE415" s="8" t="n"/>
      <c r="BF415" s="8" t="n"/>
      <c r="BG415" s="8" t="n"/>
      <c r="BH415" s="8" t="n"/>
      <c r="BI415" s="8" t="n"/>
      <c r="BJ415" s="153" t="n">
        <v>339</v>
      </c>
      <c r="BK415" s="153" t="inlineStr">
        <is>
          <t>FABRICACION DE BOLSAS Y PELICULAS DE PLASTICO FLEXIBLE SIN SOPORTE PARA ENVASE O EMPAQUE Y TELA PLASTICA SIN SOPORTE</t>
        </is>
      </c>
      <c r="BL415" s="153" t="n"/>
      <c r="BM415" s="153" t="n"/>
      <c r="BN415" s="153" t="n"/>
      <c r="BO415" s="153" t="n"/>
      <c r="BP415" s="153" t="n"/>
      <c r="BQ415" s="153" t="n"/>
      <c r="BR415" s="153" t="n"/>
      <c r="BS415" s="153" t="n"/>
      <c r="BT415" s="153" t="n"/>
      <c r="BU415" s="8" t="n"/>
      <c r="BV415" s="8" t="n"/>
      <c r="BW415" s="8" t="n"/>
      <c r="BX415" s="8" t="n"/>
      <c r="BY415" s="8" t="n"/>
      <c r="BZ415" s="8" t="n"/>
      <c r="CA415" s="8" t="n"/>
      <c r="CB415" s="8" t="n"/>
      <c r="CC415" s="8" t="n"/>
      <c r="CD415" s="8" t="n"/>
      <c r="CE415" s="8" t="n"/>
      <c r="CF415" s="8" t="n"/>
      <c r="CG415" s="8" t="n"/>
      <c r="CH415" s="8" t="n"/>
      <c r="CI415" s="8" t="n"/>
      <c r="CJ415" s="8" t="n"/>
      <c r="CK415" s="8" t="n"/>
      <c r="CL415" s="8" t="n"/>
      <c r="CM415" s="8" t="n"/>
      <c r="CN415" s="8" t="n"/>
      <c r="CO415" s="8" t="n"/>
      <c r="CP415" s="8" t="n"/>
      <c r="CQ415" s="8" t="n"/>
      <c r="CR415" s="8" t="n"/>
      <c r="CS415" s="8" t="n"/>
      <c r="CT415" s="8" t="n"/>
      <c r="CU415" s="8" t="n"/>
      <c r="CV415" s="8" t="n"/>
      <c r="CW415" s="8" t="n"/>
      <c r="CX415" s="8" t="n"/>
      <c r="CY415" s="8" t="n"/>
      <c r="CZ415" s="8" t="n"/>
      <c r="DA415" s="8" t="n"/>
      <c r="DB415" s="8" t="n"/>
      <c r="DC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  <c r="AC416" s="8" t="n"/>
      <c r="AD416" s="8" t="n"/>
      <c r="AE416" s="8" t="n"/>
      <c r="AF416" s="8" t="n"/>
      <c r="AG416" s="8" t="n"/>
      <c r="AH416" s="8" t="n"/>
      <c r="AI416" s="8" t="n"/>
      <c r="AJ416" s="8" t="n"/>
      <c r="AK416" s="8" t="n"/>
      <c r="AL416" s="8" t="n"/>
      <c r="AM416" s="8" t="n"/>
      <c r="AN416" s="8" t="n"/>
      <c r="AO416" s="8" t="n"/>
      <c r="AP416" s="8" t="n"/>
      <c r="AQ416" s="8" t="n"/>
      <c r="AR416" s="8" t="n"/>
      <c r="AS416" s="8" t="n"/>
      <c r="AT416" s="8" t="n"/>
      <c r="AU416" s="8" t="n"/>
      <c r="AV416" s="8" t="n"/>
      <c r="AW416" s="8" t="n"/>
      <c r="AX416" s="8" t="n"/>
      <c r="AY416" s="8" t="n"/>
      <c r="AZ416" s="8" t="n"/>
      <c r="BA416" s="8" t="n"/>
      <c r="BB416" s="8" t="n"/>
      <c r="BC416" s="8" t="n"/>
      <c r="BD416" s="8" t="n"/>
      <c r="BE416" s="8" t="n"/>
      <c r="BF416" s="8" t="n"/>
      <c r="BG416" s="8" t="n"/>
      <c r="BH416" s="8" t="n"/>
      <c r="BI416" s="8" t="n"/>
      <c r="BJ416" s="153" t="n">
        <v>340</v>
      </c>
      <c r="BK416" s="153" t="inlineStr">
        <is>
          <t>FABRICACION DE PRODUCTOS DE PLASTICO RIGIDO CON FORMA ESPECIFICA, SIN SOPORTE O SIN REFORZAMIENTO, COMO TUBERIAS, CONEXIONES Y PERFILES</t>
        </is>
      </c>
      <c r="BL416" s="153" t="n"/>
      <c r="BM416" s="153" t="n"/>
      <c r="BN416" s="153" t="n"/>
      <c r="BO416" s="153" t="n"/>
      <c r="BP416" s="153" t="n"/>
      <c r="BQ416" s="153" t="n"/>
      <c r="BR416" s="153" t="n"/>
      <c r="BS416" s="153" t="n"/>
      <c r="BT416" s="153" t="n"/>
      <c r="BU416" s="8" t="n"/>
      <c r="BV416" s="8" t="n"/>
      <c r="BW416" s="8" t="n"/>
      <c r="BX416" s="8" t="n"/>
      <c r="BY416" s="8" t="n"/>
      <c r="BZ416" s="8" t="n"/>
      <c r="CA416" s="8" t="n"/>
      <c r="CB416" s="8" t="n"/>
      <c r="CC416" s="8" t="n"/>
      <c r="CD416" s="8" t="n"/>
      <c r="CE416" s="8" t="n"/>
      <c r="CF416" s="8" t="n"/>
      <c r="CG416" s="8" t="n"/>
      <c r="CH416" s="8" t="n"/>
      <c r="CI416" s="8" t="n"/>
      <c r="CJ416" s="8" t="n"/>
      <c r="CK416" s="8" t="n"/>
      <c r="CL416" s="8" t="n"/>
      <c r="CM416" s="8" t="n"/>
      <c r="CN416" s="8" t="n"/>
      <c r="CO416" s="8" t="n"/>
      <c r="CP416" s="8" t="n"/>
      <c r="CQ416" s="8" t="n"/>
      <c r="CR416" s="8" t="n"/>
      <c r="CS416" s="8" t="n"/>
      <c r="CT416" s="8" t="n"/>
      <c r="CU416" s="8" t="n"/>
      <c r="CV416" s="8" t="n"/>
      <c r="CW416" s="8" t="n"/>
      <c r="CX416" s="8" t="n"/>
      <c r="CY416" s="8" t="n"/>
      <c r="CZ416" s="8" t="n"/>
      <c r="DA416" s="8" t="n"/>
      <c r="DB416" s="8" t="n"/>
      <c r="DC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  <c r="AC417" s="8" t="n"/>
      <c r="AD417" s="8" t="n"/>
      <c r="AE417" s="8" t="n"/>
      <c r="AF417" s="8" t="n"/>
      <c r="AG417" s="8" t="n"/>
      <c r="AH417" s="8" t="n"/>
      <c r="AI417" s="8" t="n"/>
      <c r="AJ417" s="8" t="n"/>
      <c r="AK417" s="8" t="n"/>
      <c r="AL417" s="8" t="n"/>
      <c r="AM417" s="8" t="n"/>
      <c r="AN417" s="8" t="n"/>
      <c r="AO417" s="8" t="n"/>
      <c r="AP417" s="8" t="n"/>
      <c r="AQ417" s="8" t="n"/>
      <c r="AR417" s="8" t="n"/>
      <c r="AS417" s="8" t="n"/>
      <c r="AT417" s="8" t="n"/>
      <c r="AU417" s="8" t="n"/>
      <c r="AV417" s="8" t="n"/>
      <c r="AW417" s="8" t="n"/>
      <c r="AX417" s="8" t="n"/>
      <c r="AY417" s="8" t="n"/>
      <c r="AZ417" s="8" t="n"/>
      <c r="BA417" s="8" t="n"/>
      <c r="BB417" s="8" t="n"/>
      <c r="BC417" s="8" t="n"/>
      <c r="BD417" s="8" t="n"/>
      <c r="BE417" s="8" t="n"/>
      <c r="BF417" s="8" t="n"/>
      <c r="BG417" s="8" t="n"/>
      <c r="BH417" s="8" t="n"/>
      <c r="BI417" s="8" t="n"/>
      <c r="BJ417" s="153" t="n">
        <v>341</v>
      </c>
      <c r="BK417" s="153" t="inlineStr">
        <is>
          <t>FABRICACION DE LAMINADOS RIGIDOS DE PLASTICO SIN SOPORTE</t>
        </is>
      </c>
      <c r="BL417" s="153" t="n"/>
      <c r="BM417" s="153" t="n"/>
      <c r="BN417" s="153" t="n"/>
      <c r="BO417" s="153" t="n"/>
      <c r="BP417" s="153" t="n"/>
      <c r="BQ417" s="153" t="n"/>
      <c r="BR417" s="153" t="n"/>
      <c r="BS417" s="153" t="n"/>
      <c r="BT417" s="153" t="n"/>
      <c r="BU417" s="8" t="n"/>
      <c r="BV417" s="8" t="n"/>
      <c r="BW417" s="8" t="n"/>
      <c r="BX417" s="8" t="n"/>
      <c r="BY417" s="8" t="n"/>
      <c r="BZ417" s="8" t="n"/>
      <c r="CA417" s="8" t="n"/>
      <c r="CB417" s="8" t="n"/>
      <c r="CC417" s="8" t="n"/>
      <c r="CD417" s="8" t="n"/>
      <c r="CE417" s="8" t="n"/>
      <c r="CF417" s="8" t="n"/>
      <c r="CG417" s="8" t="n"/>
      <c r="CH417" s="8" t="n"/>
      <c r="CI417" s="8" t="n"/>
      <c r="CJ417" s="8" t="n"/>
      <c r="CK417" s="8" t="n"/>
      <c r="CL417" s="8" t="n"/>
      <c r="CM417" s="8" t="n"/>
      <c r="CN417" s="8" t="n"/>
      <c r="CO417" s="8" t="n"/>
      <c r="CP417" s="8" t="n"/>
      <c r="CQ417" s="8" t="n"/>
      <c r="CR417" s="8" t="n"/>
      <c r="CS417" s="8" t="n"/>
      <c r="CT417" s="8" t="n"/>
      <c r="CU417" s="8" t="n"/>
      <c r="CV417" s="8" t="n"/>
      <c r="CW417" s="8" t="n"/>
      <c r="CX417" s="8" t="n"/>
      <c r="CY417" s="8" t="n"/>
      <c r="CZ417" s="8" t="n"/>
      <c r="DA417" s="8" t="n"/>
      <c r="DB417" s="8" t="n"/>
      <c r="DC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  <c r="AC418" s="8" t="n"/>
      <c r="AD418" s="8" t="n"/>
      <c r="AE418" s="8" t="n"/>
      <c r="AF418" s="8" t="n"/>
      <c r="AG418" s="8" t="n"/>
      <c r="AH418" s="8" t="n"/>
      <c r="AI418" s="8" t="n"/>
      <c r="AJ418" s="8" t="n"/>
      <c r="AK418" s="8" t="n"/>
      <c r="AL418" s="8" t="n"/>
      <c r="AM418" s="8" t="n"/>
      <c r="AN418" s="8" t="n"/>
      <c r="AO418" s="8" t="n"/>
      <c r="AP418" s="8" t="n"/>
      <c r="AQ418" s="8" t="n"/>
      <c r="AR418" s="8" t="n"/>
      <c r="AS418" s="8" t="n"/>
      <c r="AT418" s="8" t="n"/>
      <c r="AU418" s="8" t="n"/>
      <c r="AV418" s="8" t="n"/>
      <c r="AW418" s="8" t="n"/>
      <c r="AX418" s="8" t="n"/>
      <c r="AY418" s="8" t="n"/>
      <c r="AZ418" s="8" t="n"/>
      <c r="BA418" s="8" t="n"/>
      <c r="BB418" s="8" t="n"/>
      <c r="BC418" s="8" t="n"/>
      <c r="BD418" s="8" t="n"/>
      <c r="BE418" s="8" t="n"/>
      <c r="BF418" s="8" t="n"/>
      <c r="BG418" s="8" t="n"/>
      <c r="BH418" s="8" t="n"/>
      <c r="BI418" s="8" t="n"/>
      <c r="BJ418" s="153" t="n">
        <v>342</v>
      </c>
      <c r="BK418" s="153" t="inlineStr">
        <is>
          <t>FABRICACION DE ESPUMAS Y PRODUCTOS DE POLIESTIRENO, COMO VASOS, PLATOS, BLOQUES AISLANTES, TABLEROS Y PRODUCTOS PARA EMBALAJE</t>
        </is>
      </c>
      <c r="BL418" s="153" t="n"/>
      <c r="BM418" s="153" t="n"/>
      <c r="BN418" s="153" t="n"/>
      <c r="BO418" s="153" t="n"/>
      <c r="BP418" s="153" t="n"/>
      <c r="BQ418" s="153" t="n"/>
      <c r="BR418" s="153" t="n"/>
      <c r="BS418" s="153" t="n"/>
      <c r="BT418" s="153" t="n"/>
      <c r="BU418" s="8" t="n"/>
      <c r="BV418" s="8" t="n"/>
      <c r="BW418" s="8" t="n"/>
      <c r="BX418" s="8" t="n"/>
      <c r="BY418" s="8" t="n"/>
      <c r="BZ418" s="8" t="n"/>
      <c r="CA418" s="8" t="n"/>
      <c r="CB418" s="8" t="n"/>
      <c r="CC418" s="8" t="n"/>
      <c r="CD418" s="8" t="n"/>
      <c r="CE418" s="8" t="n"/>
      <c r="CF418" s="8" t="n"/>
      <c r="CG418" s="8" t="n"/>
      <c r="CH418" s="8" t="n"/>
      <c r="CI418" s="8" t="n"/>
      <c r="CJ418" s="8" t="n"/>
      <c r="CK418" s="8" t="n"/>
      <c r="CL418" s="8" t="n"/>
      <c r="CM418" s="8" t="n"/>
      <c r="CN418" s="8" t="n"/>
      <c r="CO418" s="8" t="n"/>
      <c r="CP418" s="8" t="n"/>
      <c r="CQ418" s="8" t="n"/>
      <c r="CR418" s="8" t="n"/>
      <c r="CS418" s="8" t="n"/>
      <c r="CT418" s="8" t="n"/>
      <c r="CU418" s="8" t="n"/>
      <c r="CV418" s="8" t="n"/>
      <c r="CW418" s="8" t="n"/>
      <c r="CX418" s="8" t="n"/>
      <c r="CY418" s="8" t="n"/>
      <c r="CZ418" s="8" t="n"/>
      <c r="DA418" s="8" t="n"/>
      <c r="DB418" s="8" t="n"/>
      <c r="DC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  <c r="AC419" s="8" t="n"/>
      <c r="AD419" s="8" t="n"/>
      <c r="AE419" s="8" t="n"/>
      <c r="AF419" s="8" t="n"/>
      <c r="AG419" s="8" t="n"/>
      <c r="AH419" s="8" t="n"/>
      <c r="AI419" s="8" t="n"/>
      <c r="AJ419" s="8" t="n"/>
      <c r="AK419" s="8" t="n"/>
      <c r="AL419" s="8" t="n"/>
      <c r="AM419" s="8" t="n"/>
      <c r="AN419" s="8" t="n"/>
      <c r="AO419" s="8" t="n"/>
      <c r="AP419" s="8" t="n"/>
      <c r="AQ419" s="8" t="n"/>
      <c r="AR419" s="8" t="n"/>
      <c r="AS419" s="8" t="n"/>
      <c r="AT419" s="8" t="n"/>
      <c r="AU419" s="8" t="n"/>
      <c r="AV419" s="8" t="n"/>
      <c r="AW419" s="8" t="n"/>
      <c r="AX419" s="8" t="n"/>
      <c r="AY419" s="8" t="n"/>
      <c r="AZ419" s="8" t="n"/>
      <c r="BA419" s="8" t="n"/>
      <c r="BB419" s="8" t="n"/>
      <c r="BC419" s="8" t="n"/>
      <c r="BD419" s="8" t="n"/>
      <c r="BE419" s="8" t="n"/>
      <c r="BF419" s="8" t="n"/>
      <c r="BG419" s="8" t="n"/>
      <c r="BH419" s="8" t="n"/>
      <c r="BI419" s="8" t="n"/>
      <c r="BJ419" s="153" t="n">
        <v>343</v>
      </c>
      <c r="BK419" s="153" t="inlineStr">
        <is>
          <t>FABRICACION DE ESPUMAS Y PRODUCTOS DE URETANO</t>
        </is>
      </c>
      <c r="BL419" s="153" t="n"/>
      <c r="BM419" s="153" t="n"/>
      <c r="BN419" s="153" t="n"/>
      <c r="BO419" s="153" t="n"/>
      <c r="BP419" s="153" t="n"/>
      <c r="BQ419" s="153" t="n"/>
      <c r="BR419" s="153" t="n"/>
      <c r="BS419" s="153" t="n"/>
      <c r="BT419" s="153" t="n"/>
      <c r="BU419" s="8" t="n"/>
      <c r="BV419" s="8" t="n"/>
      <c r="BW419" s="8" t="n"/>
      <c r="BX419" s="8" t="n"/>
      <c r="BY419" s="8" t="n"/>
      <c r="BZ419" s="8" t="n"/>
      <c r="CA419" s="8" t="n"/>
      <c r="CB419" s="8" t="n"/>
      <c r="CC419" s="8" t="n"/>
      <c r="CD419" s="8" t="n"/>
      <c r="CE419" s="8" t="n"/>
      <c r="CF419" s="8" t="n"/>
      <c r="CG419" s="8" t="n"/>
      <c r="CH419" s="8" t="n"/>
      <c r="CI419" s="8" t="n"/>
      <c r="CJ419" s="8" t="n"/>
      <c r="CK419" s="8" t="n"/>
      <c r="CL419" s="8" t="n"/>
      <c r="CM419" s="8" t="n"/>
      <c r="CN419" s="8" t="n"/>
      <c r="CO419" s="8" t="n"/>
      <c r="CP419" s="8" t="n"/>
      <c r="CQ419" s="8" t="n"/>
      <c r="CR419" s="8" t="n"/>
      <c r="CS419" s="8" t="n"/>
      <c r="CT419" s="8" t="n"/>
      <c r="CU419" s="8" t="n"/>
      <c r="CV419" s="8" t="n"/>
      <c r="CW419" s="8" t="n"/>
      <c r="CX419" s="8" t="n"/>
      <c r="CY419" s="8" t="n"/>
      <c r="CZ419" s="8" t="n"/>
      <c r="DA419" s="8" t="n"/>
      <c r="DB419" s="8" t="n"/>
      <c r="DC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  <c r="AC420" s="8" t="n"/>
      <c r="AD420" s="8" t="n"/>
      <c r="AE420" s="8" t="n"/>
      <c r="AF420" s="8" t="n"/>
      <c r="AG420" s="8" t="n"/>
      <c r="AH420" s="8" t="n"/>
      <c r="AI420" s="8" t="n"/>
      <c r="AJ420" s="8" t="n"/>
      <c r="AK420" s="8" t="n"/>
      <c r="AL420" s="8" t="n"/>
      <c r="AM420" s="8" t="n"/>
      <c r="AN420" s="8" t="n"/>
      <c r="AO420" s="8" t="n"/>
      <c r="AP420" s="8" t="n"/>
      <c r="AQ420" s="8" t="n"/>
      <c r="AR420" s="8" t="n"/>
      <c r="AS420" s="8" t="n"/>
      <c r="AT420" s="8" t="n"/>
      <c r="AU420" s="8" t="n"/>
      <c r="AV420" s="8" t="n"/>
      <c r="AW420" s="8" t="n"/>
      <c r="AX420" s="8" t="n"/>
      <c r="AY420" s="8" t="n"/>
      <c r="AZ420" s="8" t="n"/>
      <c r="BA420" s="8" t="n"/>
      <c r="BB420" s="8" t="n"/>
      <c r="BC420" s="8" t="n"/>
      <c r="BD420" s="8" t="n"/>
      <c r="BE420" s="8" t="n"/>
      <c r="BF420" s="8" t="n"/>
      <c r="BG420" s="8" t="n"/>
      <c r="BH420" s="8" t="n"/>
      <c r="BI420" s="8" t="n"/>
      <c r="BJ420" s="153" t="n">
        <v>344</v>
      </c>
      <c r="BK420" s="153" t="inlineStr">
        <is>
          <t>FABRICACION DE BOTELLAS, BOTELLONES Y FRASCOS DE PLASTICO. INCLUYE LA FABRICACION DE PREFORMAS DE BOTELLAS</t>
        </is>
      </c>
      <c r="BL420" s="153" t="n"/>
      <c r="BM420" s="153" t="n"/>
      <c r="BN420" s="153" t="n"/>
      <c r="BO420" s="153" t="n"/>
      <c r="BP420" s="153" t="n"/>
      <c r="BQ420" s="153" t="n"/>
      <c r="BR420" s="153" t="n"/>
      <c r="BS420" s="153" t="n"/>
      <c r="BT420" s="153" t="n"/>
      <c r="BU420" s="8" t="n"/>
      <c r="BV420" s="8" t="n"/>
      <c r="BW420" s="8" t="n"/>
      <c r="BX420" s="8" t="n"/>
      <c r="BY420" s="8" t="n"/>
      <c r="BZ420" s="8" t="n"/>
      <c r="CA420" s="8" t="n"/>
      <c r="CB420" s="8" t="n"/>
      <c r="CC420" s="8" t="n"/>
      <c r="CD420" s="8" t="n"/>
      <c r="CE420" s="8" t="n"/>
      <c r="CF420" s="8" t="n"/>
      <c r="CG420" s="8" t="n"/>
      <c r="CH420" s="8" t="n"/>
      <c r="CI420" s="8" t="n"/>
      <c r="CJ420" s="8" t="n"/>
      <c r="CK420" s="8" t="n"/>
      <c r="CL420" s="8" t="n"/>
      <c r="CM420" s="8" t="n"/>
      <c r="CN420" s="8" t="n"/>
      <c r="CO420" s="8" t="n"/>
      <c r="CP420" s="8" t="n"/>
      <c r="CQ420" s="8" t="n"/>
      <c r="CR420" s="8" t="n"/>
      <c r="CS420" s="8" t="n"/>
      <c r="CT420" s="8" t="n"/>
      <c r="CU420" s="8" t="n"/>
      <c r="CV420" s="8" t="n"/>
      <c r="CW420" s="8" t="n"/>
      <c r="CX420" s="8" t="n"/>
      <c r="CY420" s="8" t="n"/>
      <c r="CZ420" s="8" t="n"/>
      <c r="DA420" s="8" t="n"/>
      <c r="DB420" s="8" t="n"/>
      <c r="DC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  <c r="AC421" s="8" t="n"/>
      <c r="AD421" s="8" t="n"/>
      <c r="AE421" s="8" t="n"/>
      <c r="AF421" s="8" t="n"/>
      <c r="AG421" s="8" t="n"/>
      <c r="AH421" s="8" t="n"/>
      <c r="AI421" s="8" t="n"/>
      <c r="AJ421" s="8" t="n"/>
      <c r="AK421" s="8" t="n"/>
      <c r="AL421" s="8" t="n"/>
      <c r="AM421" s="8" t="n"/>
      <c r="AN421" s="8" t="n"/>
      <c r="AO421" s="8" t="n"/>
      <c r="AP421" s="8" t="n"/>
      <c r="AQ421" s="8" t="n"/>
      <c r="AR421" s="8" t="n"/>
      <c r="AS421" s="8" t="n"/>
      <c r="AT421" s="8" t="n"/>
      <c r="AU421" s="8" t="n"/>
      <c r="AV421" s="8" t="n"/>
      <c r="AW421" s="8" t="n"/>
      <c r="AX421" s="8" t="n"/>
      <c r="AY421" s="8" t="n"/>
      <c r="AZ421" s="8" t="n"/>
      <c r="BA421" s="8" t="n"/>
      <c r="BB421" s="8" t="n"/>
      <c r="BC421" s="8" t="n"/>
      <c r="BD421" s="8" t="n"/>
      <c r="BE421" s="8" t="n"/>
      <c r="BF421" s="8" t="n"/>
      <c r="BG421" s="8" t="n"/>
      <c r="BH421" s="8" t="n"/>
      <c r="BI421" s="8" t="n"/>
      <c r="BJ421" s="153" t="n">
        <v>345</v>
      </c>
      <c r="BK421" s="153" t="inlineStr">
        <is>
          <t>FABRICACION DE ARTICULOS DE PLASTICO PARA EL HOGAR</t>
        </is>
      </c>
      <c r="BL421" s="153" t="n"/>
      <c r="BM421" s="153" t="n"/>
      <c r="BN421" s="153" t="n"/>
      <c r="BO421" s="153" t="n"/>
      <c r="BP421" s="153" t="n"/>
      <c r="BQ421" s="153" t="n"/>
      <c r="BR421" s="153" t="n"/>
      <c r="BS421" s="153" t="n"/>
      <c r="BT421" s="153" t="n"/>
      <c r="BU421" s="8" t="n"/>
      <c r="BV421" s="8" t="n"/>
      <c r="BW421" s="8" t="n"/>
      <c r="BX421" s="8" t="n"/>
      <c r="BY421" s="8" t="n"/>
      <c r="BZ421" s="8" t="n"/>
      <c r="CA421" s="8" t="n"/>
      <c r="CB421" s="8" t="n"/>
      <c r="CC421" s="8" t="n"/>
      <c r="CD421" s="8" t="n"/>
      <c r="CE421" s="8" t="n"/>
      <c r="CF421" s="8" t="n"/>
      <c r="CG421" s="8" t="n"/>
      <c r="CH421" s="8" t="n"/>
      <c r="CI421" s="8" t="n"/>
      <c r="CJ421" s="8" t="n"/>
      <c r="CK421" s="8" t="n"/>
      <c r="CL421" s="8" t="n"/>
      <c r="CM421" s="8" t="n"/>
      <c r="CN421" s="8" t="n"/>
      <c r="CO421" s="8" t="n"/>
      <c r="CP421" s="8" t="n"/>
      <c r="CQ421" s="8" t="n"/>
      <c r="CR421" s="8" t="n"/>
      <c r="CS421" s="8" t="n"/>
      <c r="CT421" s="8" t="n"/>
      <c r="CU421" s="8" t="n"/>
      <c r="CV421" s="8" t="n"/>
      <c r="CW421" s="8" t="n"/>
      <c r="CX421" s="8" t="n"/>
      <c r="CY421" s="8" t="n"/>
      <c r="CZ421" s="8" t="n"/>
      <c r="DA421" s="8" t="n"/>
      <c r="DB421" s="8" t="n"/>
      <c r="DC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  <c r="AC422" s="8" t="n"/>
      <c r="AD422" s="8" t="n"/>
      <c r="AE422" s="8" t="n"/>
      <c r="AF422" s="8" t="n"/>
      <c r="AG422" s="8" t="n"/>
      <c r="AH422" s="8" t="n"/>
      <c r="AI422" s="8" t="n"/>
      <c r="AJ422" s="8" t="n"/>
      <c r="AK422" s="8" t="n"/>
      <c r="AL422" s="8" t="n"/>
      <c r="AM422" s="8" t="n"/>
      <c r="AN422" s="8" t="n"/>
      <c r="AO422" s="8" t="n"/>
      <c r="AP422" s="8" t="n"/>
      <c r="AQ422" s="8" t="n"/>
      <c r="AR422" s="8" t="n"/>
      <c r="AS422" s="8" t="n"/>
      <c r="AT422" s="8" t="n"/>
      <c r="AU422" s="8" t="n"/>
      <c r="AV422" s="8" t="n"/>
      <c r="AW422" s="8" t="n"/>
      <c r="AX422" s="8" t="n"/>
      <c r="AY422" s="8" t="n"/>
      <c r="AZ422" s="8" t="n"/>
      <c r="BA422" s="8" t="n"/>
      <c r="BB422" s="8" t="n"/>
      <c r="BC422" s="8" t="n"/>
      <c r="BD422" s="8" t="n"/>
      <c r="BE422" s="8" t="n"/>
      <c r="BF422" s="8" t="n"/>
      <c r="BG422" s="8" t="n"/>
      <c r="BH422" s="8" t="n"/>
      <c r="BI422" s="8" t="n"/>
      <c r="BJ422" s="153" t="n">
        <v>346</v>
      </c>
      <c r="BK422" s="153" t="inlineStr">
        <is>
          <t>FABRICACION DE AUTOPARTES DE PLASTICO</t>
        </is>
      </c>
      <c r="BL422" s="153" t="n"/>
      <c r="BM422" s="153" t="n"/>
      <c r="BN422" s="153" t="n"/>
      <c r="BO422" s="153" t="n"/>
      <c r="BP422" s="153" t="n"/>
      <c r="BQ422" s="153" t="n"/>
      <c r="BR422" s="153" t="n"/>
      <c r="BS422" s="153" t="n"/>
      <c r="BT422" s="153" t="n"/>
      <c r="BU422" s="8" t="n"/>
      <c r="BV422" s="8" t="n"/>
      <c r="BW422" s="8" t="n"/>
      <c r="BX422" s="8" t="n"/>
      <c r="BY422" s="8" t="n"/>
      <c r="BZ422" s="8" t="n"/>
      <c r="CA422" s="8" t="n"/>
      <c r="CB422" s="8" t="n"/>
      <c r="CC422" s="8" t="n"/>
      <c r="CD422" s="8" t="n"/>
      <c r="CE422" s="8" t="n"/>
      <c r="CF422" s="8" t="n"/>
      <c r="CG422" s="8" t="n"/>
      <c r="CH422" s="8" t="n"/>
      <c r="CI422" s="8" t="n"/>
      <c r="CJ422" s="8" t="n"/>
      <c r="CK422" s="8" t="n"/>
      <c r="CL422" s="8" t="n"/>
      <c r="CM422" s="8" t="n"/>
      <c r="CN422" s="8" t="n"/>
      <c r="CO422" s="8" t="n"/>
      <c r="CP422" s="8" t="n"/>
      <c r="CQ422" s="8" t="n"/>
      <c r="CR422" s="8" t="n"/>
      <c r="CS422" s="8" t="n"/>
      <c r="CT422" s="8" t="n"/>
      <c r="CU422" s="8" t="n"/>
      <c r="CV422" s="8" t="n"/>
      <c r="CW422" s="8" t="n"/>
      <c r="CX422" s="8" t="n"/>
      <c r="CY422" s="8" t="n"/>
      <c r="CZ422" s="8" t="n"/>
      <c r="DA422" s="8" t="n"/>
      <c r="DB422" s="8" t="n"/>
      <c r="DC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  <c r="AC423" s="8" t="n"/>
      <c r="AD423" s="8" t="n"/>
      <c r="AE423" s="8" t="n"/>
      <c r="AF423" s="8" t="n"/>
      <c r="AG423" s="8" t="n"/>
      <c r="AH423" s="8" t="n"/>
      <c r="AI423" s="8" t="n"/>
      <c r="AJ423" s="8" t="n"/>
      <c r="AK423" s="8" t="n"/>
      <c r="AL423" s="8" t="n"/>
      <c r="AM423" s="8" t="n"/>
      <c r="AN423" s="8" t="n"/>
      <c r="AO423" s="8" t="n"/>
      <c r="AP423" s="8" t="n"/>
      <c r="AQ423" s="8" t="n"/>
      <c r="AR423" s="8" t="n"/>
      <c r="AS423" s="8" t="n"/>
      <c r="AT423" s="8" t="n"/>
      <c r="AU423" s="8" t="n"/>
      <c r="AV423" s="8" t="n"/>
      <c r="AW423" s="8" t="n"/>
      <c r="AX423" s="8" t="n"/>
      <c r="AY423" s="8" t="n"/>
      <c r="AZ423" s="8" t="n"/>
      <c r="BA423" s="8" t="n"/>
      <c r="BB423" s="8" t="n"/>
      <c r="BC423" s="8" t="n"/>
      <c r="BD423" s="8" t="n"/>
      <c r="BE423" s="8" t="n"/>
      <c r="BF423" s="8" t="n"/>
      <c r="BG423" s="8" t="n"/>
      <c r="BH423" s="8" t="n"/>
      <c r="BI423" s="8" t="n"/>
      <c r="BJ423" s="153" t="n">
        <v>347</v>
      </c>
      <c r="BK423" s="153" t="inlineStr">
        <is>
          <t>FABRICACION DE ENVASES Y CONTENEDORES DE PLASTICO. INCLUYE LA FABRICACION DE TAPAS Y TARIMAS DE PLASTICO</t>
        </is>
      </c>
      <c r="BL423" s="153" t="n"/>
      <c r="BM423" s="153" t="n"/>
      <c r="BN423" s="153" t="n"/>
      <c r="BO423" s="153" t="n"/>
      <c r="BP423" s="153" t="n"/>
      <c r="BQ423" s="153" t="n"/>
      <c r="BR423" s="153" t="n"/>
      <c r="BS423" s="153" t="n"/>
      <c r="BT423" s="153" t="n"/>
      <c r="BU423" s="8" t="n"/>
      <c r="BV423" s="8" t="n"/>
      <c r="BW423" s="8" t="n"/>
      <c r="BX423" s="8" t="n"/>
      <c r="BY423" s="8" t="n"/>
      <c r="BZ423" s="8" t="n"/>
      <c r="CA423" s="8" t="n"/>
      <c r="CB423" s="8" t="n"/>
      <c r="CC423" s="8" t="n"/>
      <c r="CD423" s="8" t="n"/>
      <c r="CE423" s="8" t="n"/>
      <c r="CF423" s="8" t="n"/>
      <c r="CG423" s="8" t="n"/>
      <c r="CH423" s="8" t="n"/>
      <c r="CI423" s="8" t="n"/>
      <c r="CJ423" s="8" t="n"/>
      <c r="CK423" s="8" t="n"/>
      <c r="CL423" s="8" t="n"/>
      <c r="CM423" s="8" t="n"/>
      <c r="CN423" s="8" t="n"/>
      <c r="CO423" s="8" t="n"/>
      <c r="CP423" s="8" t="n"/>
      <c r="CQ423" s="8" t="n"/>
      <c r="CR423" s="8" t="n"/>
      <c r="CS423" s="8" t="n"/>
      <c r="CT423" s="8" t="n"/>
      <c r="CU423" s="8" t="n"/>
      <c r="CV423" s="8" t="n"/>
      <c r="CW423" s="8" t="n"/>
      <c r="CX423" s="8" t="n"/>
      <c r="CY423" s="8" t="n"/>
      <c r="CZ423" s="8" t="n"/>
      <c r="DA423" s="8" t="n"/>
      <c r="DB423" s="8" t="n"/>
      <c r="DC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  <c r="AC424" s="8" t="n"/>
      <c r="AD424" s="8" t="n"/>
      <c r="AE424" s="8" t="n"/>
      <c r="AF424" s="8" t="n"/>
      <c r="AG424" s="8" t="n"/>
      <c r="AH424" s="8" t="n"/>
      <c r="AI424" s="8" t="n"/>
      <c r="AJ424" s="8" t="n"/>
      <c r="AK424" s="8" t="n"/>
      <c r="AL424" s="8" t="n"/>
      <c r="AM424" s="8" t="n"/>
      <c r="AN424" s="8" t="n"/>
      <c r="AO424" s="8" t="n"/>
      <c r="AP424" s="8" t="n"/>
      <c r="AQ424" s="8" t="n"/>
      <c r="AR424" s="8" t="n"/>
      <c r="AS424" s="8" t="n"/>
      <c r="AT424" s="8" t="n"/>
      <c r="AU424" s="8" t="n"/>
      <c r="AV424" s="8" t="n"/>
      <c r="AW424" s="8" t="n"/>
      <c r="AX424" s="8" t="n"/>
      <c r="AY424" s="8" t="n"/>
      <c r="AZ424" s="8" t="n"/>
      <c r="BA424" s="8" t="n"/>
      <c r="BB424" s="8" t="n"/>
      <c r="BC424" s="8" t="n"/>
      <c r="BD424" s="8" t="n"/>
      <c r="BE424" s="8" t="n"/>
      <c r="BF424" s="8" t="n"/>
      <c r="BG424" s="8" t="n"/>
      <c r="BH424" s="8" t="n"/>
      <c r="BI424" s="8" t="n"/>
      <c r="BJ424" s="153" t="n">
        <v>348</v>
      </c>
      <c r="BK424" s="153" t="inlineStr">
        <is>
          <t>FABRICACION DE PARTES Y PIEZAS DE PLASTICO SIN REFORZAMIENTO PARA LAS INDUSTRIAS ELECTRICA, ELECTRONICA, QUIMICA, TEXTIL Y PARA OTRAS INDUSTRIAS</t>
        </is>
      </c>
      <c r="BL424" s="153" t="n"/>
      <c r="BM424" s="153" t="n"/>
      <c r="BN424" s="153" t="n"/>
      <c r="BO424" s="153" t="n"/>
      <c r="BP424" s="153" t="n"/>
      <c r="BQ424" s="153" t="n"/>
      <c r="BR424" s="153" t="n"/>
      <c r="BS424" s="153" t="n"/>
      <c r="BT424" s="153" t="n"/>
      <c r="BU424" s="8" t="n"/>
      <c r="BV424" s="8" t="n"/>
      <c r="BW424" s="8" t="n"/>
      <c r="BX424" s="8" t="n"/>
      <c r="BY424" s="8" t="n"/>
      <c r="BZ424" s="8" t="n"/>
      <c r="CA424" s="8" t="n"/>
      <c r="CB424" s="8" t="n"/>
      <c r="CC424" s="8" t="n"/>
      <c r="CD424" s="8" t="n"/>
      <c r="CE424" s="8" t="n"/>
      <c r="CF424" s="8" t="n"/>
      <c r="CG424" s="8" t="n"/>
      <c r="CH424" s="8" t="n"/>
      <c r="CI424" s="8" t="n"/>
      <c r="CJ424" s="8" t="n"/>
      <c r="CK424" s="8" t="n"/>
      <c r="CL424" s="8" t="n"/>
      <c r="CM424" s="8" t="n"/>
      <c r="CN424" s="8" t="n"/>
      <c r="CO424" s="8" t="n"/>
      <c r="CP424" s="8" t="n"/>
      <c r="CQ424" s="8" t="n"/>
      <c r="CR424" s="8" t="n"/>
      <c r="CS424" s="8" t="n"/>
      <c r="CT424" s="8" t="n"/>
      <c r="CU424" s="8" t="n"/>
      <c r="CV424" s="8" t="n"/>
      <c r="CW424" s="8" t="n"/>
      <c r="CX424" s="8" t="n"/>
      <c r="CY424" s="8" t="n"/>
      <c r="CZ424" s="8" t="n"/>
      <c r="DA424" s="8" t="n"/>
      <c r="DB424" s="8" t="n"/>
      <c r="DC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  <c r="AC425" s="8" t="n"/>
      <c r="AD425" s="8" t="n"/>
      <c r="AE425" s="8" t="n"/>
      <c r="AF425" s="8" t="n"/>
      <c r="AG425" s="8" t="n"/>
      <c r="AH425" s="8" t="n"/>
      <c r="AI425" s="8" t="n"/>
      <c r="AJ425" s="8" t="n"/>
      <c r="AK425" s="8" t="n"/>
      <c r="AL425" s="8" t="n"/>
      <c r="AM425" s="8" t="n"/>
      <c r="AN425" s="8" t="n"/>
      <c r="AO425" s="8" t="n"/>
      <c r="AP425" s="8" t="n"/>
      <c r="AQ425" s="8" t="n"/>
      <c r="AR425" s="8" t="n"/>
      <c r="AS425" s="8" t="n"/>
      <c r="AT425" s="8" t="n"/>
      <c r="AU425" s="8" t="n"/>
      <c r="AV425" s="8" t="n"/>
      <c r="AW425" s="8" t="n"/>
      <c r="AX425" s="8" t="n"/>
      <c r="AY425" s="8" t="n"/>
      <c r="AZ425" s="8" t="n"/>
      <c r="BA425" s="8" t="n"/>
      <c r="BB425" s="8" t="n"/>
      <c r="BC425" s="8" t="n"/>
      <c r="BD425" s="8" t="n"/>
      <c r="BE425" s="8" t="n"/>
      <c r="BF425" s="8" t="n"/>
      <c r="BG425" s="8" t="n"/>
      <c r="BH425" s="8" t="n"/>
      <c r="BI425" s="8" t="n"/>
      <c r="BJ425" s="153" t="n">
        <v>349</v>
      </c>
      <c r="BK425" s="153" t="inlineStr">
        <is>
          <t>FABRICACION DE OTROS ARTICULOS DE PLASTICO REFORZADO</t>
        </is>
      </c>
      <c r="BL425" s="153" t="n"/>
      <c r="BM425" s="153" t="n"/>
      <c r="BN425" s="153" t="n"/>
      <c r="BO425" s="153" t="n"/>
      <c r="BP425" s="153" t="n"/>
      <c r="BQ425" s="153" t="n"/>
      <c r="BR425" s="153" t="n"/>
      <c r="BS425" s="153" t="n"/>
      <c r="BT425" s="153" t="n"/>
      <c r="BU425" s="8" t="n"/>
      <c r="BV425" s="8" t="n"/>
      <c r="BW425" s="8" t="n"/>
      <c r="BX425" s="8" t="n"/>
      <c r="BY425" s="8" t="n"/>
      <c r="BZ425" s="8" t="n"/>
      <c r="CA425" s="8" t="n"/>
      <c r="CB425" s="8" t="n"/>
      <c r="CC425" s="8" t="n"/>
      <c r="CD425" s="8" t="n"/>
      <c r="CE425" s="8" t="n"/>
      <c r="CF425" s="8" t="n"/>
      <c r="CG425" s="8" t="n"/>
      <c r="CH425" s="8" t="n"/>
      <c r="CI425" s="8" t="n"/>
      <c r="CJ425" s="8" t="n"/>
      <c r="CK425" s="8" t="n"/>
      <c r="CL425" s="8" t="n"/>
      <c r="CM425" s="8" t="n"/>
      <c r="CN425" s="8" t="n"/>
      <c r="CO425" s="8" t="n"/>
      <c r="CP425" s="8" t="n"/>
      <c r="CQ425" s="8" t="n"/>
      <c r="CR425" s="8" t="n"/>
      <c r="CS425" s="8" t="n"/>
      <c r="CT425" s="8" t="n"/>
      <c r="CU425" s="8" t="n"/>
      <c r="CV425" s="8" t="n"/>
      <c r="CW425" s="8" t="n"/>
      <c r="CX425" s="8" t="n"/>
      <c r="CY425" s="8" t="n"/>
      <c r="CZ425" s="8" t="n"/>
      <c r="DA425" s="8" t="n"/>
      <c r="DB425" s="8" t="n"/>
      <c r="DC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  <c r="AC426" s="8" t="n"/>
      <c r="AD426" s="8" t="n"/>
      <c r="AE426" s="8" t="n"/>
      <c r="AF426" s="8" t="n"/>
      <c r="AG426" s="8" t="n"/>
      <c r="AH426" s="8" t="n"/>
      <c r="AI426" s="8" t="n"/>
      <c r="AJ426" s="8" t="n"/>
      <c r="AK426" s="8" t="n"/>
      <c r="AL426" s="8" t="n"/>
      <c r="AM426" s="8" t="n"/>
      <c r="AN426" s="8" t="n"/>
      <c r="AO426" s="8" t="n"/>
      <c r="AP426" s="8" t="n"/>
      <c r="AQ426" s="8" t="n"/>
      <c r="AR426" s="8" t="n"/>
      <c r="AS426" s="8" t="n"/>
      <c r="AT426" s="8" t="n"/>
      <c r="AU426" s="8" t="n"/>
      <c r="AV426" s="8" t="n"/>
      <c r="AW426" s="8" t="n"/>
      <c r="AX426" s="8" t="n"/>
      <c r="AY426" s="8" t="n"/>
      <c r="AZ426" s="8" t="n"/>
      <c r="BA426" s="8" t="n"/>
      <c r="BB426" s="8" t="n"/>
      <c r="BC426" s="8" t="n"/>
      <c r="BD426" s="8" t="n"/>
      <c r="BE426" s="8" t="n"/>
      <c r="BF426" s="8" t="n"/>
      <c r="BG426" s="8" t="n"/>
      <c r="BH426" s="8" t="n"/>
      <c r="BI426" s="8" t="n"/>
      <c r="BJ426" s="153" t="n">
        <v>350</v>
      </c>
      <c r="BK426" s="153" t="inlineStr">
        <is>
          <t>FABRICACION DE OTROS PRODUCTOS DE PLASTICO</t>
        </is>
      </c>
      <c r="BL426" s="153" t="n"/>
      <c r="BM426" s="153" t="n"/>
      <c r="BN426" s="153" t="n"/>
      <c r="BO426" s="153" t="n"/>
      <c r="BP426" s="153" t="n"/>
      <c r="BQ426" s="153" t="n"/>
      <c r="BR426" s="153" t="n"/>
      <c r="BS426" s="153" t="n"/>
      <c r="BT426" s="153" t="n"/>
      <c r="BU426" s="8" t="n"/>
      <c r="BV426" s="8" t="n"/>
      <c r="BW426" s="8" t="n"/>
      <c r="BX426" s="8" t="n"/>
      <c r="BY426" s="8" t="n"/>
      <c r="BZ426" s="8" t="n"/>
      <c r="CA426" s="8" t="n"/>
      <c r="CB426" s="8" t="n"/>
      <c r="CC426" s="8" t="n"/>
      <c r="CD426" s="8" t="n"/>
      <c r="CE426" s="8" t="n"/>
      <c r="CF426" s="8" t="n"/>
      <c r="CG426" s="8" t="n"/>
      <c r="CH426" s="8" t="n"/>
      <c r="CI426" s="8" t="n"/>
      <c r="CJ426" s="8" t="n"/>
      <c r="CK426" s="8" t="n"/>
      <c r="CL426" s="8" t="n"/>
      <c r="CM426" s="8" t="n"/>
      <c r="CN426" s="8" t="n"/>
      <c r="CO426" s="8" t="n"/>
      <c r="CP426" s="8" t="n"/>
      <c r="CQ426" s="8" t="n"/>
      <c r="CR426" s="8" t="n"/>
      <c r="CS426" s="8" t="n"/>
      <c r="CT426" s="8" t="n"/>
      <c r="CU426" s="8" t="n"/>
      <c r="CV426" s="8" t="n"/>
      <c r="CW426" s="8" t="n"/>
      <c r="CX426" s="8" t="n"/>
      <c r="CY426" s="8" t="n"/>
      <c r="CZ426" s="8" t="n"/>
      <c r="DA426" s="8" t="n"/>
      <c r="DB426" s="8" t="n"/>
      <c r="DC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  <c r="AC427" s="8" t="n"/>
      <c r="AD427" s="8" t="n"/>
      <c r="AE427" s="8" t="n"/>
      <c r="AF427" s="8" t="n"/>
      <c r="AG427" s="8" t="n"/>
      <c r="AH427" s="8" t="n"/>
      <c r="AI427" s="8" t="n"/>
      <c r="AJ427" s="8" t="n"/>
      <c r="AK427" s="8" t="n"/>
      <c r="AL427" s="8" t="n"/>
      <c r="AM427" s="8" t="n"/>
      <c r="AN427" s="8" t="n"/>
      <c r="AO427" s="8" t="n"/>
      <c r="AP427" s="8" t="n"/>
      <c r="AQ427" s="8" t="n"/>
      <c r="AR427" s="8" t="n"/>
      <c r="AS427" s="8" t="n"/>
      <c r="AT427" s="8" t="n"/>
      <c r="AU427" s="8" t="n"/>
      <c r="AV427" s="8" t="n"/>
      <c r="AW427" s="8" t="n"/>
      <c r="AX427" s="8" t="n"/>
      <c r="AY427" s="8" t="n"/>
      <c r="AZ427" s="8" t="n"/>
      <c r="BA427" s="8" t="n"/>
      <c r="BB427" s="8" t="n"/>
      <c r="BC427" s="8" t="n"/>
      <c r="BD427" s="8" t="n"/>
      <c r="BE427" s="8" t="n"/>
      <c r="BF427" s="8" t="n"/>
      <c r="BG427" s="8" t="n"/>
      <c r="BH427" s="8" t="n"/>
      <c r="BI427" s="8" t="n"/>
      <c r="BJ427" s="153" t="n">
        <v>351</v>
      </c>
      <c r="BK427" s="153" t="inlineStr">
        <is>
          <t>FABRICACION DE LLANTAS Y CAMARAS</t>
        </is>
      </c>
      <c r="BL427" s="153" t="n"/>
      <c r="BM427" s="153" t="n"/>
      <c r="BN427" s="153" t="n"/>
      <c r="BO427" s="153" t="n"/>
      <c r="BP427" s="153" t="n"/>
      <c r="BQ427" s="153" t="n"/>
      <c r="BR427" s="153" t="n"/>
      <c r="BS427" s="153" t="n"/>
      <c r="BT427" s="153" t="n"/>
      <c r="BU427" s="8" t="n"/>
      <c r="BV427" s="8" t="n"/>
      <c r="BW427" s="8" t="n"/>
      <c r="BX427" s="8" t="n"/>
      <c r="BY427" s="8" t="n"/>
      <c r="BZ427" s="8" t="n"/>
      <c r="CA427" s="8" t="n"/>
      <c r="CB427" s="8" t="n"/>
      <c r="CC427" s="8" t="n"/>
      <c r="CD427" s="8" t="n"/>
      <c r="CE427" s="8" t="n"/>
      <c r="CF427" s="8" t="n"/>
      <c r="CG427" s="8" t="n"/>
      <c r="CH427" s="8" t="n"/>
      <c r="CI427" s="8" t="n"/>
      <c r="CJ427" s="8" t="n"/>
      <c r="CK427" s="8" t="n"/>
      <c r="CL427" s="8" t="n"/>
      <c r="CM427" s="8" t="n"/>
      <c r="CN427" s="8" t="n"/>
      <c r="CO427" s="8" t="n"/>
      <c r="CP427" s="8" t="n"/>
      <c r="CQ427" s="8" t="n"/>
      <c r="CR427" s="8" t="n"/>
      <c r="CS427" s="8" t="n"/>
      <c r="CT427" s="8" t="n"/>
      <c r="CU427" s="8" t="n"/>
      <c r="CV427" s="8" t="n"/>
      <c r="CW427" s="8" t="n"/>
      <c r="CX427" s="8" t="n"/>
      <c r="CY427" s="8" t="n"/>
      <c r="CZ427" s="8" t="n"/>
      <c r="DA427" s="8" t="n"/>
      <c r="DB427" s="8" t="n"/>
      <c r="DC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  <c r="AC428" s="8" t="n"/>
      <c r="AD428" s="8" t="n"/>
      <c r="AE428" s="8" t="n"/>
      <c r="AF428" s="8" t="n"/>
      <c r="AG428" s="8" t="n"/>
      <c r="AH428" s="8" t="n"/>
      <c r="AI428" s="8" t="n"/>
      <c r="AJ428" s="8" t="n"/>
      <c r="AK428" s="8" t="n"/>
      <c r="AL428" s="8" t="n"/>
      <c r="AM428" s="8" t="n"/>
      <c r="AN428" s="8" t="n"/>
      <c r="AO428" s="8" t="n"/>
      <c r="AP428" s="8" t="n"/>
      <c r="AQ428" s="8" t="n"/>
      <c r="AR428" s="8" t="n"/>
      <c r="AS428" s="8" t="n"/>
      <c r="AT428" s="8" t="n"/>
      <c r="AU428" s="8" t="n"/>
      <c r="AV428" s="8" t="n"/>
      <c r="AW428" s="8" t="n"/>
      <c r="AX428" s="8" t="n"/>
      <c r="AY428" s="8" t="n"/>
      <c r="AZ428" s="8" t="n"/>
      <c r="BA428" s="8" t="n"/>
      <c r="BB428" s="8" t="n"/>
      <c r="BC428" s="8" t="n"/>
      <c r="BD428" s="8" t="n"/>
      <c r="BE428" s="8" t="n"/>
      <c r="BF428" s="8" t="n"/>
      <c r="BG428" s="8" t="n"/>
      <c r="BH428" s="8" t="n"/>
      <c r="BI428" s="8" t="n"/>
      <c r="BJ428" s="153" t="n">
        <v>352</v>
      </c>
      <c r="BK428" s="153" t="inlineStr">
        <is>
          <t>REVITALIZACION (RECAUCHUTADO) DE LLANTAS</t>
        </is>
      </c>
      <c r="BL428" s="153" t="n"/>
      <c r="BM428" s="153" t="n"/>
      <c r="BN428" s="153" t="n"/>
      <c r="BO428" s="153" t="n"/>
      <c r="BP428" s="153" t="n"/>
      <c r="BQ428" s="153" t="n"/>
      <c r="BR428" s="153" t="n"/>
      <c r="BS428" s="153" t="n"/>
      <c r="BT428" s="153" t="n"/>
      <c r="BU428" s="8" t="n"/>
      <c r="BV428" s="8" t="n"/>
      <c r="BW428" s="8" t="n"/>
      <c r="BX428" s="8" t="n"/>
      <c r="BY428" s="8" t="n"/>
      <c r="BZ428" s="8" t="n"/>
      <c r="CA428" s="8" t="n"/>
      <c r="CB428" s="8" t="n"/>
      <c r="CC428" s="8" t="n"/>
      <c r="CD428" s="8" t="n"/>
      <c r="CE428" s="8" t="n"/>
      <c r="CF428" s="8" t="n"/>
      <c r="CG428" s="8" t="n"/>
      <c r="CH428" s="8" t="n"/>
      <c r="CI428" s="8" t="n"/>
      <c r="CJ428" s="8" t="n"/>
      <c r="CK428" s="8" t="n"/>
      <c r="CL428" s="8" t="n"/>
      <c r="CM428" s="8" t="n"/>
      <c r="CN428" s="8" t="n"/>
      <c r="CO428" s="8" t="n"/>
      <c r="CP428" s="8" t="n"/>
      <c r="CQ428" s="8" t="n"/>
      <c r="CR428" s="8" t="n"/>
      <c r="CS428" s="8" t="n"/>
      <c r="CT428" s="8" t="n"/>
      <c r="CU428" s="8" t="n"/>
      <c r="CV428" s="8" t="n"/>
      <c r="CW428" s="8" t="n"/>
      <c r="CX428" s="8" t="n"/>
      <c r="CY428" s="8" t="n"/>
      <c r="CZ428" s="8" t="n"/>
      <c r="DA428" s="8" t="n"/>
      <c r="DB428" s="8" t="n"/>
      <c r="DC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  <c r="AC429" s="8" t="n"/>
      <c r="AD429" s="8" t="n"/>
      <c r="AE429" s="8" t="n"/>
      <c r="AF429" s="8" t="n"/>
      <c r="AG429" s="8" t="n"/>
      <c r="AH429" s="8" t="n"/>
      <c r="AI429" s="8" t="n"/>
      <c r="AJ429" s="8" t="n"/>
      <c r="AK429" s="8" t="n"/>
      <c r="AL429" s="8" t="n"/>
      <c r="AM429" s="8" t="n"/>
      <c r="AN429" s="8" t="n"/>
      <c r="AO429" s="8" t="n"/>
      <c r="AP429" s="8" t="n"/>
      <c r="AQ429" s="8" t="n"/>
      <c r="AR429" s="8" t="n"/>
      <c r="AS429" s="8" t="n"/>
      <c r="AT429" s="8" t="n"/>
      <c r="AU429" s="8" t="n"/>
      <c r="AV429" s="8" t="n"/>
      <c r="AW429" s="8" t="n"/>
      <c r="AX429" s="8" t="n"/>
      <c r="AY429" s="8" t="n"/>
      <c r="AZ429" s="8" t="n"/>
      <c r="BA429" s="8" t="n"/>
      <c r="BB429" s="8" t="n"/>
      <c r="BC429" s="8" t="n"/>
      <c r="BD429" s="8" t="n"/>
      <c r="BE429" s="8" t="n"/>
      <c r="BF429" s="8" t="n"/>
      <c r="BG429" s="8" t="n"/>
      <c r="BH429" s="8" t="n"/>
      <c r="BI429" s="8" t="n"/>
      <c r="BJ429" s="153" t="n">
        <v>353</v>
      </c>
      <c r="BK429" s="153" t="inlineStr">
        <is>
          <t>FABRICACION DE BANDAS, MANGUERAS DE USO INDUSTRIAL Y DOMESTICO DE HULE Y DE PLASTICO</t>
        </is>
      </c>
      <c r="BL429" s="153" t="n"/>
      <c r="BM429" s="153" t="n"/>
      <c r="BN429" s="153" t="n"/>
      <c r="BO429" s="153" t="n"/>
      <c r="BP429" s="153" t="n"/>
      <c r="BQ429" s="153" t="n"/>
      <c r="BR429" s="153" t="n"/>
      <c r="BS429" s="153" t="n"/>
      <c r="BT429" s="153" t="n"/>
      <c r="BU429" s="8" t="n"/>
      <c r="BV429" s="8" t="n"/>
      <c r="BW429" s="8" t="n"/>
      <c r="BX429" s="8" t="n"/>
      <c r="BY429" s="8" t="n"/>
      <c r="BZ429" s="8" t="n"/>
      <c r="CA429" s="8" t="n"/>
      <c r="CB429" s="8" t="n"/>
      <c r="CC429" s="8" t="n"/>
      <c r="CD429" s="8" t="n"/>
      <c r="CE429" s="8" t="n"/>
      <c r="CF429" s="8" t="n"/>
      <c r="CG429" s="8" t="n"/>
      <c r="CH429" s="8" t="n"/>
      <c r="CI429" s="8" t="n"/>
      <c r="CJ429" s="8" t="n"/>
      <c r="CK429" s="8" t="n"/>
      <c r="CL429" s="8" t="n"/>
      <c r="CM429" s="8" t="n"/>
      <c r="CN429" s="8" t="n"/>
      <c r="CO429" s="8" t="n"/>
      <c r="CP429" s="8" t="n"/>
      <c r="CQ429" s="8" t="n"/>
      <c r="CR429" s="8" t="n"/>
      <c r="CS429" s="8" t="n"/>
      <c r="CT429" s="8" t="n"/>
      <c r="CU429" s="8" t="n"/>
      <c r="CV429" s="8" t="n"/>
      <c r="CW429" s="8" t="n"/>
      <c r="CX429" s="8" t="n"/>
      <c r="CY429" s="8" t="n"/>
      <c r="CZ429" s="8" t="n"/>
      <c r="DA429" s="8" t="n"/>
      <c r="DB429" s="8" t="n"/>
      <c r="DC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  <c r="AC430" s="8" t="n"/>
      <c r="AD430" s="8" t="n"/>
      <c r="AE430" s="8" t="n"/>
      <c r="AF430" s="8" t="n"/>
      <c r="AG430" s="8" t="n"/>
      <c r="AH430" s="8" t="n"/>
      <c r="AI430" s="8" t="n"/>
      <c r="AJ430" s="8" t="n"/>
      <c r="AK430" s="8" t="n"/>
      <c r="AL430" s="8" t="n"/>
      <c r="AM430" s="8" t="n"/>
      <c r="AN430" s="8" t="n"/>
      <c r="AO430" s="8" t="n"/>
      <c r="AP430" s="8" t="n"/>
      <c r="AQ430" s="8" t="n"/>
      <c r="AR430" s="8" t="n"/>
      <c r="AS430" s="8" t="n"/>
      <c r="AT430" s="8" t="n"/>
      <c r="AU430" s="8" t="n"/>
      <c r="AV430" s="8" t="n"/>
      <c r="AW430" s="8" t="n"/>
      <c r="AX430" s="8" t="n"/>
      <c r="AY430" s="8" t="n"/>
      <c r="AZ430" s="8" t="n"/>
      <c r="BA430" s="8" t="n"/>
      <c r="BB430" s="8" t="n"/>
      <c r="BC430" s="8" t="n"/>
      <c r="BD430" s="8" t="n"/>
      <c r="BE430" s="8" t="n"/>
      <c r="BF430" s="8" t="n"/>
      <c r="BG430" s="8" t="n"/>
      <c r="BH430" s="8" t="n"/>
      <c r="BI430" s="8" t="n"/>
      <c r="BJ430" s="153" t="n">
        <v>354</v>
      </c>
      <c r="BK430" s="153" t="inlineStr">
        <is>
          <t>FABRICACION DE OTROS PRODUCTOS DE HULE</t>
        </is>
      </c>
      <c r="BL430" s="153" t="n"/>
      <c r="BM430" s="153" t="n"/>
      <c r="BN430" s="153" t="n"/>
      <c r="BO430" s="153" t="n"/>
      <c r="BP430" s="153" t="n"/>
      <c r="BQ430" s="153" t="n"/>
      <c r="BR430" s="153" t="n"/>
      <c r="BS430" s="153" t="n"/>
      <c r="BT430" s="153" t="n"/>
      <c r="BU430" s="8" t="n"/>
      <c r="BV430" s="8" t="n"/>
      <c r="BW430" s="8" t="n"/>
      <c r="BX430" s="8" t="n"/>
      <c r="BY430" s="8" t="n"/>
      <c r="BZ430" s="8" t="n"/>
      <c r="CA430" s="8" t="n"/>
      <c r="CB430" s="8" t="n"/>
      <c r="CC430" s="8" t="n"/>
      <c r="CD430" s="8" t="n"/>
      <c r="CE430" s="8" t="n"/>
      <c r="CF430" s="8" t="n"/>
      <c r="CG430" s="8" t="n"/>
      <c r="CH430" s="8" t="n"/>
      <c r="CI430" s="8" t="n"/>
      <c r="CJ430" s="8" t="n"/>
      <c r="CK430" s="8" t="n"/>
      <c r="CL430" s="8" t="n"/>
      <c r="CM430" s="8" t="n"/>
      <c r="CN430" s="8" t="n"/>
      <c r="CO430" s="8" t="n"/>
      <c r="CP430" s="8" t="n"/>
      <c r="CQ430" s="8" t="n"/>
      <c r="CR430" s="8" t="n"/>
      <c r="CS430" s="8" t="n"/>
      <c r="CT430" s="8" t="n"/>
      <c r="CU430" s="8" t="n"/>
      <c r="CV430" s="8" t="n"/>
      <c r="CW430" s="8" t="n"/>
      <c r="CX430" s="8" t="n"/>
      <c r="CY430" s="8" t="n"/>
      <c r="CZ430" s="8" t="n"/>
      <c r="DA430" s="8" t="n"/>
      <c r="DB430" s="8" t="n"/>
      <c r="DC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8" t="n"/>
      <c r="AJ431" s="8" t="n"/>
      <c r="AK431" s="8" t="n"/>
      <c r="AL431" s="8" t="n"/>
      <c r="AM431" s="8" t="n"/>
      <c r="AN431" s="8" t="n"/>
      <c r="AO431" s="8" t="n"/>
      <c r="AP431" s="8" t="n"/>
      <c r="AQ431" s="8" t="n"/>
      <c r="AR431" s="8" t="n"/>
      <c r="AS431" s="8" t="n"/>
      <c r="AT431" s="8" t="n"/>
      <c r="AU431" s="8" t="n"/>
      <c r="AV431" s="8" t="n"/>
      <c r="AW431" s="8" t="n"/>
      <c r="AX431" s="8" t="n"/>
      <c r="AY431" s="8" t="n"/>
      <c r="AZ431" s="8" t="n"/>
      <c r="BA431" s="8" t="n"/>
      <c r="BB431" s="8" t="n"/>
      <c r="BC431" s="8" t="n"/>
      <c r="BD431" s="8" t="n"/>
      <c r="BE431" s="8" t="n"/>
      <c r="BF431" s="8" t="n"/>
      <c r="BG431" s="8" t="n"/>
      <c r="BH431" s="8" t="n"/>
      <c r="BI431" s="8" t="n"/>
      <c r="BJ431" s="153" t="n">
        <v>355</v>
      </c>
      <c r="BK431" s="153" t="inlineStr">
        <is>
          <t>FABRICACION DE ARTICULOS DE ALFARERIA, PORCELANA Y LOZA</t>
        </is>
      </c>
      <c r="BL431" s="153" t="n"/>
      <c r="BM431" s="153" t="n"/>
      <c r="BN431" s="153" t="n"/>
      <c r="BO431" s="153" t="n"/>
      <c r="BP431" s="153" t="n"/>
      <c r="BQ431" s="153" t="n"/>
      <c r="BR431" s="153" t="n"/>
      <c r="BS431" s="153" t="n"/>
      <c r="BT431" s="153" t="n"/>
      <c r="BU431" s="8" t="n"/>
      <c r="BV431" s="8" t="n"/>
      <c r="BW431" s="8" t="n"/>
      <c r="BX431" s="8" t="n"/>
      <c r="BY431" s="8" t="n"/>
      <c r="BZ431" s="8" t="n"/>
      <c r="CA431" s="8" t="n"/>
      <c r="CB431" s="8" t="n"/>
      <c r="CC431" s="8" t="n"/>
      <c r="CD431" s="8" t="n"/>
      <c r="CE431" s="8" t="n"/>
      <c r="CF431" s="8" t="n"/>
      <c r="CG431" s="8" t="n"/>
      <c r="CH431" s="8" t="n"/>
      <c r="CI431" s="8" t="n"/>
      <c r="CJ431" s="8" t="n"/>
      <c r="CK431" s="8" t="n"/>
      <c r="CL431" s="8" t="n"/>
      <c r="CM431" s="8" t="n"/>
      <c r="CN431" s="8" t="n"/>
      <c r="CO431" s="8" t="n"/>
      <c r="CP431" s="8" t="n"/>
      <c r="CQ431" s="8" t="n"/>
      <c r="CR431" s="8" t="n"/>
      <c r="CS431" s="8" t="n"/>
      <c r="CT431" s="8" t="n"/>
      <c r="CU431" s="8" t="n"/>
      <c r="CV431" s="8" t="n"/>
      <c r="CW431" s="8" t="n"/>
      <c r="CX431" s="8" t="n"/>
      <c r="CY431" s="8" t="n"/>
      <c r="CZ431" s="8" t="n"/>
      <c r="DA431" s="8" t="n"/>
      <c r="DB431" s="8" t="n"/>
      <c r="DC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  <c r="AC432" s="8" t="n"/>
      <c r="AD432" s="8" t="n"/>
      <c r="AE432" s="8" t="n"/>
      <c r="AF432" s="8" t="n"/>
      <c r="AG432" s="8" t="n"/>
      <c r="AH432" s="8" t="n"/>
      <c r="AI432" s="8" t="n"/>
      <c r="AJ432" s="8" t="n"/>
      <c r="AK432" s="8" t="n"/>
      <c r="AL432" s="8" t="n"/>
      <c r="AM432" s="8" t="n"/>
      <c r="AN432" s="8" t="n"/>
      <c r="AO432" s="8" t="n"/>
      <c r="AP432" s="8" t="n"/>
      <c r="AQ432" s="8" t="n"/>
      <c r="AR432" s="8" t="n"/>
      <c r="AS432" s="8" t="n"/>
      <c r="AT432" s="8" t="n"/>
      <c r="AU432" s="8" t="n"/>
      <c r="AV432" s="8" t="n"/>
      <c r="AW432" s="8" t="n"/>
      <c r="AX432" s="8" t="n"/>
      <c r="AY432" s="8" t="n"/>
      <c r="AZ432" s="8" t="n"/>
      <c r="BA432" s="8" t="n"/>
      <c r="BB432" s="8" t="n"/>
      <c r="BC432" s="8" t="n"/>
      <c r="BD432" s="8" t="n"/>
      <c r="BE432" s="8" t="n"/>
      <c r="BF432" s="8" t="n"/>
      <c r="BG432" s="8" t="n"/>
      <c r="BH432" s="8" t="n"/>
      <c r="BI432" s="8" t="n"/>
      <c r="BJ432" s="153" t="n">
        <v>356</v>
      </c>
      <c r="BK432" s="153" t="inlineStr">
        <is>
          <t>FABRICACION DE MUEBLES DE BA?O</t>
        </is>
      </c>
      <c r="BL432" s="153" t="n"/>
      <c r="BM432" s="153" t="n"/>
      <c r="BN432" s="153" t="n"/>
      <c r="BO432" s="153" t="n"/>
      <c r="BP432" s="153" t="n"/>
      <c r="BQ432" s="153" t="n"/>
      <c r="BR432" s="153" t="n"/>
      <c r="BS432" s="153" t="n"/>
      <c r="BT432" s="153" t="n"/>
      <c r="BU432" s="8" t="n"/>
      <c r="BV432" s="8" t="n"/>
      <c r="BW432" s="8" t="n"/>
      <c r="BX432" s="8" t="n"/>
      <c r="BY432" s="8" t="n"/>
      <c r="BZ432" s="8" t="n"/>
      <c r="CA432" s="8" t="n"/>
      <c r="CB432" s="8" t="n"/>
      <c r="CC432" s="8" t="n"/>
      <c r="CD432" s="8" t="n"/>
      <c r="CE432" s="8" t="n"/>
      <c r="CF432" s="8" t="n"/>
      <c r="CG432" s="8" t="n"/>
      <c r="CH432" s="8" t="n"/>
      <c r="CI432" s="8" t="n"/>
      <c r="CJ432" s="8" t="n"/>
      <c r="CK432" s="8" t="n"/>
      <c r="CL432" s="8" t="n"/>
      <c r="CM432" s="8" t="n"/>
      <c r="CN432" s="8" t="n"/>
      <c r="CO432" s="8" t="n"/>
      <c r="CP432" s="8" t="n"/>
      <c r="CQ432" s="8" t="n"/>
      <c r="CR432" s="8" t="n"/>
      <c r="CS432" s="8" t="n"/>
      <c r="CT432" s="8" t="n"/>
      <c r="CU432" s="8" t="n"/>
      <c r="CV432" s="8" t="n"/>
      <c r="CW432" s="8" t="n"/>
      <c r="CX432" s="8" t="n"/>
      <c r="CY432" s="8" t="n"/>
      <c r="CZ432" s="8" t="n"/>
      <c r="DA432" s="8" t="n"/>
      <c r="DB432" s="8" t="n"/>
      <c r="DC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  <c r="AC433" s="8" t="n"/>
      <c r="AD433" s="8" t="n"/>
      <c r="AE433" s="8" t="n"/>
      <c r="AF433" s="8" t="n"/>
      <c r="AG433" s="8" t="n"/>
      <c r="AH433" s="8" t="n"/>
      <c r="AI433" s="8" t="n"/>
      <c r="AJ433" s="8" t="n"/>
      <c r="AK433" s="8" t="n"/>
      <c r="AL433" s="8" t="n"/>
      <c r="AM433" s="8" t="n"/>
      <c r="AN433" s="8" t="n"/>
      <c r="AO433" s="8" t="n"/>
      <c r="AP433" s="8" t="n"/>
      <c r="AQ433" s="8" t="n"/>
      <c r="AR433" s="8" t="n"/>
      <c r="AS433" s="8" t="n"/>
      <c r="AT433" s="8" t="n"/>
      <c r="AU433" s="8" t="n"/>
      <c r="AV433" s="8" t="n"/>
      <c r="AW433" s="8" t="n"/>
      <c r="AX433" s="8" t="n"/>
      <c r="AY433" s="8" t="n"/>
      <c r="AZ433" s="8" t="n"/>
      <c r="BA433" s="8" t="n"/>
      <c r="BB433" s="8" t="n"/>
      <c r="BC433" s="8" t="n"/>
      <c r="BD433" s="8" t="n"/>
      <c r="BE433" s="8" t="n"/>
      <c r="BF433" s="8" t="n"/>
      <c r="BG433" s="8" t="n"/>
      <c r="BH433" s="8" t="n"/>
      <c r="BI433" s="8" t="n"/>
      <c r="BJ433" s="153" t="n">
        <v>357</v>
      </c>
      <c r="BK433" s="153" t="inlineStr">
        <is>
          <t>FABRICACION DE LADRILLOS NO REFRACTARIOS</t>
        </is>
      </c>
      <c r="BL433" s="153" t="n"/>
      <c r="BM433" s="153" t="n"/>
      <c r="BN433" s="153" t="n"/>
      <c r="BO433" s="153" t="n"/>
      <c r="BP433" s="153" t="n"/>
      <c r="BQ433" s="153" t="n"/>
      <c r="BR433" s="153" t="n"/>
      <c r="BS433" s="153" t="n"/>
      <c r="BT433" s="153" t="n"/>
      <c r="BU433" s="8" t="n"/>
      <c r="BV433" s="8" t="n"/>
      <c r="BW433" s="8" t="n"/>
      <c r="BX433" s="8" t="n"/>
      <c r="BY433" s="8" t="n"/>
      <c r="BZ433" s="8" t="n"/>
      <c r="CA433" s="8" t="n"/>
      <c r="CB433" s="8" t="n"/>
      <c r="CC433" s="8" t="n"/>
      <c r="CD433" s="8" t="n"/>
      <c r="CE433" s="8" t="n"/>
      <c r="CF433" s="8" t="n"/>
      <c r="CG433" s="8" t="n"/>
      <c r="CH433" s="8" t="n"/>
      <c r="CI433" s="8" t="n"/>
      <c r="CJ433" s="8" t="n"/>
      <c r="CK433" s="8" t="n"/>
      <c r="CL433" s="8" t="n"/>
      <c r="CM433" s="8" t="n"/>
      <c r="CN433" s="8" t="n"/>
      <c r="CO433" s="8" t="n"/>
      <c r="CP433" s="8" t="n"/>
      <c r="CQ433" s="8" t="n"/>
      <c r="CR433" s="8" t="n"/>
      <c r="CS433" s="8" t="n"/>
      <c r="CT433" s="8" t="n"/>
      <c r="CU433" s="8" t="n"/>
      <c r="CV433" s="8" t="n"/>
      <c r="CW433" s="8" t="n"/>
      <c r="CX433" s="8" t="n"/>
      <c r="CY433" s="8" t="n"/>
      <c r="CZ433" s="8" t="n"/>
      <c r="DA433" s="8" t="n"/>
      <c r="DB433" s="8" t="n"/>
      <c r="DC433" s="8" t="n"/>
    </row>
    <row r="434"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BJ434" s="151" t="n">
        <v>358</v>
      </c>
      <c r="BK434" s="151" t="inlineStr">
        <is>
          <t>FABRICACION DE AZULEJOS Y LOSETAS NO REFRACTARIAS Y AZULEJOS</t>
        </is>
      </c>
      <c r="BL434" s="151" t="n"/>
      <c r="BM434" s="151" t="n"/>
      <c r="BN434" s="151" t="n"/>
      <c r="BO434" s="151" t="n"/>
      <c r="BP434" s="151" t="n"/>
      <c r="BQ434" s="151" t="n"/>
      <c r="BR434" s="151" t="n"/>
      <c r="BS434" s="151" t="n"/>
      <c r="BT434" s="151" t="n"/>
    </row>
    <row r="435"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BJ435" s="151" t="n">
        <v>359</v>
      </c>
      <c r="BK435" s="151" t="inlineStr">
        <is>
          <t>FABRICACION DE PRODUCTOS REFRACTARIOS ARCILLOSOS Y NO ARCILLOSOS, COMO MOLDES, LADRILLOS, LOSETAS Y BALDOSAS REFRACTARIOS</t>
        </is>
      </c>
      <c r="BL435" s="151" t="n"/>
      <c r="BM435" s="151" t="n"/>
      <c r="BN435" s="151" t="n"/>
      <c r="BO435" s="151" t="n"/>
      <c r="BP435" s="151" t="n"/>
      <c r="BQ435" s="151" t="n"/>
      <c r="BR435" s="151" t="n"/>
      <c r="BS435" s="151" t="n"/>
      <c r="BT435" s="151" t="n"/>
    </row>
    <row r="436">
      <c r="BJ436" s="151" t="n">
        <v>360</v>
      </c>
      <c r="BK436" s="151" t="inlineStr">
        <is>
          <t>FABRICACION DE VIDRIO</t>
        </is>
      </c>
      <c r="BL436" s="151" t="n"/>
      <c r="BM436" s="151" t="n"/>
      <c r="BN436" s="151" t="n"/>
      <c r="BO436" s="151" t="n"/>
      <c r="BP436" s="151" t="n"/>
      <c r="BQ436" s="151" t="n"/>
      <c r="BR436" s="151" t="n"/>
      <c r="BS436" s="151" t="n"/>
      <c r="BT436" s="151" t="n"/>
    </row>
    <row r="437">
      <c r="BJ437" s="151" t="n">
        <v>361</v>
      </c>
      <c r="BK437" s="151" t="inlineStr">
        <is>
          <t>FABRICACION DE ESPEJOS (PLANOS, CONCAVOS Y CONVEXOS)</t>
        </is>
      </c>
      <c r="BL437" s="151" t="n"/>
      <c r="BM437" s="151" t="n"/>
      <c r="BN437" s="151" t="n"/>
      <c r="BO437" s="151" t="n"/>
      <c r="BP437" s="151" t="n"/>
      <c r="BQ437" s="151" t="n"/>
      <c r="BR437" s="151" t="n"/>
      <c r="BS437" s="151" t="n"/>
      <c r="BT437" s="151" t="n"/>
    </row>
    <row r="438">
      <c r="BJ438" s="151" t="n">
        <v>362</v>
      </c>
      <c r="BK438" s="151" t="inlineStr">
        <is>
          <t>FABRICACION DE ENVASES Y AMPOLLETAS DE VIDRIO</t>
        </is>
      </c>
      <c r="BL438" s="151" t="n"/>
      <c r="BM438" s="151" t="n"/>
      <c r="BN438" s="151" t="n"/>
      <c r="BO438" s="151" t="n"/>
      <c r="BP438" s="151" t="n"/>
      <c r="BQ438" s="151" t="n"/>
      <c r="BR438" s="151" t="n"/>
      <c r="BS438" s="151" t="n"/>
      <c r="BT438" s="151" t="n"/>
    </row>
    <row r="439">
      <c r="BJ439" s="151" t="n">
        <v>363</v>
      </c>
      <c r="BK439" s="151" t="inlineStr">
        <is>
          <t>FABRICACION DE FIBRA DE VIDRIO</t>
        </is>
      </c>
      <c r="BL439" s="151" t="n"/>
      <c r="BM439" s="151" t="n"/>
      <c r="BN439" s="151" t="n"/>
      <c r="BO439" s="151" t="n"/>
      <c r="BP439" s="151" t="n"/>
      <c r="BQ439" s="151" t="n"/>
      <c r="BR439" s="151" t="n"/>
      <c r="BS439" s="151" t="n"/>
      <c r="BT439" s="151" t="n"/>
    </row>
    <row r="440">
      <c r="BJ440" s="151" t="n">
        <v>364</v>
      </c>
      <c r="BK440" s="151" t="inlineStr">
        <is>
          <t>FABRICACION DE VASOS, JARRAS, PLATOS, CHAROLAS, FRUTEROS, ADORNOS Y OTROS ARTICULOS DOMESTICOS Y ORNAMENTALES DE VIDRIO</t>
        </is>
      </c>
      <c r="BL440" s="151" t="n"/>
      <c r="BM440" s="151" t="n"/>
      <c r="BN440" s="151" t="n"/>
      <c r="BO440" s="151" t="n"/>
      <c r="BP440" s="151" t="n"/>
      <c r="BQ440" s="151" t="n"/>
      <c r="BR440" s="151" t="n"/>
      <c r="BS440" s="151" t="n"/>
      <c r="BT440" s="151" t="n"/>
    </row>
    <row r="441">
      <c r="BJ441" s="151" t="n">
        <v>365</v>
      </c>
      <c r="BK441" s="151" t="inlineStr">
        <is>
          <t>FABRICACION DE ARTICULOS DE VIDRIO DE USO INDUSTRIAL Y COMERCIAL</t>
        </is>
      </c>
      <c r="BL441" s="151" t="n"/>
      <c r="BM441" s="151" t="n"/>
      <c r="BN441" s="151" t="n"/>
      <c r="BO441" s="151" t="n"/>
      <c r="BP441" s="151" t="n"/>
      <c r="BQ441" s="151" t="n"/>
      <c r="BR441" s="151" t="n"/>
      <c r="BS441" s="151" t="n"/>
      <c r="BT441" s="151" t="n"/>
    </row>
    <row r="442">
      <c r="BJ442" s="151" t="n">
        <v>366</v>
      </c>
      <c r="BK442" s="151" t="inlineStr">
        <is>
          <t>FABRICACION DE OTROS PRODUCTOS DE VIDRIO</t>
        </is>
      </c>
      <c r="BL442" s="151" t="n"/>
      <c r="BM442" s="151" t="n"/>
      <c r="BN442" s="151" t="n"/>
      <c r="BO442" s="151" t="n"/>
      <c r="BP442" s="151" t="n"/>
      <c r="BQ442" s="151" t="n"/>
      <c r="BR442" s="151" t="n"/>
      <c r="BS442" s="151" t="n"/>
      <c r="BT442" s="151" t="n"/>
    </row>
    <row r="443">
      <c r="BJ443" s="151" t="n">
        <v>367</v>
      </c>
      <c r="BK443" s="151" t="inlineStr">
        <is>
          <t>FABRICACION DE CEMENTO PARA LA CONSTRUCCION</t>
        </is>
      </c>
      <c r="BL443" s="151" t="n"/>
      <c r="BM443" s="151" t="n"/>
      <c r="BN443" s="151" t="n"/>
      <c r="BO443" s="151" t="n"/>
      <c r="BP443" s="151" t="n"/>
      <c r="BQ443" s="151" t="n"/>
      <c r="BR443" s="151" t="n"/>
      <c r="BS443" s="151" t="n"/>
      <c r="BT443" s="151" t="n"/>
    </row>
    <row r="444">
      <c r="BJ444" s="151" t="n">
        <v>368</v>
      </c>
      <c r="BK444" s="151" t="inlineStr">
        <is>
          <t>FABRICACION DE CONCRETO</t>
        </is>
      </c>
      <c r="BL444" s="151" t="n"/>
      <c r="BM444" s="151" t="n"/>
      <c r="BN444" s="151" t="n"/>
      <c r="BO444" s="151" t="n"/>
      <c r="BP444" s="151" t="n"/>
      <c r="BQ444" s="151" t="n"/>
      <c r="BR444" s="151" t="n"/>
      <c r="BS444" s="151" t="n"/>
      <c r="BT444" s="151" t="n"/>
    </row>
    <row r="445">
      <c r="BJ445" s="151" t="n">
        <v>369</v>
      </c>
      <c r="BK445" s="151" t="inlineStr">
        <is>
          <t>FABRICACION DE TUBOS Y BLOQUES DE CEMENTO Y CONCRETO, COMO TUBOS DE DRENAJE Y ALCANTARILLADO, CELOSIAS, ADOQUINES, TABIQUES</t>
        </is>
      </c>
      <c r="BL445" s="151" t="n"/>
      <c r="BM445" s="151" t="n"/>
      <c r="BN445" s="151" t="n"/>
      <c r="BO445" s="151" t="n"/>
      <c r="BP445" s="151" t="n"/>
      <c r="BQ445" s="151" t="n"/>
      <c r="BR445" s="151" t="n"/>
      <c r="BS445" s="151" t="n"/>
      <c r="BT445" s="151" t="n"/>
    </row>
    <row r="446">
      <c r="BJ446" s="151" t="n">
        <v>370</v>
      </c>
      <c r="BK446" s="151" t="inlineStr">
        <is>
          <t>FABRICACION DE PRODUCTOS PREESFORZADOS</t>
        </is>
      </c>
      <c r="BL446" s="151" t="n"/>
      <c r="BM446" s="151" t="n"/>
      <c r="BN446" s="151" t="n"/>
      <c r="BO446" s="151" t="n"/>
      <c r="BP446" s="151" t="n"/>
      <c r="BQ446" s="151" t="n"/>
      <c r="BR446" s="151" t="n"/>
      <c r="BS446" s="151" t="n"/>
      <c r="BT446" s="151" t="n"/>
    </row>
    <row r="447">
      <c r="BJ447" s="151" t="n">
        <v>371</v>
      </c>
      <c r="BK447" s="151" t="inlineStr">
        <is>
          <t>FABRICACION DE OTROS PRODUCTOS DE CEMENTO Y CONCRETO</t>
        </is>
      </c>
      <c r="BL447" s="151" t="n"/>
      <c r="BM447" s="151" t="n"/>
      <c r="BN447" s="151" t="n"/>
      <c r="BO447" s="151" t="n"/>
      <c r="BP447" s="151" t="n"/>
      <c r="BQ447" s="151" t="n"/>
      <c r="BR447" s="151" t="n"/>
      <c r="BS447" s="151" t="n"/>
      <c r="BT447" s="151" t="n"/>
    </row>
    <row r="448">
      <c r="BJ448" s="151" t="n">
        <v>372</v>
      </c>
      <c r="BK448" s="151" t="inlineStr">
        <is>
          <t>FABRICACION DE CAL</t>
        </is>
      </c>
      <c r="BL448" s="151" t="n"/>
      <c r="BM448" s="151" t="n"/>
      <c r="BN448" s="151" t="n"/>
      <c r="BO448" s="151" t="n"/>
      <c r="BP448" s="151" t="n"/>
      <c r="BQ448" s="151" t="n"/>
      <c r="BR448" s="151" t="n"/>
      <c r="BS448" s="151" t="n"/>
      <c r="BT448" s="151" t="n"/>
    </row>
    <row r="449">
      <c r="BJ449" s="151" t="n">
        <v>373</v>
      </c>
      <c r="BK449" s="151" t="inlineStr">
        <is>
          <t>FABRICACION DE YESO Y PRODUCTOS DE YESO</t>
        </is>
      </c>
      <c r="BL449" s="151" t="n"/>
      <c r="BM449" s="151" t="n"/>
      <c r="BN449" s="151" t="n"/>
      <c r="BO449" s="151" t="n"/>
      <c r="BP449" s="151" t="n"/>
      <c r="BQ449" s="151" t="n"/>
      <c r="BR449" s="151" t="n"/>
      <c r="BS449" s="151" t="n"/>
      <c r="BT449" s="151" t="n"/>
    </row>
    <row r="450">
      <c r="BJ450" s="151" t="n">
        <v>374</v>
      </c>
      <c r="BK450" s="151" t="inlineStr">
        <is>
          <t>FABRICACION DE PRODUCTOS ABRASIVOS</t>
        </is>
      </c>
      <c r="BL450" s="151" t="n"/>
      <c r="BM450" s="151" t="n"/>
      <c r="BN450" s="151" t="n"/>
      <c r="BO450" s="151" t="n"/>
      <c r="BP450" s="151" t="n"/>
      <c r="BQ450" s="151" t="n"/>
      <c r="BR450" s="151" t="n"/>
      <c r="BS450" s="151" t="n"/>
      <c r="BT450" s="151" t="n"/>
    </row>
    <row r="451">
      <c r="BJ451" s="151" t="n">
        <v>375</v>
      </c>
      <c r="BK451" s="151" t="inlineStr">
        <is>
          <t>CORTE, PULIDO Y LAMINADO DE MARMOL FUERA DE LA MINA</t>
        </is>
      </c>
      <c r="BL451" s="151" t="n"/>
      <c r="BM451" s="151" t="n"/>
      <c r="BN451" s="151" t="n"/>
      <c r="BO451" s="151" t="n"/>
      <c r="BP451" s="151" t="n"/>
      <c r="BQ451" s="151" t="n"/>
      <c r="BR451" s="151" t="n"/>
      <c r="BS451" s="151" t="n"/>
      <c r="BT451" s="151" t="n"/>
    </row>
    <row r="452">
      <c r="BJ452" s="151" t="n">
        <v>376</v>
      </c>
      <c r="BK452" s="151" t="inlineStr">
        <is>
          <t>CORTE Y PULIDO, FUERA DE LA MINA, DE OTRAS PIEDRAS DE CANTERA, COMO EL GRANITO, LA CANTERA Y EL ONIX, EXCEPTO MARMOL</t>
        </is>
      </c>
      <c r="BL452" s="151" t="n"/>
      <c r="BM452" s="151" t="n"/>
      <c r="BN452" s="151" t="n"/>
      <c r="BO452" s="151" t="n"/>
      <c r="BP452" s="151" t="n"/>
      <c r="BQ452" s="151" t="n"/>
      <c r="BR452" s="151" t="n"/>
      <c r="BS452" s="151" t="n"/>
      <c r="BT452" s="151" t="n"/>
    </row>
    <row r="453">
      <c r="BJ453" s="151" t="n">
        <v>377</v>
      </c>
      <c r="BK453" s="151" t="inlineStr">
        <is>
          <t>FABRICACION DE OTROS PRODUCTOS A BASE DE MINERALES NO METALICOS</t>
        </is>
      </c>
      <c r="BL453" s="151" t="n"/>
      <c r="BM453" s="151" t="n"/>
      <c r="BN453" s="151" t="n"/>
      <c r="BO453" s="151" t="n"/>
      <c r="BP453" s="151" t="n"/>
      <c r="BQ453" s="151" t="n"/>
      <c r="BR453" s="151" t="n"/>
      <c r="BS453" s="151" t="n"/>
      <c r="BT453" s="151" t="n"/>
    </row>
    <row r="454">
      <c r="BJ454" s="151" t="n">
        <v>378</v>
      </c>
      <c r="BK454" s="151" t="inlineStr">
        <is>
          <t>COMPLEJOS SIDERURGICOS</t>
        </is>
      </c>
      <c r="BL454" s="151" t="n"/>
      <c r="BM454" s="151" t="n"/>
      <c r="BN454" s="151" t="n"/>
      <c r="BO454" s="151" t="n"/>
      <c r="BP454" s="151" t="n"/>
      <c r="BQ454" s="151" t="n"/>
      <c r="BR454" s="151" t="n"/>
      <c r="BS454" s="151" t="n"/>
      <c r="BT454" s="151" t="n"/>
    </row>
    <row r="455">
      <c r="BJ455" s="151" t="n">
        <v>379</v>
      </c>
      <c r="BK455" s="151" t="inlineStr">
        <is>
          <t>FABRICACION DE DESBASTES PRIMARIOS Y FERROALEACIONES</t>
        </is>
      </c>
      <c r="BL455" s="151" t="n"/>
      <c r="BM455" s="151" t="n"/>
      <c r="BN455" s="151" t="n"/>
      <c r="BO455" s="151" t="n"/>
      <c r="BP455" s="151" t="n"/>
      <c r="BQ455" s="151" t="n"/>
      <c r="BR455" s="151" t="n"/>
      <c r="BS455" s="151" t="n"/>
      <c r="BT455" s="151" t="n"/>
    </row>
    <row r="456">
      <c r="BJ456" s="151" t="n">
        <v>380</v>
      </c>
      <c r="BK456" s="151" t="inlineStr">
        <is>
          <t>FABRICACION DE TUBOS Y POSTES DE HIERRO Y ACERO DE MATERIAL COMPRADO</t>
        </is>
      </c>
      <c r="BL456" s="151" t="n"/>
      <c r="BM456" s="151" t="n"/>
      <c r="BN456" s="151" t="n"/>
      <c r="BO456" s="151" t="n"/>
      <c r="BP456" s="151" t="n"/>
      <c r="BQ456" s="151" t="n"/>
      <c r="BR456" s="151" t="n"/>
      <c r="BS456" s="151" t="n"/>
      <c r="BT456" s="151" t="n"/>
    </row>
    <row r="457">
      <c r="BJ457" s="151" t="n">
        <v>381</v>
      </c>
      <c r="BK457" s="151" t="inlineStr">
        <is>
          <t>FABRICACION DE OTROS PRODUCTOS DE HIERRO Y ACERO DE MATERIAL COMPRADO</t>
        </is>
      </c>
      <c r="BL457" s="151" t="n"/>
      <c r="BM457" s="151" t="n"/>
      <c r="BN457" s="151" t="n"/>
      <c r="BO457" s="151" t="n"/>
      <c r="BP457" s="151" t="n"/>
      <c r="BQ457" s="151" t="n"/>
      <c r="BR457" s="151" t="n"/>
      <c r="BS457" s="151" t="n"/>
      <c r="BT457" s="151" t="n"/>
    </row>
    <row r="458">
      <c r="BJ458" s="151" t="n">
        <v>382</v>
      </c>
      <c r="BK458" s="151" t="inlineStr">
        <is>
          <t>INDUSTRIA DEL ALUMINIO</t>
        </is>
      </c>
      <c r="BL458" s="151" t="n"/>
      <c r="BM458" s="151" t="n"/>
      <c r="BN458" s="151" t="n"/>
      <c r="BO458" s="151" t="n"/>
      <c r="BP458" s="151" t="n"/>
      <c r="BQ458" s="151" t="n"/>
      <c r="BR458" s="151" t="n"/>
      <c r="BS458" s="151" t="n"/>
      <c r="BT458" s="151" t="n"/>
    </row>
    <row r="459">
      <c r="BJ459" s="151" t="n">
        <v>383</v>
      </c>
      <c r="BK459" s="151" t="inlineStr">
        <is>
          <t>AFINACION Y REFINACION DE COBRE (BLISTER Y ELECTROLITICO), Y A LA PRODUCCION DE SUS ALEACIONES</t>
        </is>
      </c>
      <c r="BL459" s="151" t="n"/>
      <c r="BM459" s="151" t="n"/>
      <c r="BN459" s="151" t="n"/>
      <c r="BO459" s="151" t="n"/>
      <c r="BP459" s="151" t="n"/>
      <c r="BQ459" s="151" t="n"/>
      <c r="BR459" s="151" t="n"/>
      <c r="BS459" s="151" t="n"/>
      <c r="BT459" s="151" t="n"/>
    </row>
    <row r="460">
      <c r="BJ460" s="151" t="n">
        <v>384</v>
      </c>
      <c r="BK460" s="151" t="inlineStr">
        <is>
          <t>REFINACION DE OTROS METALES NO FERROSOS</t>
        </is>
      </c>
      <c r="BL460" s="151" t="n"/>
      <c r="BM460" s="151" t="n"/>
      <c r="BN460" s="151" t="n"/>
      <c r="BO460" s="151" t="n"/>
      <c r="BP460" s="151" t="n"/>
      <c r="BQ460" s="151" t="n"/>
      <c r="BR460" s="151" t="n"/>
      <c r="BS460" s="151" t="n"/>
      <c r="BT460" s="151" t="n"/>
    </row>
    <row r="461">
      <c r="BJ461" s="151" t="n">
        <v>385</v>
      </c>
      <c r="BK461" s="151" t="inlineStr">
        <is>
          <t>LAMINACION SECUNDARIA DE COBRE</t>
        </is>
      </c>
      <c r="BL461" s="151" t="n"/>
      <c r="BM461" s="151" t="n"/>
      <c r="BN461" s="151" t="n"/>
      <c r="BO461" s="151" t="n"/>
      <c r="BP461" s="151" t="n"/>
      <c r="BQ461" s="151" t="n"/>
      <c r="BR461" s="151" t="n"/>
      <c r="BS461" s="151" t="n"/>
      <c r="BT461" s="151" t="n"/>
    </row>
    <row r="462">
      <c r="BJ462" s="151" t="n">
        <v>386</v>
      </c>
      <c r="BK462" s="151" t="inlineStr">
        <is>
          <t>LAMINACION SECUNDARIA DE OTROS METALES NO FERROSOS</t>
        </is>
      </c>
      <c r="BL462" s="151" t="n"/>
      <c r="BM462" s="151" t="n"/>
      <c r="BN462" s="151" t="n"/>
      <c r="BO462" s="151" t="n"/>
      <c r="BP462" s="151" t="n"/>
      <c r="BQ462" s="151" t="n"/>
      <c r="BR462" s="151" t="n"/>
      <c r="BS462" s="151" t="n"/>
      <c r="BT462" s="151" t="n"/>
    </row>
    <row r="463">
      <c r="BJ463" s="151" t="n">
        <v>387</v>
      </c>
      <c r="BK463" s="151" t="inlineStr">
        <is>
          <t>VENTA DE LINGOTES DE ORO</t>
        </is>
      </c>
      <c r="BL463" s="151" t="n"/>
      <c r="BM463" s="151" t="n"/>
      <c r="BN463" s="151" t="n"/>
      <c r="BO463" s="151" t="n"/>
      <c r="BP463" s="151" t="n"/>
      <c r="BQ463" s="151" t="n"/>
      <c r="BR463" s="151" t="n"/>
      <c r="BS463" s="151" t="n"/>
      <c r="BT463" s="151" t="n"/>
    </row>
    <row r="464">
      <c r="BJ464" s="151" t="n">
        <v>388</v>
      </c>
      <c r="BK464" s="151" t="inlineStr">
        <is>
          <t>MOLDEO POR FUNDICION DE TODO TIPO DE PIEZAS A PARTIR DE HIERRO Y ACERO PRODUCIDOS EN OTRO ESTABLECIMIENTO</t>
        </is>
      </c>
      <c r="BL464" s="151" t="n"/>
      <c r="BM464" s="151" t="n"/>
      <c r="BN464" s="151" t="n"/>
      <c r="BO464" s="151" t="n"/>
      <c r="BP464" s="151" t="n"/>
      <c r="BQ464" s="151" t="n"/>
      <c r="BR464" s="151" t="n"/>
      <c r="BS464" s="151" t="n"/>
      <c r="BT464" s="151" t="n"/>
    </row>
    <row r="465">
      <c r="BJ465" s="151" t="n">
        <v>389</v>
      </c>
      <c r="BK465" s="151" t="inlineStr">
        <is>
          <t>MOLDEO POR FUNDICION DE PIEZAS METALICAS NO FERROSAS</t>
        </is>
      </c>
      <c r="BL465" s="151" t="n"/>
      <c r="BM465" s="151" t="n"/>
      <c r="BN465" s="151" t="n"/>
      <c r="BO465" s="151" t="n"/>
      <c r="BP465" s="151" t="n"/>
      <c r="BQ465" s="151" t="n"/>
      <c r="BR465" s="151" t="n"/>
      <c r="BS465" s="151" t="n"/>
      <c r="BT465" s="151" t="n"/>
    </row>
    <row r="466">
      <c r="BJ466" s="151" t="n">
        <v>390</v>
      </c>
      <c r="BK466" s="151" t="inlineStr">
        <is>
          <t>FABRICACION DE PRODUCTOS METALICOS FORJADOS Y TROQUELADOS</t>
        </is>
      </c>
      <c r="BL466" s="151" t="n"/>
      <c r="BM466" s="151" t="n"/>
      <c r="BN466" s="151" t="n"/>
      <c r="BO466" s="151" t="n"/>
      <c r="BP466" s="151" t="n"/>
      <c r="BQ466" s="151" t="n"/>
      <c r="BR466" s="151" t="n"/>
      <c r="BS466" s="151" t="n"/>
      <c r="BT466" s="151" t="n"/>
    </row>
    <row r="467">
      <c r="BJ467" s="151" t="n">
        <v>391</v>
      </c>
      <c r="BK467" s="151" t="inlineStr">
        <is>
          <t>FABRICACION DE HERRAMIENTAS DE MANO METALICAS SIN MOTOR</t>
        </is>
      </c>
      <c r="BL467" s="151" t="n"/>
      <c r="BM467" s="151" t="n"/>
      <c r="BN467" s="151" t="n"/>
      <c r="BO467" s="151" t="n"/>
      <c r="BP467" s="151" t="n"/>
      <c r="BQ467" s="151" t="n"/>
      <c r="BR467" s="151" t="n"/>
      <c r="BS467" s="151" t="n"/>
      <c r="BT467" s="151" t="n"/>
    </row>
    <row r="468">
      <c r="BJ468" s="151" t="n">
        <v>392</v>
      </c>
      <c r="BK468" s="151" t="inlineStr">
        <is>
          <t>FABRICACION DE UTENSILIOS DE COCINA METALICOS</t>
        </is>
      </c>
      <c r="BL468" s="151" t="n"/>
      <c r="BM468" s="151" t="n"/>
      <c r="BN468" s="151" t="n"/>
      <c r="BO468" s="151" t="n"/>
      <c r="BP468" s="151" t="n"/>
      <c r="BQ468" s="151" t="n"/>
      <c r="BR468" s="151" t="n"/>
      <c r="BS468" s="151" t="n"/>
      <c r="BT468" s="151" t="n"/>
    </row>
    <row r="469">
      <c r="BJ469" s="151" t="n">
        <v>393</v>
      </c>
      <c r="BK469" s="151" t="inlineStr">
        <is>
          <t>FABRICACION DE ESTRUCTURAS METALICAS</t>
        </is>
      </c>
      <c r="BL469" s="151" t="n"/>
      <c r="BM469" s="151" t="n"/>
      <c r="BN469" s="151" t="n"/>
      <c r="BO469" s="151" t="n"/>
      <c r="BP469" s="151" t="n"/>
      <c r="BQ469" s="151" t="n"/>
      <c r="BR469" s="151" t="n"/>
      <c r="BS469" s="151" t="n"/>
      <c r="BT469" s="151" t="n"/>
    </row>
    <row r="470">
      <c r="BJ470" s="151" t="n">
        <v>394</v>
      </c>
      <c r="BK470" s="151" t="inlineStr">
        <is>
          <t>FABRICACION DE PRODUCTOS DE HERRERIA</t>
        </is>
      </c>
      <c r="BL470" s="151" t="n"/>
      <c r="BM470" s="151" t="n"/>
      <c r="BN470" s="151" t="n"/>
      <c r="BO470" s="151" t="n"/>
      <c r="BP470" s="151" t="n"/>
      <c r="BQ470" s="151" t="n"/>
      <c r="BR470" s="151" t="n"/>
      <c r="BS470" s="151" t="n"/>
      <c r="BT470" s="151" t="n"/>
    </row>
    <row r="471">
      <c r="BJ471" s="151" t="n">
        <v>395</v>
      </c>
      <c r="BK471" s="151" t="inlineStr">
        <is>
          <t>FABRICACION DE CALDERAS INDUSTRIALES</t>
        </is>
      </c>
      <c r="BL471" s="151" t="n"/>
      <c r="BM471" s="151" t="n"/>
      <c r="BN471" s="151" t="n"/>
      <c r="BO471" s="151" t="n"/>
      <c r="BP471" s="151" t="n"/>
      <c r="BQ471" s="151" t="n"/>
      <c r="BR471" s="151" t="n"/>
      <c r="BS471" s="151" t="n"/>
      <c r="BT471" s="151" t="n"/>
    </row>
    <row r="472">
      <c r="BJ472" s="151" t="n">
        <v>396</v>
      </c>
      <c r="BK472" s="151" t="inlineStr">
        <is>
          <t>FABRICACION DE TANQUES METALICOS DE CALIBRE GRUESO</t>
        </is>
      </c>
      <c r="BL472" s="151" t="n"/>
      <c r="BM472" s="151" t="n"/>
      <c r="BN472" s="151" t="n"/>
      <c r="BO472" s="151" t="n"/>
      <c r="BP472" s="151" t="n"/>
      <c r="BQ472" s="151" t="n"/>
      <c r="BR472" s="151" t="n"/>
      <c r="BS472" s="151" t="n"/>
      <c r="BT472" s="151" t="n"/>
    </row>
    <row r="473">
      <c r="BJ473" s="151" t="n">
        <v>397</v>
      </c>
      <c r="BK473" s="151" t="inlineStr">
        <is>
          <t>FABRICACION DE ENVASES METALICOS DE CALIBRE LIGERO PARA EMBALAJE, COMO LATAS PARA REFRESCOS, TONELES, TAMBORES, CUBETAS, TINAS</t>
        </is>
      </c>
      <c r="BL473" s="151" t="n"/>
      <c r="BM473" s="151" t="n"/>
      <c r="BN473" s="151" t="n"/>
      <c r="BO473" s="151" t="n"/>
      <c r="BP473" s="151" t="n"/>
      <c r="BQ473" s="151" t="n"/>
      <c r="BR473" s="151" t="n"/>
      <c r="BS473" s="151" t="n"/>
      <c r="BT473" s="151" t="n"/>
    </row>
    <row r="474">
      <c r="BJ474" s="151" t="n">
        <v>398</v>
      </c>
      <c r="BK474" s="151" t="inlineStr">
        <is>
          <t>FABRICACION DE HERRAJES Y CERRADURAS</t>
        </is>
      </c>
      <c r="BL474" s="151" t="n"/>
      <c r="BM474" s="151" t="n"/>
      <c r="BN474" s="151" t="n"/>
      <c r="BO474" s="151" t="n"/>
      <c r="BP474" s="151" t="n"/>
      <c r="BQ474" s="151" t="n"/>
      <c r="BR474" s="151" t="n"/>
      <c r="BS474" s="151" t="n"/>
      <c r="BT474" s="151" t="n"/>
    </row>
    <row r="475">
      <c r="BJ475" s="151" t="n">
        <v>399</v>
      </c>
      <c r="BK475" s="151" t="inlineStr">
        <is>
          <t>FABRICACION DE ALAMBRE, PRODUCTOS DE ALAMBRE Y RESORTES</t>
        </is>
      </c>
      <c r="BL475" s="151" t="n"/>
      <c r="BM475" s="151" t="n"/>
      <c r="BN475" s="151" t="n"/>
      <c r="BO475" s="151" t="n"/>
      <c r="BP475" s="151" t="n"/>
      <c r="BQ475" s="151" t="n"/>
      <c r="BR475" s="151" t="n"/>
      <c r="BS475" s="151" t="n"/>
      <c r="BT475" s="151" t="n"/>
    </row>
    <row r="476">
      <c r="BJ476" s="151" t="n">
        <v>400</v>
      </c>
      <c r="BK476" s="151" t="inlineStr">
        <is>
          <t>MAQUINADO DE PIEZAS METALICAS PARA MAQUINARIA Y EQUIPO EN GENERAL</t>
        </is>
      </c>
      <c r="BL476" s="151" t="n"/>
      <c r="BM476" s="151" t="n"/>
      <c r="BN476" s="151" t="n"/>
      <c r="BO476" s="151" t="n"/>
      <c r="BP476" s="151" t="n"/>
      <c r="BQ476" s="151" t="n"/>
      <c r="BR476" s="151" t="n"/>
      <c r="BS476" s="151" t="n"/>
      <c r="BT476" s="151" t="n"/>
    </row>
    <row r="477">
      <c r="BJ477" s="151" t="n">
        <v>401</v>
      </c>
      <c r="BK477" s="151" t="inlineStr">
        <is>
          <t>FABRICACION DE TORNILLOS, TUERCAS, ARMELLAS, PIJAS, RONDANAS, REMACHES Y OTROS SUJETADORES METALICOS</t>
        </is>
      </c>
      <c r="BL477" s="151" t="n"/>
      <c r="BM477" s="151" t="n"/>
      <c r="BN477" s="151" t="n"/>
      <c r="BO477" s="151" t="n"/>
      <c r="BP477" s="151" t="n"/>
      <c r="BQ477" s="151" t="n"/>
      <c r="BR477" s="151" t="n"/>
      <c r="BS477" s="151" t="n"/>
      <c r="BT477" s="151" t="n"/>
    </row>
    <row r="478">
      <c r="BJ478" s="151" t="n">
        <v>402</v>
      </c>
      <c r="BK478" s="151" t="inlineStr">
        <is>
          <t>RECUBRIMIENTOS Y TERMINADOS METALICOS</t>
        </is>
      </c>
      <c r="BL478" s="151" t="n"/>
      <c r="BM478" s="151" t="n"/>
      <c r="BN478" s="151" t="n"/>
      <c r="BO478" s="151" t="n"/>
      <c r="BP478" s="151" t="n"/>
      <c r="BQ478" s="151" t="n"/>
      <c r="BR478" s="151" t="n"/>
      <c r="BS478" s="151" t="n"/>
      <c r="BT478" s="151" t="n"/>
    </row>
    <row r="479">
      <c r="BJ479" s="151" t="n">
        <v>403</v>
      </c>
      <c r="BK479" s="151" t="inlineStr">
        <is>
          <t>FABRICACION DE VALVULAS METALICAS</t>
        </is>
      </c>
      <c r="BL479" s="151" t="n"/>
      <c r="BM479" s="151" t="n"/>
      <c r="BN479" s="151" t="n"/>
      <c r="BO479" s="151" t="n"/>
      <c r="BP479" s="151" t="n"/>
      <c r="BQ479" s="151" t="n"/>
      <c r="BR479" s="151" t="n"/>
      <c r="BS479" s="151" t="n"/>
      <c r="BT479" s="151" t="n"/>
    </row>
    <row r="480">
      <c r="BJ480" s="151" t="n">
        <v>404</v>
      </c>
      <c r="BK480" s="151" t="inlineStr">
        <is>
          <t>FABRICACION DE BALEROS Y RODAMIENTOS</t>
        </is>
      </c>
      <c r="BL480" s="151" t="n"/>
      <c r="BM480" s="151" t="n"/>
      <c r="BN480" s="151" t="n"/>
      <c r="BO480" s="151" t="n"/>
      <c r="BP480" s="151" t="n"/>
      <c r="BQ480" s="151" t="n"/>
      <c r="BR480" s="151" t="n"/>
      <c r="BS480" s="151" t="n"/>
      <c r="BT480" s="151" t="n"/>
    </row>
    <row r="481">
      <c r="BJ481" s="151" t="n">
        <v>405</v>
      </c>
      <c r="BK481" s="151" t="inlineStr">
        <is>
          <t>FABRICACION DE OTROS PRODUCTOS METALICOS</t>
        </is>
      </c>
      <c r="BL481" s="151" t="n"/>
      <c r="BM481" s="151" t="n"/>
      <c r="BN481" s="151" t="n"/>
      <c r="BO481" s="151" t="n"/>
      <c r="BP481" s="151" t="n"/>
      <c r="BQ481" s="151" t="n"/>
      <c r="BR481" s="151" t="n"/>
      <c r="BS481" s="151" t="n"/>
      <c r="BT481" s="151" t="n"/>
    </row>
    <row r="482">
      <c r="BJ482" s="151" t="n">
        <v>406</v>
      </c>
      <c r="BK482" s="151" t="inlineStr">
        <is>
          <t>FABRICACION DE MAQUINARIA Y EQUIPO AGRICOLA</t>
        </is>
      </c>
      <c r="BL482" s="151" t="n"/>
      <c r="BM482" s="151" t="n"/>
      <c r="BN482" s="151" t="n"/>
      <c r="BO482" s="151" t="n"/>
      <c r="BP482" s="151" t="n"/>
      <c r="BQ482" s="151" t="n"/>
      <c r="BR482" s="151" t="n"/>
      <c r="BS482" s="151" t="n"/>
      <c r="BT482" s="151" t="n"/>
    </row>
    <row r="483">
      <c r="BJ483" s="151" t="n">
        <v>407</v>
      </c>
      <c r="BK483" s="151" t="inlineStr">
        <is>
          <t>FABRICACION DE MAQUINARIA Y EQUIPO PECUARIO</t>
        </is>
      </c>
      <c r="BL483" s="151" t="n"/>
      <c r="BM483" s="151" t="n"/>
      <c r="BN483" s="151" t="n"/>
      <c r="BO483" s="151" t="n"/>
      <c r="BP483" s="151" t="n"/>
      <c r="BQ483" s="151" t="n"/>
      <c r="BR483" s="151" t="n"/>
      <c r="BS483" s="151" t="n"/>
      <c r="BT483" s="151" t="n"/>
    </row>
    <row r="484">
      <c r="BJ484" s="151" t="n">
        <v>408</v>
      </c>
      <c r="BK484" s="151" t="inlineStr">
        <is>
          <t>FABRICACION DE MAQUINARIA Y EQUIPO PARA LA CONSTRUCCION</t>
        </is>
      </c>
      <c r="BL484" s="151" t="n"/>
      <c r="BM484" s="151" t="n"/>
      <c r="BN484" s="151" t="n"/>
      <c r="BO484" s="151" t="n"/>
      <c r="BP484" s="151" t="n"/>
      <c r="BQ484" s="151" t="n"/>
      <c r="BR484" s="151" t="n"/>
      <c r="BS484" s="151" t="n"/>
      <c r="BT484" s="151" t="n"/>
    </row>
    <row r="485">
      <c r="BJ485" s="151" t="n">
        <v>409</v>
      </c>
      <c r="BK485" s="151" t="inlineStr">
        <is>
          <t>FABRICACION DE MAQUINARIA Y EQUIPO PARA LA INDUSTRIA EXTRACTIVA</t>
        </is>
      </c>
      <c r="BL485" s="151" t="n"/>
      <c r="BM485" s="151" t="n"/>
      <c r="BN485" s="151" t="n"/>
      <c r="BO485" s="151" t="n"/>
      <c r="BP485" s="151" t="n"/>
      <c r="BQ485" s="151" t="n"/>
      <c r="BR485" s="151" t="n"/>
      <c r="BS485" s="151" t="n"/>
      <c r="BT485" s="151" t="n"/>
    </row>
    <row r="486">
      <c r="BJ486" s="151" t="n">
        <v>410</v>
      </c>
      <c r="BK486" s="151" t="inlineStr">
        <is>
          <t>FABRICACION DE MAQUINARIA Y EQUIPO PARA LA INDUSTRIA DE LA MADERA</t>
        </is>
      </c>
      <c r="BL486" s="151" t="n"/>
      <c r="BM486" s="151" t="n"/>
      <c r="BN486" s="151" t="n"/>
      <c r="BO486" s="151" t="n"/>
      <c r="BP486" s="151" t="n"/>
      <c r="BQ486" s="151" t="n"/>
      <c r="BR486" s="151" t="n"/>
      <c r="BS486" s="151" t="n"/>
      <c r="BT486" s="151" t="n"/>
    </row>
    <row r="487">
      <c r="BJ487" s="151" t="n">
        <v>411</v>
      </c>
      <c r="BK487" s="151" t="inlineStr">
        <is>
          <t>FABRICACION DE MAQUINARIA Y EQUIPO PARA LA INDUSTRIA DEL HULE Y DEL PLASTICO</t>
        </is>
      </c>
      <c r="BL487" s="151" t="n"/>
      <c r="BM487" s="151" t="n"/>
      <c r="BN487" s="151" t="n"/>
      <c r="BO487" s="151" t="n"/>
      <c r="BP487" s="151" t="n"/>
      <c r="BQ487" s="151" t="n"/>
      <c r="BR487" s="151" t="n"/>
      <c r="BS487" s="151" t="n"/>
      <c r="BT487" s="151" t="n"/>
    </row>
    <row r="488">
      <c r="BJ488" s="151" t="n">
        <v>412</v>
      </c>
      <c r="BK488" s="151" t="inlineStr">
        <is>
          <t>FABRICACION DE MAQUINARIA Y EQUIPO PARA LA INDUSTRIA ALIMENTARIA Y DE LAS BEBIDAS</t>
        </is>
      </c>
      <c r="BL488" s="151" t="n"/>
      <c r="BM488" s="151" t="n"/>
      <c r="BN488" s="151" t="n"/>
      <c r="BO488" s="151" t="n"/>
      <c r="BP488" s="151" t="n"/>
      <c r="BQ488" s="151" t="n"/>
      <c r="BR488" s="151" t="n"/>
      <c r="BS488" s="151" t="n"/>
      <c r="BT488" s="151" t="n"/>
    </row>
    <row r="489">
      <c r="BJ489" s="151" t="n">
        <v>413</v>
      </c>
      <c r="BK489" s="151" t="inlineStr">
        <is>
          <t>FABRICACION DE MAQUINARIA Y EQUIPO PARA LA INDUSTRIA TEXTIL</t>
        </is>
      </c>
      <c r="BL489" s="151" t="n"/>
      <c r="BM489" s="151" t="n"/>
      <c r="BN489" s="151" t="n"/>
      <c r="BO489" s="151" t="n"/>
      <c r="BP489" s="151" t="n"/>
      <c r="BQ489" s="151" t="n"/>
      <c r="BR489" s="151" t="n"/>
      <c r="BS489" s="151" t="n"/>
      <c r="BT489" s="151" t="n"/>
    </row>
    <row r="490">
      <c r="BJ490" s="151" t="n">
        <v>414</v>
      </c>
      <c r="BK490" s="151" t="inlineStr">
        <is>
          <t>FABRICACION DE MAQUINARIA Y EQUIPO PARA LA IMPRESION</t>
        </is>
      </c>
      <c r="BL490" s="151" t="n"/>
      <c r="BM490" s="151" t="n"/>
      <c r="BN490" s="151" t="n"/>
      <c r="BO490" s="151" t="n"/>
      <c r="BP490" s="151" t="n"/>
      <c r="BQ490" s="151" t="n"/>
      <c r="BR490" s="151" t="n"/>
      <c r="BS490" s="151" t="n"/>
      <c r="BT490" s="151" t="n"/>
    </row>
    <row r="491">
      <c r="BJ491" s="151" t="n">
        <v>415</v>
      </c>
      <c r="BK491" s="151" t="inlineStr">
        <is>
          <t>FABRICACION DE MAQUINARIA Y EQUIPO PARA LA INDUSTRIA DEL VIDRIO Y OTROS MINERALES NO METALICOS</t>
        </is>
      </c>
      <c r="BL491" s="151" t="n"/>
      <c r="BM491" s="151" t="n"/>
      <c r="BN491" s="151" t="n"/>
      <c r="BO491" s="151" t="n"/>
      <c r="BP491" s="151" t="n"/>
      <c r="BQ491" s="151" t="n"/>
      <c r="BR491" s="151" t="n"/>
      <c r="BS491" s="151" t="n"/>
      <c r="BT491" s="151" t="n"/>
    </row>
    <row r="492">
      <c r="BJ492" s="151" t="n">
        <v>416</v>
      </c>
      <c r="BK492" s="151" t="inlineStr">
        <is>
          <t>FABRICACION DE MAQUINARIA Y EQUIPO PARA OTRAS INDUSTRIAS MANUFACTURERAS</t>
        </is>
      </c>
      <c r="BL492" s="151" t="n"/>
      <c r="BM492" s="151" t="n"/>
      <c r="BN492" s="151" t="n"/>
      <c r="BO492" s="151" t="n"/>
      <c r="BP492" s="151" t="n"/>
      <c r="BQ492" s="151" t="n"/>
      <c r="BR492" s="151" t="n"/>
      <c r="BS492" s="151" t="n"/>
      <c r="BT492" s="151" t="n"/>
    </row>
    <row r="493">
      <c r="BJ493" s="151" t="n">
        <v>417</v>
      </c>
      <c r="BK493" s="151" t="inlineStr">
        <is>
          <t>FABRICACION DE APARATOS FOTOGRAFICOS</t>
        </is>
      </c>
      <c r="BL493" s="151" t="n"/>
      <c r="BM493" s="151" t="n"/>
      <c r="BN493" s="151" t="n"/>
      <c r="BO493" s="151" t="n"/>
      <c r="BP493" s="151" t="n"/>
      <c r="BQ493" s="151" t="n"/>
      <c r="BR493" s="151" t="n"/>
      <c r="BS493" s="151" t="n"/>
      <c r="BT493" s="151" t="n"/>
    </row>
    <row r="494">
      <c r="BJ494" s="151" t="n">
        <v>418</v>
      </c>
      <c r="BK494" s="151" t="inlineStr">
        <is>
          <t>FABRICACION Y ENSAMBLE DE MAQUINAS FOTOCOPIADORAS</t>
        </is>
      </c>
      <c r="BL494" s="151" t="n"/>
      <c r="BM494" s="151" t="n"/>
      <c r="BN494" s="151" t="n"/>
      <c r="BO494" s="151" t="n"/>
      <c r="BP494" s="151" t="n"/>
      <c r="BQ494" s="151" t="n"/>
      <c r="BR494" s="151" t="n"/>
      <c r="BS494" s="151" t="n"/>
      <c r="BT494" s="151" t="n"/>
    </row>
    <row r="495">
      <c r="BJ495" s="151" t="n">
        <v>419</v>
      </c>
      <c r="BK495" s="151" t="inlineStr">
        <is>
          <t>FABRICACION DE OTRA MAQUINARIA Y EQUIPO PARA EL COMERCIO Y LOS SERVICIOS</t>
        </is>
      </c>
      <c r="BL495" s="151" t="n"/>
      <c r="BM495" s="151" t="n"/>
      <c r="BN495" s="151" t="n"/>
      <c r="BO495" s="151" t="n"/>
      <c r="BP495" s="151" t="n"/>
      <c r="BQ495" s="151" t="n"/>
      <c r="BR495" s="151" t="n"/>
      <c r="BS495" s="151" t="n"/>
      <c r="BT495" s="151" t="n"/>
    </row>
    <row r="496">
      <c r="BJ496" s="151" t="n">
        <v>420</v>
      </c>
      <c r="BK496" s="151" t="inlineStr">
        <is>
          <t>FABRICACION DE SISTEMAS DE AIRE ACONDICIONADO Y CALEFACCION</t>
        </is>
      </c>
      <c r="BL496" s="151" t="n"/>
      <c r="BM496" s="151" t="n"/>
      <c r="BN496" s="151" t="n"/>
      <c r="BO496" s="151" t="n"/>
      <c r="BP496" s="151" t="n"/>
      <c r="BQ496" s="151" t="n"/>
      <c r="BR496" s="151" t="n"/>
      <c r="BS496" s="151" t="n"/>
      <c r="BT496" s="151" t="n"/>
    </row>
    <row r="497">
      <c r="BJ497" s="151" t="n">
        <v>421</v>
      </c>
      <c r="BK497" s="151" t="inlineStr">
        <is>
          <t>FABRICACION Y ENSAMBLE DE SISTEMAS DE REFRIGERACION INDUSTRIAL Y COMERCIAL</t>
        </is>
      </c>
      <c r="BL497" s="151" t="n"/>
      <c r="BM497" s="151" t="n"/>
      <c r="BN497" s="151" t="n"/>
      <c r="BO497" s="151" t="n"/>
      <c r="BP497" s="151" t="n"/>
      <c r="BQ497" s="151" t="n"/>
      <c r="BR497" s="151" t="n"/>
      <c r="BS497" s="151" t="n"/>
      <c r="BT497" s="151" t="n"/>
    </row>
    <row r="498">
      <c r="BJ498" s="151" t="n">
        <v>422</v>
      </c>
      <c r="BK498" s="151" t="inlineStr">
        <is>
          <t>FABRICACION DE MAQUINARIA Y EQUIPO PARA LA INDUSTRIA METALMECANICA</t>
        </is>
      </c>
      <c r="BL498" s="151" t="n"/>
      <c r="BM498" s="151" t="n"/>
      <c r="BN498" s="151" t="n"/>
      <c r="BO498" s="151" t="n"/>
      <c r="BP498" s="151" t="n"/>
      <c r="BQ498" s="151" t="n"/>
      <c r="BR498" s="151" t="n"/>
      <c r="BS498" s="151" t="n"/>
      <c r="BT498" s="151" t="n"/>
    </row>
    <row r="499">
      <c r="BJ499" s="151" t="n">
        <v>423</v>
      </c>
      <c r="BK499" s="151" t="inlineStr">
        <is>
          <t>FABRICACION DE MOTORES DE COMBUSTION INTERNA, TURBINAS Y TRANSMISIONES</t>
        </is>
      </c>
      <c r="BL499" s="151" t="n"/>
      <c r="BM499" s="151" t="n"/>
      <c r="BN499" s="151" t="n"/>
      <c r="BO499" s="151" t="n"/>
      <c r="BP499" s="151" t="n"/>
      <c r="BQ499" s="151" t="n"/>
      <c r="BR499" s="151" t="n"/>
      <c r="BS499" s="151" t="n"/>
      <c r="BT499" s="151" t="n"/>
    </row>
    <row r="500">
      <c r="BJ500" s="151" t="n">
        <v>424</v>
      </c>
      <c r="BK500" s="151" t="inlineStr">
        <is>
          <t>FABRICACION DE BOMBAS</t>
        </is>
      </c>
      <c r="BL500" s="151" t="n"/>
      <c r="BM500" s="151" t="n"/>
      <c r="BN500" s="151" t="n"/>
      <c r="BO500" s="151" t="n"/>
      <c r="BP500" s="151" t="n"/>
      <c r="BQ500" s="151" t="n"/>
      <c r="BR500" s="151" t="n"/>
      <c r="BS500" s="151" t="n"/>
      <c r="BT500" s="151" t="n"/>
    </row>
    <row r="501">
      <c r="BJ501" s="151" t="n">
        <v>425</v>
      </c>
      <c r="BK501" s="151" t="inlineStr">
        <is>
          <t>FABRICACION DE SISTEMAS DE BOMBEO PARA USO INDUSTRIAL, COMERCIAL Y DOMESTICO</t>
        </is>
      </c>
      <c r="BL501" s="151" t="n"/>
      <c r="BM501" s="151" t="n"/>
      <c r="BN501" s="151" t="n"/>
      <c r="BO501" s="151" t="n"/>
      <c r="BP501" s="151" t="n"/>
      <c r="BQ501" s="151" t="n"/>
      <c r="BR501" s="151" t="n"/>
      <c r="BS501" s="151" t="n"/>
      <c r="BT501" s="151" t="n"/>
    </row>
    <row r="502">
      <c r="BJ502" s="151" t="n">
        <v>426</v>
      </c>
      <c r="BK502" s="151" t="inlineStr">
        <is>
          <t>FABRICACION DE MAQUINARIA Y EQUIPO PARA LEVANTAR Y TRASLADAR</t>
        </is>
      </c>
      <c r="BL502" s="151" t="n"/>
      <c r="BM502" s="151" t="n"/>
      <c r="BN502" s="151" t="n"/>
      <c r="BO502" s="151" t="n"/>
      <c r="BP502" s="151" t="n"/>
      <c r="BQ502" s="151" t="n"/>
      <c r="BR502" s="151" t="n"/>
      <c r="BS502" s="151" t="n"/>
      <c r="BT502" s="151" t="n"/>
    </row>
    <row r="503">
      <c r="BJ503" s="151" t="n">
        <v>427</v>
      </c>
      <c r="BK503" s="151" t="inlineStr">
        <is>
          <t>FABRICACION DE EQUIPO PARA SOLDAR Y SOLDADURAS FERROSAS Y NO FERROSAS</t>
        </is>
      </c>
      <c r="BL503" s="151" t="n"/>
      <c r="BM503" s="151" t="n"/>
      <c r="BN503" s="151" t="n"/>
      <c r="BO503" s="151" t="n"/>
      <c r="BP503" s="151" t="n"/>
      <c r="BQ503" s="151" t="n"/>
      <c r="BR503" s="151" t="n"/>
      <c r="BS503" s="151" t="n"/>
      <c r="BT503" s="151" t="n"/>
    </row>
    <row r="504">
      <c r="BJ504" s="151" t="n">
        <v>428</v>
      </c>
      <c r="BK504" s="151" t="inlineStr">
        <is>
          <t>FABRICACION DE MAQUINARIA Y EQUIPO PARA ENVASAR Y EMPACAR</t>
        </is>
      </c>
      <c r="BL504" s="151" t="n"/>
      <c r="BM504" s="151" t="n"/>
      <c r="BN504" s="151" t="n"/>
      <c r="BO504" s="151" t="n"/>
      <c r="BP504" s="151" t="n"/>
      <c r="BQ504" s="151" t="n"/>
      <c r="BR504" s="151" t="n"/>
      <c r="BS504" s="151" t="n"/>
      <c r="BT504" s="151" t="n"/>
    </row>
    <row r="505">
      <c r="BJ505" s="151" t="n">
        <v>429</v>
      </c>
      <c r="BK505" s="151" t="inlineStr">
        <is>
          <t>FABRICACION DE BASCULAS Y BALANZAS PARA USO COMERCIAL, INDUSTRIAL Y DOMESTICO</t>
        </is>
      </c>
      <c r="BL505" s="151" t="n"/>
      <c r="BM505" s="151" t="n"/>
      <c r="BN505" s="151" t="n"/>
      <c r="BO505" s="151" t="n"/>
      <c r="BP505" s="151" t="n"/>
      <c r="BQ505" s="151" t="n"/>
      <c r="BR505" s="151" t="n"/>
      <c r="BS505" s="151" t="n"/>
      <c r="BT505" s="151" t="n"/>
    </row>
    <row r="506">
      <c r="BJ506" s="151" t="n">
        <v>430</v>
      </c>
      <c r="BK506" s="151" t="inlineStr">
        <is>
          <t>FABRICACION DE OTRA MAQUINARIA Y EQUIPO PARA LA INDUSTRIA EN GENERAL</t>
        </is>
      </c>
      <c r="BL506" s="151" t="n"/>
      <c r="BM506" s="151" t="n"/>
      <c r="BN506" s="151" t="n"/>
      <c r="BO506" s="151" t="n"/>
      <c r="BP506" s="151" t="n"/>
      <c r="BQ506" s="151" t="n"/>
      <c r="BR506" s="151" t="n"/>
      <c r="BS506" s="151" t="n"/>
      <c r="BT506" s="151" t="n"/>
    </row>
    <row r="507">
      <c r="BJ507" s="151" t="n">
        <v>431</v>
      </c>
      <c r="BK507" s="151" t="inlineStr">
        <is>
          <t>FABRICACION DE COMPUTADORAS Y EQUIPO PERIFERICO</t>
        </is>
      </c>
      <c r="BL507" s="151" t="n"/>
      <c r="BM507" s="151" t="n"/>
      <c r="BN507" s="151" t="n"/>
      <c r="BO507" s="151" t="n"/>
      <c r="BP507" s="151" t="n"/>
      <c r="BQ507" s="151" t="n"/>
      <c r="BR507" s="151" t="n"/>
      <c r="BS507" s="151" t="n"/>
      <c r="BT507" s="151" t="n"/>
    </row>
    <row r="508">
      <c r="BJ508" s="151" t="n">
        <v>432</v>
      </c>
      <c r="BK508" s="151" t="inlineStr">
        <is>
          <t>FABRICACION DE APARATOS TELEFONICOS Y EQUIPO DE COMUNICACION ALAMBRICA</t>
        </is>
      </c>
      <c r="BL508" s="151" t="n"/>
      <c r="BM508" s="151" t="n"/>
      <c r="BN508" s="151" t="n"/>
      <c r="BO508" s="151" t="n"/>
      <c r="BP508" s="151" t="n"/>
      <c r="BQ508" s="151" t="n"/>
      <c r="BR508" s="151" t="n"/>
      <c r="BS508" s="151" t="n"/>
      <c r="BT508" s="151" t="n"/>
    </row>
    <row r="509">
      <c r="BJ509" s="151" t="n">
        <v>433</v>
      </c>
      <c r="BK509" s="151" t="inlineStr">
        <is>
          <t>FABRICACION DE EQUIPO DE TRANSMISION Y RECEPCION DE SE?ALES DE RADIO, TELEVISION Y CABLE</t>
        </is>
      </c>
      <c r="BL509" s="151" t="n"/>
      <c r="BM509" s="151" t="n"/>
      <c r="BN509" s="151" t="n"/>
      <c r="BO509" s="151" t="n"/>
      <c r="BP509" s="151" t="n"/>
      <c r="BQ509" s="151" t="n"/>
      <c r="BR509" s="151" t="n"/>
      <c r="BS509" s="151" t="n"/>
      <c r="BT509" s="151" t="n"/>
    </row>
    <row r="510">
      <c r="BJ510" s="151" t="n">
        <v>434</v>
      </c>
      <c r="BK510" s="151" t="inlineStr">
        <is>
          <t>FABRICACION DE OTROS EQUIPOS DE COMUNICACION</t>
        </is>
      </c>
      <c r="BL510" s="151" t="n"/>
      <c r="BM510" s="151" t="n"/>
      <c r="BN510" s="151" t="n"/>
      <c r="BO510" s="151" t="n"/>
      <c r="BP510" s="151" t="n"/>
      <c r="BQ510" s="151" t="n"/>
      <c r="BR510" s="151" t="n"/>
      <c r="BS510" s="151" t="n"/>
      <c r="BT510" s="151" t="n"/>
    </row>
    <row r="511">
      <c r="BJ511" s="151" t="n">
        <v>435</v>
      </c>
      <c r="BK511" s="151" t="inlineStr">
        <is>
          <t>FABRICACION DE EQUIPO DE AUDIO Y DE VIDEO</t>
        </is>
      </c>
      <c r="BL511" s="151" t="n"/>
      <c r="BM511" s="151" t="n"/>
      <c r="BN511" s="151" t="n"/>
      <c r="BO511" s="151" t="n"/>
      <c r="BP511" s="151" t="n"/>
      <c r="BQ511" s="151" t="n"/>
      <c r="BR511" s="151" t="n"/>
      <c r="BS511" s="151" t="n"/>
      <c r="BT511" s="151" t="n"/>
    </row>
    <row r="512">
      <c r="BJ512" s="151" t="n">
        <v>436</v>
      </c>
      <c r="BK512" s="151" t="inlineStr">
        <is>
          <t>FABRICACION DE COMPONENTES ELECTRONICOS</t>
        </is>
      </c>
      <c r="BL512" s="151" t="n"/>
      <c r="BM512" s="151" t="n"/>
      <c r="BN512" s="151" t="n"/>
      <c r="BO512" s="151" t="n"/>
      <c r="BP512" s="151" t="n"/>
      <c r="BQ512" s="151" t="n"/>
      <c r="BR512" s="151" t="n"/>
      <c r="BS512" s="151" t="n"/>
      <c r="BT512" s="151" t="n"/>
    </row>
    <row r="513">
      <c r="BJ513" s="151" t="n">
        <v>437</v>
      </c>
      <c r="BK513" s="151" t="inlineStr">
        <is>
          <t>FABRICACION Y ENSAMBLE DE RELOJES Y SUS PARTES, MAQUINARIA PARA RELOJES, Y OTROS INSTRUMENTOS PARA MEDIR EL TIEMPO</t>
        </is>
      </c>
      <c r="BL513" s="151" t="n"/>
      <c r="BM513" s="151" t="n"/>
      <c r="BN513" s="151" t="n"/>
      <c r="BO513" s="151" t="n"/>
      <c r="BP513" s="151" t="n"/>
      <c r="BQ513" s="151" t="n"/>
      <c r="BR513" s="151" t="n"/>
      <c r="BS513" s="151" t="n"/>
      <c r="BT513" s="151" t="n"/>
    </row>
    <row r="514">
      <c r="BJ514" s="151" t="n">
        <v>438</v>
      </c>
      <c r="BK514" s="151" t="inlineStr">
        <is>
          <t>FABRICACION DE OTROS INSTRUMENTOS DE NAVEGACION, MEDICION, MEDICOS Y DE CONTROL</t>
        </is>
      </c>
      <c r="BL514" s="151" t="n"/>
      <c r="BM514" s="151" t="n"/>
      <c r="BN514" s="151" t="n"/>
      <c r="BO514" s="151" t="n"/>
      <c r="BP514" s="151" t="n"/>
      <c r="BQ514" s="151" t="n"/>
      <c r="BR514" s="151" t="n"/>
      <c r="BS514" s="151" t="n"/>
      <c r="BT514" s="151" t="n"/>
    </row>
    <row r="515">
      <c r="BJ515" s="151" t="n">
        <v>439</v>
      </c>
      <c r="BK515" s="151" t="inlineStr">
        <is>
          <t>FABRICACION Y REPRODUCCION DE MEDIOS MAGNETICOS Y OPTICOS</t>
        </is>
      </c>
      <c r="BL515" s="151" t="n"/>
      <c r="BM515" s="151" t="n"/>
      <c r="BN515" s="151" t="n"/>
      <c r="BO515" s="151" t="n"/>
      <c r="BP515" s="151" t="n"/>
      <c r="BQ515" s="151" t="n"/>
      <c r="BR515" s="151" t="n"/>
      <c r="BS515" s="151" t="n"/>
      <c r="BT515" s="151" t="n"/>
    </row>
    <row r="516">
      <c r="BJ516" s="151" t="n">
        <v>440</v>
      </c>
      <c r="BK516" s="151" t="inlineStr">
        <is>
          <t>FABRICACION DE FOCOS</t>
        </is>
      </c>
      <c r="BL516" s="151" t="n"/>
      <c r="BM516" s="151" t="n"/>
      <c r="BN516" s="151" t="n"/>
      <c r="BO516" s="151" t="n"/>
      <c r="BP516" s="151" t="n"/>
      <c r="BQ516" s="151" t="n"/>
      <c r="BR516" s="151" t="n"/>
      <c r="BS516" s="151" t="n"/>
      <c r="BT516" s="151" t="n"/>
    </row>
    <row r="517">
      <c r="BJ517" s="151" t="n">
        <v>441</v>
      </c>
      <c r="BK517" s="151" t="inlineStr">
        <is>
          <t>FABRICACION DE LAMPARAS ORNAMENTALES</t>
        </is>
      </c>
      <c r="BL517" s="151" t="n"/>
      <c r="BM517" s="151" t="n"/>
      <c r="BN517" s="151" t="n"/>
      <c r="BO517" s="151" t="n"/>
      <c r="BP517" s="151" t="n"/>
      <c r="BQ517" s="151" t="n"/>
      <c r="BR517" s="151" t="n"/>
      <c r="BS517" s="151" t="n"/>
      <c r="BT517" s="151" t="n"/>
    </row>
    <row r="518">
      <c r="BJ518" s="151" t="n">
        <v>442</v>
      </c>
      <c r="BK518" s="151" t="inlineStr">
        <is>
          <t>FABRICACION DE ENSERES ELECTRODOMESTICOS MENORES</t>
        </is>
      </c>
      <c r="BL518" s="151" t="n"/>
      <c r="BM518" s="151" t="n"/>
      <c r="BN518" s="151" t="n"/>
      <c r="BO518" s="151" t="n"/>
      <c r="BP518" s="151" t="n"/>
      <c r="BQ518" s="151" t="n"/>
      <c r="BR518" s="151" t="n"/>
      <c r="BS518" s="151" t="n"/>
      <c r="BT518" s="151" t="n"/>
    </row>
    <row r="519">
      <c r="BJ519" s="151" t="n">
        <v>443</v>
      </c>
      <c r="BK519" s="151" t="inlineStr">
        <is>
          <t>FABRICACION DE APARATOS DE LINEA BLANCA</t>
        </is>
      </c>
      <c r="BL519" s="151" t="n"/>
      <c r="BM519" s="151" t="n"/>
      <c r="BN519" s="151" t="n"/>
      <c r="BO519" s="151" t="n"/>
      <c r="BP519" s="151" t="n"/>
      <c r="BQ519" s="151" t="n"/>
      <c r="BR519" s="151" t="n"/>
      <c r="BS519" s="151" t="n"/>
      <c r="BT519" s="151" t="n"/>
    </row>
    <row r="520">
      <c r="BJ520" s="151" t="n">
        <v>444</v>
      </c>
      <c r="BK520" s="151" t="inlineStr">
        <is>
          <t>FABRICACION DE MOTORES Y GENERADORES ELECTRICOS TRIFASICOS Y MONOFASICOS O DE CORRIENTE DIRECTA</t>
        </is>
      </c>
      <c r="BL520" s="151" t="n"/>
      <c r="BM520" s="151" t="n"/>
      <c r="BN520" s="151" t="n"/>
      <c r="BO520" s="151" t="n"/>
      <c r="BP520" s="151" t="n"/>
      <c r="BQ520" s="151" t="n"/>
      <c r="BR520" s="151" t="n"/>
      <c r="BS520" s="151" t="n"/>
      <c r="BT520" s="151" t="n"/>
    </row>
    <row r="521">
      <c r="BJ521" s="151" t="n">
        <v>445</v>
      </c>
      <c r="BK521" s="151" t="inlineStr">
        <is>
          <t>FABRICACION DE EQUIPO Y APARATOS DE DISTRIBUCION DE ENERGIA ELECTRICA</t>
        </is>
      </c>
      <c r="BL521" s="151" t="n"/>
      <c r="BM521" s="151" t="n"/>
      <c r="BN521" s="151" t="n"/>
      <c r="BO521" s="151" t="n"/>
      <c r="BP521" s="151" t="n"/>
      <c r="BQ521" s="151" t="n"/>
      <c r="BR521" s="151" t="n"/>
      <c r="BS521" s="151" t="n"/>
      <c r="BT521" s="151" t="n"/>
    </row>
    <row r="522">
      <c r="BJ522" s="151" t="n">
        <v>446</v>
      </c>
      <c r="BK522" s="151" t="inlineStr">
        <is>
          <t>FABRICACION DE ACUMULADORES Y PILAS</t>
        </is>
      </c>
      <c r="BL522" s="151" t="n"/>
      <c r="BM522" s="151" t="n"/>
      <c r="BN522" s="151" t="n"/>
      <c r="BO522" s="151" t="n"/>
      <c r="BP522" s="151" t="n"/>
      <c r="BQ522" s="151" t="n"/>
      <c r="BR522" s="151" t="n"/>
      <c r="BS522" s="151" t="n"/>
      <c r="BT522" s="151" t="n"/>
    </row>
    <row r="523">
      <c r="BJ523" s="151" t="n">
        <v>447</v>
      </c>
      <c r="BK523" s="151" t="inlineStr">
        <is>
          <t>FABRICACION DE ALAMBRES Y CABLES DE CONDUCCION ELECTRICA Y DE COMUNICACION</t>
        </is>
      </c>
      <c r="BL523" s="151" t="n"/>
      <c r="BM523" s="151" t="n"/>
      <c r="BN523" s="151" t="n"/>
      <c r="BO523" s="151" t="n"/>
      <c r="BP523" s="151" t="n"/>
      <c r="BQ523" s="151" t="n"/>
      <c r="BR523" s="151" t="n"/>
      <c r="BS523" s="151" t="n"/>
      <c r="BT523" s="151" t="n"/>
    </row>
    <row r="524">
      <c r="BJ524" s="151" t="n">
        <v>448</v>
      </c>
      <c r="BK524" s="151" t="inlineStr">
        <is>
          <t>FABRICACION DE ENCHUFES, CONTACTOS, FUSIBLES Y OTROS ACCESORIOS PARA INSTALACIONES ELECTRICAS</t>
        </is>
      </c>
      <c r="BL524" s="151" t="n"/>
      <c r="BM524" s="151" t="n"/>
      <c r="BN524" s="151" t="n"/>
      <c r="BO524" s="151" t="n"/>
      <c r="BP524" s="151" t="n"/>
      <c r="BQ524" s="151" t="n"/>
      <c r="BR524" s="151" t="n"/>
      <c r="BS524" s="151" t="n"/>
      <c r="BT524" s="151" t="n"/>
    </row>
    <row r="525">
      <c r="BJ525" s="151" t="n">
        <v>449</v>
      </c>
      <c r="BK525" s="151" t="inlineStr">
        <is>
          <t>FABRICACION DE PRODUCTOS ELECTRICOS DE CARBON Y GRAFITO</t>
        </is>
      </c>
      <c r="BL525" s="151" t="n"/>
      <c r="BM525" s="151" t="n"/>
      <c r="BN525" s="151" t="n"/>
      <c r="BO525" s="151" t="n"/>
      <c r="BP525" s="151" t="n"/>
      <c r="BQ525" s="151" t="n"/>
      <c r="BR525" s="151" t="n"/>
      <c r="BS525" s="151" t="n"/>
      <c r="BT525" s="151" t="n"/>
    </row>
    <row r="526">
      <c r="BJ526" s="151" t="n">
        <v>450</v>
      </c>
      <c r="BK526" s="151" t="inlineStr">
        <is>
          <t>FABRICACION DE OTROS PRODUCTOS ELECTRICOS</t>
        </is>
      </c>
      <c r="BL526" s="151" t="n"/>
      <c r="BM526" s="151" t="n"/>
      <c r="BN526" s="151" t="n"/>
      <c r="BO526" s="151" t="n"/>
      <c r="BP526" s="151" t="n"/>
      <c r="BQ526" s="151" t="n"/>
      <c r="BR526" s="151" t="n"/>
      <c r="BS526" s="151" t="n"/>
      <c r="BT526" s="151" t="n"/>
    </row>
    <row r="527">
      <c r="BJ527" s="151" t="n">
        <v>451</v>
      </c>
      <c r="BK527" s="151" t="inlineStr">
        <is>
          <t>FABRICACION O ENSAMBLE DE AUTOMOVILES Y CAMIONETAS</t>
        </is>
      </c>
      <c r="BL527" s="151" t="n"/>
      <c r="BM527" s="151" t="n"/>
      <c r="BN527" s="151" t="n"/>
      <c r="BO527" s="151" t="n"/>
      <c r="BP527" s="151" t="n"/>
      <c r="BQ527" s="151" t="n"/>
      <c r="BR527" s="151" t="n"/>
      <c r="BS527" s="151" t="n"/>
      <c r="BT527" s="151" t="n"/>
    </row>
    <row r="528">
      <c r="BJ528" s="151" t="n">
        <v>452</v>
      </c>
      <c r="BK528" s="151" t="inlineStr">
        <is>
          <t>VENTA DE VEHICULOS LIGEROS CON MOTOR DE COMBUSTION INTERNA, COMO AUTOMOVILES, FURGONETAS (MINIVANS) Y OTRAS CAMIONETAS DE CARGA LIGERA</t>
        </is>
      </c>
      <c r="BL528" s="151" t="n"/>
      <c r="BM528" s="151" t="n"/>
      <c r="BN528" s="151" t="n"/>
      <c r="BO528" s="151" t="n"/>
      <c r="BP528" s="151" t="n"/>
      <c r="BQ528" s="151" t="n"/>
      <c r="BR528" s="151" t="n"/>
      <c r="BS528" s="151" t="n"/>
      <c r="BT528" s="151" t="n"/>
    </row>
    <row r="529">
      <c r="BJ529" s="151" t="n">
        <v>453</v>
      </c>
      <c r="BK529" s="151" t="inlineStr">
        <is>
          <t>FABRICACION O ENSAMBLE DE CAMIONES Y TRACTOCAMIONES</t>
        </is>
      </c>
      <c r="BL529" s="151" t="n"/>
      <c r="BM529" s="151" t="n"/>
      <c r="BN529" s="151" t="n"/>
      <c r="BO529" s="151" t="n"/>
      <c r="BP529" s="151" t="n"/>
      <c r="BQ529" s="151" t="n"/>
      <c r="BR529" s="151" t="n"/>
      <c r="BS529" s="151" t="n"/>
      <c r="BT529" s="151" t="n"/>
    </row>
    <row r="530">
      <c r="BJ530" s="151" t="n">
        <v>454</v>
      </c>
      <c r="BK530" s="151" t="inlineStr">
        <is>
          <t>FABRICACION DE CARROCERIAS Y REMOLQUES</t>
        </is>
      </c>
      <c r="BL530" s="151" t="n"/>
      <c r="BM530" s="151" t="n"/>
      <c r="BN530" s="151" t="n"/>
      <c r="BO530" s="151" t="n"/>
      <c r="BP530" s="151" t="n"/>
      <c r="BQ530" s="151" t="n"/>
      <c r="BR530" s="151" t="n"/>
      <c r="BS530" s="151" t="n"/>
      <c r="BT530" s="151" t="n"/>
    </row>
    <row r="531">
      <c r="BJ531" s="151" t="n">
        <v>455</v>
      </c>
      <c r="BK531" s="151" t="inlineStr">
        <is>
          <t>FABRICACION DE MOTORES DE GASOLINA Y SUS PARTES PARA VEHICULOS AUTOMOTRICES</t>
        </is>
      </c>
      <c r="BL531" s="151" t="n"/>
      <c r="BM531" s="151" t="n"/>
      <c r="BN531" s="151" t="n"/>
      <c r="BO531" s="151" t="n"/>
      <c r="BP531" s="151" t="n"/>
      <c r="BQ531" s="151" t="n"/>
      <c r="BR531" s="151" t="n"/>
      <c r="BS531" s="151" t="n"/>
      <c r="BT531" s="151" t="n"/>
    </row>
    <row r="532">
      <c r="BJ532" s="151" t="n">
        <v>456</v>
      </c>
      <c r="BK532" s="151" t="inlineStr">
        <is>
          <t>FABRICACION DE EQUIPO ELECTRICO Y ELECTRONICO PARA VEHICULOS AUTOMOTORES</t>
        </is>
      </c>
      <c r="BL532" s="151" t="n"/>
      <c r="BM532" s="151" t="n"/>
      <c r="BN532" s="151" t="n"/>
      <c r="BO532" s="151" t="n"/>
      <c r="BP532" s="151" t="n"/>
      <c r="BQ532" s="151" t="n"/>
      <c r="BR532" s="151" t="n"/>
      <c r="BS532" s="151" t="n"/>
      <c r="BT532" s="151" t="n"/>
    </row>
    <row r="533">
      <c r="BJ533" s="151" t="n">
        <v>457</v>
      </c>
      <c r="BK533" s="151" t="inlineStr">
        <is>
          <t>FABRICACION DE PARTES DE SISTEMAS DE DIRECCION Y DE SUSPENSION PARA VEHICULOS AUTOMOTRICES</t>
        </is>
      </c>
      <c r="BL533" s="151" t="n"/>
      <c r="BM533" s="151" t="n"/>
      <c r="BN533" s="151" t="n"/>
      <c r="BO533" s="151" t="n"/>
      <c r="BP533" s="151" t="n"/>
      <c r="BQ533" s="151" t="n"/>
      <c r="BR533" s="151" t="n"/>
      <c r="BS533" s="151" t="n"/>
      <c r="BT533" s="151" t="n"/>
    </row>
    <row r="534">
      <c r="BJ534" s="151" t="n">
        <v>458</v>
      </c>
      <c r="BK534" s="151" t="inlineStr">
        <is>
          <t>FABRICACION DE PARTES DE SISTEMAS DE FRENOS PARA VEHICULOS AUTOMOTRICES</t>
        </is>
      </c>
      <c r="BL534" s="151" t="n"/>
      <c r="BM534" s="151" t="n"/>
      <c r="BN534" s="151" t="n"/>
      <c r="BO534" s="151" t="n"/>
      <c r="BP534" s="151" t="n"/>
      <c r="BQ534" s="151" t="n"/>
      <c r="BR534" s="151" t="n"/>
      <c r="BS534" s="151" t="n"/>
      <c r="BT534" s="151" t="n"/>
    </row>
    <row r="535">
      <c r="BJ535" s="151" t="n">
        <v>459</v>
      </c>
      <c r="BK535" s="151" t="inlineStr">
        <is>
          <t>FABRICACION DE PARTES DE SISTEMAS DE TRANSMISION</t>
        </is>
      </c>
      <c r="BL535" s="151" t="n"/>
      <c r="BM535" s="151" t="n"/>
      <c r="BN535" s="151" t="n"/>
      <c r="BO535" s="151" t="n"/>
      <c r="BP535" s="151" t="n"/>
      <c r="BQ535" s="151" t="n"/>
      <c r="BR535" s="151" t="n"/>
      <c r="BS535" s="151" t="n"/>
      <c r="BT535" s="151" t="n"/>
    </row>
    <row r="536">
      <c r="BJ536" s="151" t="n">
        <v>460</v>
      </c>
      <c r="BK536" s="151" t="inlineStr">
        <is>
          <t>FABRICACION DE ASIENTOS PARA VEHICULOS AUTOMOTORES</t>
        </is>
      </c>
      <c r="BL536" s="151" t="n"/>
      <c r="BM536" s="151" t="n"/>
      <c r="BN536" s="151" t="n"/>
      <c r="BO536" s="151" t="n"/>
      <c r="BP536" s="151" t="n"/>
      <c r="BQ536" s="151" t="n"/>
      <c r="BR536" s="151" t="n"/>
      <c r="BS536" s="151" t="n"/>
      <c r="BT536" s="151" t="n"/>
    </row>
    <row r="537">
      <c r="BJ537" s="151" t="n">
        <v>461</v>
      </c>
      <c r="BK537" s="151" t="inlineStr">
        <is>
          <t>FABRICACION DE PIEZAS METALICAS TROQUELADAS PARA VEHICULOS AUTOMOTRICES</t>
        </is>
      </c>
      <c r="BL537" s="151" t="n"/>
      <c r="BM537" s="151" t="n"/>
      <c r="BN537" s="151" t="n"/>
      <c r="BO537" s="151" t="n"/>
      <c r="BP537" s="151" t="n"/>
      <c r="BQ537" s="151" t="n"/>
      <c r="BR537" s="151" t="n"/>
      <c r="BS537" s="151" t="n"/>
      <c r="BT537" s="151" t="n"/>
    </row>
    <row r="538">
      <c r="BJ538" s="151" t="n">
        <v>462</v>
      </c>
      <c r="BK538" s="151" t="inlineStr">
        <is>
          <t>FABRICACION DE OTRAS PARTES PARA VEHICULOS AUTOMOTRICES</t>
        </is>
      </c>
      <c r="BL538" s="151" t="n"/>
      <c r="BM538" s="151" t="n"/>
      <c r="BN538" s="151" t="n"/>
      <c r="BO538" s="151" t="n"/>
      <c r="BP538" s="151" t="n"/>
      <c r="BQ538" s="151" t="n"/>
      <c r="BR538" s="151" t="n"/>
      <c r="BS538" s="151" t="n"/>
      <c r="BT538" s="151" t="n"/>
    </row>
    <row r="539">
      <c r="BJ539" s="151" t="n">
        <v>463</v>
      </c>
      <c r="BK539" s="151" t="inlineStr">
        <is>
          <t>FABRICACION, RECONSTRUCCION, ENSAMBLE Y SUBENSAMBLE DE EQUIPO AEROESPACIAL, INCLUSO MOTORES</t>
        </is>
      </c>
      <c r="BL539" s="151" t="n"/>
      <c r="BM539" s="151" t="n"/>
      <c r="BN539" s="151" t="n"/>
      <c r="BO539" s="151" t="n"/>
      <c r="BP539" s="151" t="n"/>
      <c r="BQ539" s="151" t="n"/>
      <c r="BR539" s="151" t="n"/>
      <c r="BS539" s="151" t="n"/>
      <c r="BT539" s="151" t="n"/>
    </row>
    <row r="540">
      <c r="BJ540" s="151" t="n">
        <v>464</v>
      </c>
      <c r="BK540" s="151" t="inlineStr">
        <is>
          <t>FABRICACION DE EQUIPO FERROVIARIO</t>
        </is>
      </c>
      <c r="BL540" s="151" t="n"/>
      <c r="BM540" s="151" t="n"/>
      <c r="BN540" s="151" t="n"/>
      <c r="BO540" s="151" t="n"/>
      <c r="BP540" s="151" t="n"/>
      <c r="BQ540" s="151" t="n"/>
      <c r="BR540" s="151" t="n"/>
      <c r="BS540" s="151" t="n"/>
      <c r="BT540" s="151" t="n"/>
    </row>
    <row r="541">
      <c r="BJ541" s="151" t="n">
        <v>465</v>
      </c>
      <c r="BK541" s="151" t="inlineStr">
        <is>
          <t>FABRICACION DE EMBARCACIONES</t>
        </is>
      </c>
      <c r="BL541" s="151" t="n"/>
      <c r="BM541" s="151" t="n"/>
      <c r="BN541" s="151" t="n"/>
      <c r="BO541" s="151" t="n"/>
      <c r="BP541" s="151" t="n"/>
      <c r="BQ541" s="151" t="n"/>
      <c r="BR541" s="151" t="n"/>
      <c r="BS541" s="151" t="n"/>
      <c r="BT541" s="151" t="n"/>
    </row>
    <row r="542">
      <c r="BJ542" s="151" t="n">
        <v>466</v>
      </c>
      <c r="BK542" s="151" t="inlineStr">
        <is>
          <t>FABRICACION DE MOTOCICLETAS Y SUS PARTES</t>
        </is>
      </c>
      <c r="BL542" s="151" t="n"/>
      <c r="BM542" s="151" t="n"/>
      <c r="BN542" s="151" t="n"/>
      <c r="BO542" s="151" t="n"/>
      <c r="BP542" s="151" t="n"/>
      <c r="BQ542" s="151" t="n"/>
      <c r="BR542" s="151" t="n"/>
      <c r="BS542" s="151" t="n"/>
      <c r="BT542" s="151" t="n"/>
    </row>
    <row r="543">
      <c r="BJ543" s="151" t="n">
        <v>467</v>
      </c>
      <c r="BK543" s="151" t="inlineStr">
        <is>
          <t>FABRICACION DE BICICLETAS Y TRICICLOS Y SUS PARTES</t>
        </is>
      </c>
      <c r="BL543" s="151" t="n"/>
      <c r="BM543" s="151" t="n"/>
      <c r="BN543" s="151" t="n"/>
      <c r="BO543" s="151" t="n"/>
      <c r="BP543" s="151" t="n"/>
      <c r="BQ543" s="151" t="n"/>
      <c r="BR543" s="151" t="n"/>
      <c r="BS543" s="151" t="n"/>
      <c r="BT543" s="151" t="n"/>
    </row>
    <row r="544">
      <c r="BJ544" s="151" t="n">
        <v>468</v>
      </c>
      <c r="BK544" s="151" t="inlineStr">
        <is>
          <t>FABRICACION DE OTRO EQUIPO DE TRANSPORTE</t>
        </is>
      </c>
      <c r="BL544" s="151" t="n"/>
      <c r="BM544" s="151" t="n"/>
      <c r="BN544" s="151" t="n"/>
      <c r="BO544" s="151" t="n"/>
      <c r="BP544" s="151" t="n"/>
      <c r="BQ544" s="151" t="n"/>
      <c r="BR544" s="151" t="n"/>
      <c r="BS544" s="151" t="n"/>
      <c r="BT544" s="151" t="n"/>
    </row>
    <row r="545">
      <c r="BJ545" s="151" t="n">
        <v>469</v>
      </c>
      <c r="BK545" s="151" t="inlineStr">
        <is>
          <t>FABRICACION DE COCINAS</t>
        </is>
      </c>
      <c r="BL545" s="151" t="n"/>
      <c r="BM545" s="151" t="n"/>
      <c r="BN545" s="151" t="n"/>
      <c r="BO545" s="151" t="n"/>
      <c r="BP545" s="151" t="n"/>
      <c r="BQ545" s="151" t="n"/>
      <c r="BR545" s="151" t="n"/>
      <c r="BS545" s="151" t="n"/>
      <c r="BT545" s="151" t="n"/>
    </row>
    <row r="546">
      <c r="BJ546" s="151" t="n">
        <v>470</v>
      </c>
      <c r="BK546" s="151" t="inlineStr">
        <is>
          <t>FABRICACION DE MUEBLES, EXCEPTO COCINAS Y MUEBLES DE OFICINA Y ESTANTERIA</t>
        </is>
      </c>
      <c r="BL546" s="151" t="n"/>
      <c r="BM546" s="151" t="n"/>
      <c r="BN546" s="151" t="n"/>
      <c r="BO546" s="151" t="n"/>
      <c r="BP546" s="151" t="n"/>
      <c r="BQ546" s="151" t="n"/>
      <c r="BR546" s="151" t="n"/>
      <c r="BS546" s="151" t="n"/>
      <c r="BT546" s="151" t="n"/>
    </row>
    <row r="547">
      <c r="BJ547" s="151" t="n">
        <v>471</v>
      </c>
      <c r="BK547" s="151" t="inlineStr">
        <is>
          <t>FABRICACION DE MUEBLES DE OFICINA Y ESTANTERIA</t>
        </is>
      </c>
      <c r="BL547" s="151" t="n"/>
      <c r="BM547" s="151" t="n"/>
      <c r="BN547" s="151" t="n"/>
      <c r="BO547" s="151" t="n"/>
      <c r="BP547" s="151" t="n"/>
      <c r="BQ547" s="151" t="n"/>
      <c r="BR547" s="151" t="n"/>
      <c r="BS547" s="151" t="n"/>
      <c r="BT547" s="151" t="n"/>
    </row>
    <row r="548">
      <c r="BJ548" s="151" t="n">
        <v>472</v>
      </c>
      <c r="BK548" s="151" t="inlineStr">
        <is>
          <t>FABRICACION DE COLCHONES Y BOX SPRING. INCLUYE LA FABRICACION DE COLCHONES DE AGUA</t>
        </is>
      </c>
      <c r="BL548" s="151" t="n"/>
      <c r="BM548" s="151" t="n"/>
      <c r="BN548" s="151" t="n"/>
      <c r="BO548" s="151" t="n"/>
      <c r="BP548" s="151" t="n"/>
      <c r="BQ548" s="151" t="n"/>
      <c r="BR548" s="151" t="n"/>
      <c r="BS548" s="151" t="n"/>
      <c r="BT548" s="151" t="n"/>
    </row>
    <row r="549">
      <c r="BJ549" s="151" t="n">
        <v>473</v>
      </c>
      <c r="BK549" s="151" t="inlineStr">
        <is>
          <t>FABRICACION DE PERSIANAS, CORTINEROS Y SUS ACCESORIOS. INCLUYE LA FABRICACION DE TOLDOS DE BAMBU Y OTRO TIPO DE SOMBRAS PARA VENTANAS</t>
        </is>
      </c>
      <c r="BL549" s="151" t="n"/>
      <c r="BM549" s="151" t="n"/>
      <c r="BN549" s="151" t="n"/>
      <c r="BO549" s="151" t="n"/>
      <c r="BP549" s="151" t="n"/>
      <c r="BQ549" s="151" t="n"/>
      <c r="BR549" s="151" t="n"/>
      <c r="BS549" s="151" t="n"/>
      <c r="BT549" s="151" t="n"/>
    </row>
    <row r="550">
      <c r="BJ550" s="151" t="n">
        <v>474</v>
      </c>
      <c r="BK550" s="151" t="inlineStr">
        <is>
          <t>FABRICACION DE EQUIPO Y APARATOS PARA USO MEDICO, DENTAL, PARA LABORATORIO Y DE MAXIMA SEGURIDAD</t>
        </is>
      </c>
      <c r="BL550" s="151" t="n"/>
      <c r="BM550" s="151" t="n"/>
      <c r="BN550" s="151" t="n"/>
      <c r="BO550" s="151" t="n"/>
      <c r="BP550" s="151" t="n"/>
      <c r="BQ550" s="151" t="n"/>
      <c r="BR550" s="151" t="n"/>
      <c r="BS550" s="151" t="n"/>
      <c r="BT550" s="151" t="n"/>
    </row>
    <row r="551">
      <c r="BJ551" s="151" t="n">
        <v>475</v>
      </c>
      <c r="BK551" s="151" t="inlineStr">
        <is>
          <t>FABRICACION DE MATERIAL DE CURACION</t>
        </is>
      </c>
      <c r="BL551" s="151" t="n"/>
      <c r="BM551" s="151" t="n"/>
      <c r="BN551" s="151" t="n"/>
      <c r="BO551" s="151" t="n"/>
      <c r="BP551" s="151" t="n"/>
      <c r="BQ551" s="151" t="n"/>
      <c r="BR551" s="151" t="n"/>
      <c r="BS551" s="151" t="n"/>
      <c r="BT551" s="151" t="n"/>
    </row>
    <row r="552">
      <c r="BJ552" s="151" t="n">
        <v>476</v>
      </c>
      <c r="BK552" s="151" t="inlineStr">
        <is>
          <t>FABRICACION DE INSTRUMENTOS Y APARATOS OPTICOS DE USO OFTALMICO</t>
        </is>
      </c>
      <c r="BL552" s="151" t="n"/>
      <c r="BM552" s="151" t="n"/>
      <c r="BN552" s="151" t="n"/>
      <c r="BO552" s="151" t="n"/>
      <c r="BP552" s="151" t="n"/>
      <c r="BQ552" s="151" t="n"/>
      <c r="BR552" s="151" t="n"/>
      <c r="BS552" s="151" t="n"/>
      <c r="BT552" s="151" t="n"/>
    </row>
    <row r="553">
      <c r="BJ553" s="151" t="n">
        <v>477</v>
      </c>
      <c r="BK553" s="151" t="inlineStr">
        <is>
          <t>ACU?ACION E IMPRESION DE MONEDAS</t>
        </is>
      </c>
      <c r="BL553" s="151" t="n"/>
      <c r="BM553" s="151" t="n"/>
      <c r="BN553" s="151" t="n"/>
      <c r="BO553" s="151" t="n"/>
      <c r="BP553" s="151" t="n"/>
      <c r="BQ553" s="151" t="n"/>
      <c r="BR553" s="151" t="n"/>
      <c r="BS553" s="151" t="n"/>
      <c r="BT553" s="151" t="n"/>
    </row>
    <row r="554">
      <c r="BJ554" s="151" t="n">
        <v>478</v>
      </c>
      <c r="BK554" s="151" t="inlineStr">
        <is>
          <t>ORFEBRERIA, JOYERIA, PIEZAS ARTISTICAS U ORNAMENTALES DE ORO</t>
        </is>
      </c>
      <c r="BL554" s="151" t="n"/>
      <c r="BM554" s="151" t="n"/>
      <c r="BN554" s="151" t="n"/>
      <c r="BO554" s="151" t="n"/>
      <c r="BP554" s="151" t="n"/>
      <c r="BQ554" s="151" t="n"/>
      <c r="BR554" s="151" t="n"/>
      <c r="BS554" s="151" t="n"/>
      <c r="BT554" s="151" t="n"/>
    </row>
    <row r="555">
      <c r="BJ555" s="151" t="n">
        <v>479</v>
      </c>
      <c r="BK555" s="151" t="inlineStr">
        <is>
          <t>ORFEBRERIA Y JOYERIA DE METALES Y PIEDRAS PRECIOSOS DISTINTOS AL ORO</t>
        </is>
      </c>
      <c r="BL555" s="151" t="n"/>
      <c r="BM555" s="151" t="n"/>
      <c r="BN555" s="151" t="n"/>
      <c r="BO555" s="151" t="n"/>
      <c r="BP555" s="151" t="n"/>
      <c r="BQ555" s="151" t="n"/>
      <c r="BR555" s="151" t="n"/>
      <c r="BS555" s="151" t="n"/>
      <c r="BT555" s="151" t="n"/>
    </row>
    <row r="556">
      <c r="BJ556" s="151" t="n">
        <v>480</v>
      </c>
      <c r="BK556" s="151" t="inlineStr">
        <is>
          <t>FABRICACION DE JOYERIA DE FANTASIA HECHA DE METALES Y PIEDRAS NO PRECIOSAS, DE PLASTICO Y DE OTROS MATERIALES</t>
        </is>
      </c>
      <c r="BL556" s="151" t="n"/>
      <c r="BM556" s="151" t="n"/>
      <c r="BN556" s="151" t="n"/>
      <c r="BO556" s="151" t="n"/>
      <c r="BP556" s="151" t="n"/>
      <c r="BQ556" s="151" t="n"/>
      <c r="BR556" s="151" t="n"/>
      <c r="BS556" s="151" t="n"/>
      <c r="BT556" s="151" t="n"/>
    </row>
    <row r="557">
      <c r="BJ557" s="151" t="n">
        <v>481</v>
      </c>
      <c r="BK557" s="151" t="inlineStr">
        <is>
          <t>FABRICACION DE PRODUCTOS DE METALES NO PRECIOSOS, COMO TROFEOS, ARTICULOS ORNAMENTALES PARA USO DOMESTICO, PLATONES, JARRONES, FLOREROS</t>
        </is>
      </c>
      <c r="BL557" s="151" t="n"/>
      <c r="BM557" s="151" t="n"/>
      <c r="BN557" s="151" t="n"/>
      <c r="BO557" s="151" t="n"/>
      <c r="BP557" s="151" t="n"/>
      <c r="BQ557" s="151" t="n"/>
      <c r="BR557" s="151" t="n"/>
      <c r="BS557" s="151" t="n"/>
      <c r="BT557" s="151" t="n"/>
    </row>
    <row r="558">
      <c r="BJ558" s="151" t="n">
        <v>482</v>
      </c>
      <c r="BK558" s="151" t="inlineStr">
        <is>
          <t>FABRICACION DE ARTICULOS DEPORTIVOS</t>
        </is>
      </c>
      <c r="BL558" s="151" t="n"/>
      <c r="BM558" s="151" t="n"/>
      <c r="BN558" s="151" t="n"/>
      <c r="BO558" s="151" t="n"/>
      <c r="BP558" s="151" t="n"/>
      <c r="BQ558" s="151" t="n"/>
      <c r="BR558" s="151" t="n"/>
      <c r="BS558" s="151" t="n"/>
      <c r="BT558" s="151" t="n"/>
    </row>
    <row r="559">
      <c r="BJ559" s="151" t="n">
        <v>483</v>
      </c>
      <c r="BK559" s="151" t="inlineStr">
        <is>
          <t>FABRICACION DE JUGUETES. INCLUYE LA FABRICACION DE JUEGOS Y JUGUETES ELECTRONICOS, INSTRUMENTOS MUSICALES DE JUGUETE Y JUEGOS DE MESA</t>
        </is>
      </c>
      <c r="BL559" s="151" t="n"/>
      <c r="BM559" s="151" t="n"/>
      <c r="BN559" s="151" t="n"/>
      <c r="BO559" s="151" t="n"/>
      <c r="BP559" s="151" t="n"/>
      <c r="BQ559" s="151" t="n"/>
      <c r="BR559" s="151" t="n"/>
      <c r="BS559" s="151" t="n"/>
      <c r="BT559" s="151" t="n"/>
    </row>
    <row r="560">
      <c r="BJ560" s="151" t="n">
        <v>484</v>
      </c>
      <c r="BK560" s="151" t="inlineStr">
        <is>
          <t>FABRICACION DE ARTICULOS Y ACCESORIOS PARA ESCRITURA, PINTURA, DIBUJO Y ACTIVIDADES DE OFICINA</t>
        </is>
      </c>
      <c r="BL560" s="151" t="n"/>
      <c r="BM560" s="151" t="n"/>
      <c r="BN560" s="151" t="n"/>
      <c r="BO560" s="151" t="n"/>
      <c r="BP560" s="151" t="n"/>
      <c r="BQ560" s="151" t="n"/>
      <c r="BR560" s="151" t="n"/>
      <c r="BS560" s="151" t="n"/>
      <c r="BT560" s="151" t="n"/>
    </row>
    <row r="561">
      <c r="BJ561" s="151" t="n">
        <v>485</v>
      </c>
      <c r="BK561" s="151" t="inlineStr">
        <is>
          <t>FABRICACION DE ANUNCIOS PUBLICITARIOS DE TODO TIPO DE MATERIAL, COMO ANUNCIOS Y TOLDOS LUMINOSOS, CARTELERAS ESPECTACULARES, ANUNCIOS ELECTRONICOS, ROTAGRAPHICS, UNIPOLARES, DE NEON</t>
        </is>
      </c>
      <c r="BL561" s="151" t="n"/>
      <c r="BM561" s="151" t="n"/>
      <c r="BN561" s="151" t="n"/>
      <c r="BO561" s="151" t="n"/>
      <c r="BP561" s="151" t="n"/>
      <c r="BQ561" s="151" t="n"/>
      <c r="BR561" s="151" t="n"/>
      <c r="BS561" s="151" t="n"/>
      <c r="BT561" s="151" t="n"/>
    </row>
    <row r="562">
      <c r="BJ562" s="151" t="n">
        <v>486</v>
      </c>
      <c r="BK562" s="151" t="inlineStr">
        <is>
          <t>FABRICACION Y ENSAMBLE DE INSTRUMENTOS MUSICALES</t>
        </is>
      </c>
      <c r="BL562" s="151" t="n"/>
      <c r="BM562" s="151" t="n"/>
      <c r="BN562" s="151" t="n"/>
      <c r="BO562" s="151" t="n"/>
      <c r="BP562" s="151" t="n"/>
      <c r="BQ562" s="151" t="n"/>
      <c r="BR562" s="151" t="n"/>
      <c r="BS562" s="151" t="n"/>
      <c r="BT562" s="151" t="n"/>
    </row>
    <row r="563">
      <c r="BJ563" s="151" t="n">
        <v>487</v>
      </c>
      <c r="BK563" s="151" t="inlineStr">
        <is>
          <t>FABRICACION DE CIERRES, BOTONES Y AGUJAS</t>
        </is>
      </c>
      <c r="BL563" s="151" t="n"/>
      <c r="BM563" s="151" t="n"/>
      <c r="BN563" s="151" t="n"/>
      <c r="BO563" s="151" t="n"/>
      <c r="BP563" s="151" t="n"/>
      <c r="BQ563" s="151" t="n"/>
      <c r="BR563" s="151" t="n"/>
      <c r="BS563" s="151" t="n"/>
      <c r="BT563" s="151" t="n"/>
    </row>
    <row r="564">
      <c r="BJ564" s="151" t="n">
        <v>488</v>
      </c>
      <c r="BK564" s="151" t="inlineStr">
        <is>
          <t>FABRICACION DE ESCOBAS, CEPILLOS Y SIMILARES</t>
        </is>
      </c>
      <c r="BL564" s="151" t="n"/>
      <c r="BM564" s="151" t="n"/>
      <c r="BN564" s="151" t="n"/>
      <c r="BO564" s="151" t="n"/>
      <c r="BP564" s="151" t="n"/>
      <c r="BQ564" s="151" t="n"/>
      <c r="BR564" s="151" t="n"/>
      <c r="BS564" s="151" t="n"/>
      <c r="BT564" s="151" t="n"/>
    </row>
    <row r="565">
      <c r="BJ565" s="151" t="n">
        <v>489</v>
      </c>
      <c r="BK565" s="151" t="inlineStr">
        <is>
          <t>FABRICACION DE VELAS Y VELADORAS</t>
        </is>
      </c>
      <c r="BL565" s="151" t="n"/>
      <c r="BM565" s="151" t="n"/>
      <c r="BN565" s="151" t="n"/>
      <c r="BO565" s="151" t="n"/>
      <c r="BP565" s="151" t="n"/>
      <c r="BQ565" s="151" t="n"/>
      <c r="BR565" s="151" t="n"/>
      <c r="BS565" s="151" t="n"/>
      <c r="BT565" s="151" t="n"/>
    </row>
    <row r="566">
      <c r="BJ566" s="151" t="n">
        <v>490</v>
      </c>
      <c r="BK566" s="151" t="inlineStr">
        <is>
          <t>FABRICACION DE ATAUDES</t>
        </is>
      </c>
      <c r="BL566" s="151" t="n"/>
      <c r="BM566" s="151" t="n"/>
      <c r="BN566" s="151" t="n"/>
      <c r="BO566" s="151" t="n"/>
      <c r="BP566" s="151" t="n"/>
      <c r="BQ566" s="151" t="n"/>
      <c r="BR566" s="151" t="n"/>
      <c r="BS566" s="151" t="n"/>
      <c r="BT566" s="151" t="n"/>
    </row>
    <row r="567">
      <c r="BJ567" s="151" t="n">
        <v>491</v>
      </c>
      <c r="BK567" s="151" t="inlineStr">
        <is>
          <t>OTRAS INDUSTRIAS MANUFACTURERAS</t>
        </is>
      </c>
      <c r="BL567" s="151" t="n"/>
      <c r="BM567" s="151" t="n"/>
      <c r="BN567" s="151" t="n"/>
      <c r="BO567" s="151" t="n"/>
      <c r="BP567" s="151" t="n"/>
      <c r="BQ567" s="151" t="n"/>
      <c r="BR567" s="151" t="n"/>
      <c r="BS567" s="151" t="n"/>
      <c r="BT567" s="151" t="n"/>
    </row>
    <row r="568">
      <c r="BJ568" s="151" t="n">
        <v>492</v>
      </c>
      <c r="BK568" s="151" t="inlineStr">
        <is>
          <t>COMERCIO AL POR MAYOR DE ABARROTES</t>
        </is>
      </c>
      <c r="BL568" s="151" t="n"/>
      <c r="BM568" s="151" t="n"/>
      <c r="BN568" s="151" t="n"/>
      <c r="BO568" s="151" t="n"/>
      <c r="BP568" s="151" t="n"/>
      <c r="BQ568" s="151" t="n"/>
      <c r="BR568" s="151" t="n"/>
      <c r="BS568" s="151" t="n"/>
      <c r="BT568" s="151" t="n"/>
    </row>
    <row r="569">
      <c r="BJ569" s="151" t="n">
        <v>493</v>
      </c>
      <c r="BK569" s="151" t="inlineStr">
        <is>
          <t>COMERCIO AL POR MAYOR DE CARNES ROJAS</t>
        </is>
      </c>
      <c r="BL569" s="151" t="n"/>
      <c r="BM569" s="151" t="n"/>
      <c r="BN569" s="151" t="n"/>
      <c r="BO569" s="151" t="n"/>
      <c r="BP569" s="151" t="n"/>
      <c r="BQ569" s="151" t="n"/>
      <c r="BR569" s="151" t="n"/>
      <c r="BS569" s="151" t="n"/>
      <c r="BT569" s="151" t="n"/>
    </row>
    <row r="570">
      <c r="BJ570" s="151" t="n">
        <v>494</v>
      </c>
      <c r="BK570" s="151" t="inlineStr">
        <is>
          <t>COMERCIO AL POR MAYOR DE CARNE Y VISCERAS DE POLLO Y OTRAS AVES DE CORRAL</t>
        </is>
      </c>
      <c r="BL570" s="151" t="n"/>
      <c r="BM570" s="151" t="n"/>
      <c r="BN570" s="151" t="n"/>
      <c r="BO570" s="151" t="n"/>
      <c r="BP570" s="151" t="n"/>
      <c r="BQ570" s="151" t="n"/>
      <c r="BR570" s="151" t="n"/>
      <c r="BS570" s="151" t="n"/>
      <c r="BT570" s="151" t="n"/>
    </row>
    <row r="571">
      <c r="BJ571" s="151" t="n">
        <v>495</v>
      </c>
      <c r="BK571" s="151" t="inlineStr">
        <is>
          <t>COMERCIO AL POR MAYOR DE PESCADOS Y MARISCOS FRESCOS, SECOS, SALADOS Y CONGELADOS</t>
        </is>
      </c>
      <c r="BL571" s="151" t="n"/>
      <c r="BM571" s="151" t="n"/>
      <c r="BN571" s="151" t="n"/>
      <c r="BO571" s="151" t="n"/>
      <c r="BP571" s="151" t="n"/>
      <c r="BQ571" s="151" t="n"/>
      <c r="BR571" s="151" t="n"/>
      <c r="BS571" s="151" t="n"/>
      <c r="BT571" s="151" t="n"/>
    </row>
    <row r="572">
      <c r="BJ572" s="151" t="n">
        <v>496</v>
      </c>
      <c r="BK572" s="151" t="inlineStr">
        <is>
          <t>COMERCIO AL POR MAYOR DE FRUTAS Y VERDURAS FRESCAS</t>
        </is>
      </c>
      <c r="BL572" s="151" t="n"/>
      <c r="BM572" s="151" t="n"/>
      <c r="BN572" s="151" t="n"/>
      <c r="BO572" s="151" t="n"/>
      <c r="BP572" s="151" t="n"/>
      <c r="BQ572" s="151" t="n"/>
      <c r="BR572" s="151" t="n"/>
      <c r="BS572" s="151" t="n"/>
      <c r="BT572" s="151" t="n"/>
    </row>
    <row r="573">
      <c r="BJ573" s="151" t="n">
        <v>497</v>
      </c>
      <c r="BK573" s="151" t="inlineStr">
        <is>
          <t>COMERCIO AL POR MAYOR DE HUEVO DE GALLINA Y DE OTRAS AVES</t>
        </is>
      </c>
      <c r="BL573" s="151" t="n"/>
      <c r="BM573" s="151" t="n"/>
      <c r="BN573" s="151" t="n"/>
      <c r="BO573" s="151" t="n"/>
      <c r="BP573" s="151" t="n"/>
      <c r="BQ573" s="151" t="n"/>
      <c r="BR573" s="151" t="n"/>
      <c r="BS573" s="151" t="n"/>
      <c r="BT573" s="151" t="n"/>
    </row>
    <row r="574">
      <c r="BJ574" s="151" t="n">
        <v>498</v>
      </c>
      <c r="BK574" s="151" t="inlineStr">
        <is>
          <t>COMERCIO AL POR MAYOR DE SEMILLAS Y GRANOS ALIMENTICIOS, FRUTAS SECAS, CHILES SECOS Y ESPECIAS (CLAVOS, PIMIENTA, AZAFRAN, COMINO, NUEZ MOSCADA, CANELA)</t>
        </is>
      </c>
      <c r="BL574" s="151" t="n"/>
      <c r="BM574" s="151" t="n"/>
      <c r="BN574" s="151" t="n"/>
      <c r="BO574" s="151" t="n"/>
      <c r="BP574" s="151" t="n"/>
      <c r="BQ574" s="151" t="n"/>
      <c r="BR574" s="151" t="n"/>
      <c r="BS574" s="151" t="n"/>
      <c r="BT574" s="151" t="n"/>
    </row>
    <row r="575">
      <c r="BJ575" s="151" t="n">
        <v>499</v>
      </c>
      <c r="BK575" s="151" t="inlineStr">
        <is>
          <t>COMERCIO AL POR MAYOR DE LECHE</t>
        </is>
      </c>
      <c r="BL575" s="151" t="n"/>
      <c r="BM575" s="151" t="n"/>
      <c r="BN575" s="151" t="n"/>
      <c r="BO575" s="151" t="n"/>
      <c r="BP575" s="151" t="n"/>
      <c r="BQ575" s="151" t="n"/>
      <c r="BR575" s="151" t="n"/>
      <c r="BS575" s="151" t="n"/>
      <c r="BT575" s="151" t="n"/>
    </row>
    <row r="576">
      <c r="BJ576" s="151" t="n">
        <v>500</v>
      </c>
      <c r="BK576" s="151" t="inlineStr">
        <is>
          <t>COMERCIO AL POR MAYOR DE PRODUCTOS LACTEOS, COMO CREMA, MANTEQUILLA, YOGUR, QUESO</t>
        </is>
      </c>
      <c r="BL576" s="151" t="n"/>
      <c r="BM576" s="151" t="n"/>
      <c r="BN576" s="151" t="n"/>
      <c r="BO576" s="151" t="n"/>
      <c r="BP576" s="151" t="n"/>
      <c r="BQ576" s="151" t="n"/>
      <c r="BR576" s="151" t="n"/>
      <c r="BS576" s="151" t="n"/>
      <c r="BT576" s="151" t="n"/>
    </row>
    <row r="577">
      <c r="BJ577" s="151" t="n">
        <v>501</v>
      </c>
      <c r="BK577" s="151" t="inlineStr">
        <is>
          <t>COMERCIO AL POR MAYOR DE EMBUTIDOS</t>
        </is>
      </c>
      <c r="BL577" s="151" t="n"/>
      <c r="BM577" s="151" t="n"/>
      <c r="BN577" s="151" t="n"/>
      <c r="BO577" s="151" t="n"/>
      <c r="BP577" s="151" t="n"/>
      <c r="BQ577" s="151" t="n"/>
      <c r="BR577" s="151" t="n"/>
      <c r="BS577" s="151" t="n"/>
      <c r="BT577" s="151" t="n"/>
    </row>
    <row r="578">
      <c r="BJ578" s="151" t="n">
        <v>502</v>
      </c>
      <c r="BK578" s="151" t="inlineStr">
        <is>
          <t>COMERCIO AL POR MAYOR DE MATERIAS PRIMAS PARA REPOSTERIA</t>
        </is>
      </c>
      <c r="BL578" s="151" t="n"/>
      <c r="BM578" s="151" t="n"/>
      <c r="BN578" s="151" t="n"/>
      <c r="BO578" s="151" t="n"/>
      <c r="BP578" s="151" t="n"/>
      <c r="BQ578" s="151" t="n"/>
      <c r="BR578" s="151" t="n"/>
      <c r="BS578" s="151" t="n"/>
      <c r="BT578" s="151" t="n"/>
    </row>
    <row r="579">
      <c r="BJ579" s="151" t="n">
        <v>503</v>
      </c>
      <c r="BK579" s="151" t="inlineStr">
        <is>
          <t>COMERCIO AL POR MAYOR DE PAN Y PASTELES Y OTROS PRODUCTOS DE PANADERIA</t>
        </is>
      </c>
      <c r="BL579" s="151" t="n"/>
      <c r="BM579" s="151" t="n"/>
      <c r="BN579" s="151" t="n"/>
      <c r="BO579" s="151" t="n"/>
      <c r="BP579" s="151" t="n"/>
      <c r="BQ579" s="151" t="n"/>
      <c r="BR579" s="151" t="n"/>
      <c r="BS579" s="151" t="n"/>
      <c r="BT579" s="151" t="n"/>
    </row>
    <row r="580">
      <c r="BJ580" s="151" t="n">
        <v>504</v>
      </c>
      <c r="BK580" s="151" t="inlineStr">
        <is>
          <t>COMERCIO AL POR MAYOR DE BOTANAS Y FRITURAS, COMO PAPAS FRITAS, CHICHARRONES DE HARINA Y DE CERDO, TOSTADAS, CACAHUATES, SEMILLAS FRITAS, PALOMITAS DE MAIZ</t>
        </is>
      </c>
      <c r="BL580" s="151" t="n"/>
      <c r="BM580" s="151" t="n"/>
      <c r="BN580" s="151" t="n"/>
      <c r="BO580" s="151" t="n"/>
      <c r="BP580" s="151" t="n"/>
      <c r="BQ580" s="151" t="n"/>
      <c r="BR580" s="151" t="n"/>
      <c r="BS580" s="151" t="n"/>
      <c r="BT580" s="151" t="n"/>
    </row>
    <row r="581">
      <c r="BJ581" s="151" t="n">
        <v>505</v>
      </c>
      <c r="BK581" s="151" t="inlineStr">
        <is>
          <t>COMERCIO AL POR MAYOR DE CONSERVAS ALIMENTICIAS ENLATADAS, EN SALMUERA, ENCURTIDOS, PRODUCTOS ALIMENTICIOS CONGELADOS, EN ALMIBAR, EN ACEITE, PURES</t>
        </is>
      </c>
      <c r="BL581" s="151" t="n"/>
      <c r="BM581" s="151" t="n"/>
      <c r="BN581" s="151" t="n"/>
      <c r="BO581" s="151" t="n"/>
      <c r="BP581" s="151" t="n"/>
      <c r="BQ581" s="151" t="n"/>
      <c r="BR581" s="151" t="n"/>
      <c r="BS581" s="151" t="n"/>
      <c r="BT581" s="151" t="n"/>
    </row>
    <row r="582">
      <c r="BJ582" s="151" t="n">
        <v>506</v>
      </c>
      <c r="BK582" s="151" t="inlineStr">
        <is>
          <t>COMERCIO AL POR MAYOR DE HELADOS, PALETAS DE HIELO, GELATINAS, FLANES, BUDINES Y OTROS PRODUCTOS ALIMENTICIOS PARA CONSUMO HUMANO NO CLASIFICADOS EN OTRA PARTE</t>
        </is>
      </c>
      <c r="BL582" s="151" t="n"/>
      <c r="BM582" s="151" t="n"/>
      <c r="BN582" s="151" t="n"/>
      <c r="BO582" s="151" t="n"/>
      <c r="BP582" s="151" t="n"/>
      <c r="BQ582" s="151" t="n"/>
      <c r="BR582" s="151" t="n"/>
      <c r="BS582" s="151" t="n"/>
      <c r="BT582" s="151" t="n"/>
    </row>
    <row r="583">
      <c r="BJ583" s="151" t="n">
        <v>507</v>
      </c>
      <c r="BK583" s="151" t="inlineStr">
        <is>
          <t>COMERCIO AL POR MAYOR AGUA PURIFICADA Y HIELO</t>
        </is>
      </c>
      <c r="BL583" s="151" t="n"/>
      <c r="BM583" s="151" t="n"/>
      <c r="BN583" s="151" t="n"/>
      <c r="BO583" s="151" t="n"/>
      <c r="BP583" s="151" t="n"/>
      <c r="BQ583" s="151" t="n"/>
      <c r="BR583" s="151" t="n"/>
      <c r="BS583" s="151" t="n"/>
      <c r="BT583" s="151" t="n"/>
    </row>
    <row r="584">
      <c r="BJ584" s="151" t="n">
        <v>508</v>
      </c>
      <c r="BK584" s="151" t="inlineStr">
        <is>
          <t>COMERCIO AL POR MAYOR DE CONCENTRADOS, POLVOS, JARABES Y ESENCIAS DE SABOR PARA PREPARAR REFRESCOS, BEBIDAS HIDRATANTES O REHIDRATANTES ELABORADOS CON AZUCAR DE CA?A Y OTROS EDULCORANTES</t>
        </is>
      </c>
      <c r="BL584" s="151" t="n"/>
      <c r="BM584" s="151" t="n"/>
      <c r="BN584" s="151" t="n"/>
      <c r="BO584" s="151" t="n"/>
      <c r="BP584" s="151" t="n"/>
      <c r="BQ584" s="151" t="n"/>
      <c r="BR584" s="151" t="n"/>
      <c r="BS584" s="151" t="n"/>
      <c r="BT584" s="151" t="n"/>
    </row>
    <row r="585">
      <c r="BJ585" s="151" t="n">
        <v>509</v>
      </c>
      <c r="BK585" s="151" t="inlineStr">
        <is>
          <t>COMERCIO AL POR MAYOR DE CONCENTRADOS O JARABES PARA PREPARAR REFRESCOS QUE SE EXPENDAN EN ENVASES ABIERTOS UTILIZANDO APARATOS AUTOMATICOS, ELECTRICOS O MECANICOS ELABORADOS CON AZUCAR DE CA?A Y OTROS EDULCORANTES</t>
        </is>
      </c>
      <c r="BL585" s="151" t="n"/>
      <c r="BM585" s="151" t="n"/>
      <c r="BN585" s="151" t="n"/>
      <c r="BO585" s="151" t="n"/>
      <c r="BP585" s="151" t="n"/>
      <c r="BQ585" s="151" t="n"/>
      <c r="BR585" s="151" t="n"/>
      <c r="BS585" s="151" t="n"/>
      <c r="BT585" s="151" t="n"/>
    </row>
    <row r="586">
      <c r="BJ586" s="151" t="n">
        <v>510</v>
      </c>
      <c r="BK586" s="151" t="inlineStr">
        <is>
          <t>COMERCIO AL POR MAYOR DE REFRESCOS O BEBIDAS HIDRATANTES O REHIDRATANTES ELABORADOS CON AZUCAR DE CA?A Y OTROS EDULCORANTES</t>
        </is>
      </c>
      <c r="BL586" s="151" t="n"/>
      <c r="BM586" s="151" t="n"/>
      <c r="BN586" s="151" t="n"/>
      <c r="BO586" s="151" t="n"/>
      <c r="BP586" s="151" t="n"/>
      <c r="BQ586" s="151" t="n"/>
      <c r="BR586" s="151" t="n"/>
      <c r="BS586" s="151" t="n"/>
      <c r="BT586" s="151" t="n"/>
    </row>
    <row r="587">
      <c r="BJ587" s="151" t="n">
        <v>511</v>
      </c>
      <c r="BK587" s="151" t="inlineStr">
        <is>
          <t>COMERCIO AL POR MAYOR DE BEBIDAS REFRESCANTES</t>
        </is>
      </c>
      <c r="BL587" s="151" t="n"/>
      <c r="BM587" s="151" t="n"/>
      <c r="BN587" s="151" t="n"/>
      <c r="BO587" s="151" t="n"/>
      <c r="BP587" s="151" t="n"/>
      <c r="BQ587" s="151" t="n"/>
      <c r="BR587" s="151" t="n"/>
      <c r="BS587" s="151" t="n"/>
      <c r="BT587" s="151" t="n"/>
    </row>
    <row r="588">
      <c r="BJ588" s="151" t="n">
        <v>512</v>
      </c>
      <c r="BK588" s="151" t="inlineStr">
        <is>
          <t>COMERCIO AL POR MAYOR DE VINOS DE MESA</t>
        </is>
      </c>
      <c r="BL588" s="151" t="n"/>
      <c r="BM588" s="151" t="n"/>
      <c r="BN588" s="151" t="n"/>
      <c r="BO588" s="151" t="n"/>
      <c r="BP588" s="151" t="n"/>
      <c r="BQ588" s="151" t="n"/>
      <c r="BR588" s="151" t="n"/>
      <c r="BS588" s="151" t="n"/>
      <c r="BT588" s="151" t="n"/>
    </row>
    <row r="589">
      <c r="BJ589" s="151" t="n">
        <v>513</v>
      </c>
      <c r="BK589" s="151" t="inlineStr">
        <is>
          <t>COMERCIO AL POR MAYOR DE OTRAS BEBIDAS A BASE DE UVA</t>
        </is>
      </c>
      <c r="BL589" s="151" t="n"/>
      <c r="BM589" s="151" t="n"/>
      <c r="BN589" s="151" t="n"/>
      <c r="BO589" s="151" t="n"/>
      <c r="BP589" s="151" t="n"/>
      <c r="BQ589" s="151" t="n"/>
      <c r="BR589" s="151" t="n"/>
      <c r="BS589" s="151" t="n"/>
      <c r="BT589" s="151" t="n"/>
    </row>
    <row r="590">
      <c r="BJ590" s="151" t="n">
        <v>514</v>
      </c>
      <c r="BK590" s="151" t="inlineStr">
        <is>
          <t>COMERCIO AL POR MAYOR DE AGUAMIEL Y PULQUE</t>
        </is>
      </c>
      <c r="BL590" s="151" t="n"/>
      <c r="BM590" s="151" t="n"/>
      <c r="BN590" s="151" t="n"/>
      <c r="BO590" s="151" t="n"/>
      <c r="BP590" s="151" t="n"/>
      <c r="BQ590" s="151" t="n"/>
      <c r="BR590" s="151" t="n"/>
      <c r="BS590" s="151" t="n"/>
      <c r="BT590" s="151" t="n"/>
    </row>
    <row r="591">
      <c r="BJ591" s="151" t="n">
        <v>515</v>
      </c>
      <c r="BK591" s="151" t="inlineStr">
        <is>
          <t>COMERCIO AL POR MAYOR DE SIDRA Y OTRAS BEBIDAS FERMENTADAS</t>
        </is>
      </c>
      <c r="BL591" s="151" t="n"/>
      <c r="BM591" s="151" t="n"/>
      <c r="BN591" s="151" t="n"/>
      <c r="BO591" s="151" t="n"/>
      <c r="BP591" s="151" t="n"/>
      <c r="BQ591" s="151" t="n"/>
      <c r="BR591" s="151" t="n"/>
      <c r="BS591" s="151" t="n"/>
      <c r="BT591" s="151" t="n"/>
    </row>
    <row r="592">
      <c r="BJ592" s="151" t="n">
        <v>516</v>
      </c>
      <c r="BK592" s="151" t="inlineStr">
        <is>
          <t>COMERCIO AL POR MAYOR DE RON Y OTRAS BEBIDAS DESTILADAS DE CA?A</t>
        </is>
      </c>
      <c r="BL592" s="151" t="n"/>
      <c r="BM592" s="151" t="n"/>
      <c r="BN592" s="151" t="n"/>
      <c r="BO592" s="151" t="n"/>
      <c r="BP592" s="151" t="n"/>
      <c r="BQ592" s="151" t="n"/>
      <c r="BR592" s="151" t="n"/>
      <c r="BS592" s="151" t="n"/>
      <c r="BT592" s="151" t="n"/>
    </row>
    <row r="593">
      <c r="BJ593" s="151" t="n">
        <v>517</v>
      </c>
      <c r="BK593" s="151" t="inlineStr">
        <is>
          <t>COMERCIO AL POR MAYOR DE BEBIDAS DESTILADAS DE AGAVE</t>
        </is>
      </c>
      <c r="BL593" s="151" t="n"/>
      <c r="BM593" s="151" t="n"/>
      <c r="BN593" s="151" t="n"/>
      <c r="BO593" s="151" t="n"/>
      <c r="BP593" s="151" t="n"/>
      <c r="BQ593" s="151" t="n"/>
      <c r="BR593" s="151" t="n"/>
      <c r="BS593" s="151" t="n"/>
      <c r="BT593" s="151" t="n"/>
    </row>
    <row r="594">
      <c r="BJ594" s="151" t="n">
        <v>518</v>
      </c>
      <c r="BK594" s="151" t="inlineStr">
        <is>
          <t>COMERCIO AL POR MAYOR DE CERVEZA</t>
        </is>
      </c>
      <c r="BL594" s="151" t="n"/>
      <c r="BM594" s="151" t="n"/>
      <c r="BN594" s="151" t="n"/>
      <c r="BO594" s="151" t="n"/>
      <c r="BP594" s="151" t="n"/>
      <c r="BQ594" s="151" t="n"/>
      <c r="BR594" s="151" t="n"/>
      <c r="BS594" s="151" t="n"/>
      <c r="BT594" s="151" t="n"/>
    </row>
    <row r="595">
      <c r="BJ595" s="151" t="n">
        <v>519</v>
      </c>
      <c r="BK595" s="151" t="inlineStr">
        <is>
          <t>COMERCIO AL POR MAYOR DE CIGARROS, PUROS Y TABACO</t>
        </is>
      </c>
      <c r="BL595" s="151" t="n"/>
      <c r="BM595" s="151" t="n"/>
      <c r="BN595" s="151" t="n"/>
      <c r="BO595" s="151" t="n"/>
      <c r="BP595" s="151" t="n"/>
      <c r="BQ595" s="151" t="n"/>
      <c r="BR595" s="151" t="n"/>
      <c r="BS595" s="151" t="n"/>
      <c r="BT595" s="151" t="n"/>
    </row>
    <row r="596">
      <c r="BJ596" s="151" t="n">
        <v>520</v>
      </c>
      <c r="BK596" s="151" t="inlineStr">
        <is>
          <t>COMERCIO AL POR MAYOR DE FIBRAS, HILOS Y TELAS</t>
        </is>
      </c>
      <c r="BL596" s="151" t="n"/>
      <c r="BM596" s="151" t="n"/>
      <c r="BN596" s="151" t="n"/>
      <c r="BO596" s="151" t="n"/>
      <c r="BP596" s="151" t="n"/>
      <c r="BQ596" s="151" t="n"/>
      <c r="BR596" s="151" t="n"/>
      <c r="BS596" s="151" t="n"/>
      <c r="BT596" s="151" t="n"/>
    </row>
    <row r="597">
      <c r="BJ597" s="151" t="n">
        <v>521</v>
      </c>
      <c r="BK597" s="151" t="inlineStr">
        <is>
          <t>COMERCIO AL POR MAYOR DE BLANCOS</t>
        </is>
      </c>
      <c r="BL597" s="151" t="n"/>
      <c r="BM597" s="151" t="n"/>
      <c r="BN597" s="151" t="n"/>
      <c r="BO597" s="151" t="n"/>
      <c r="BP597" s="151" t="n"/>
      <c r="BQ597" s="151" t="n"/>
      <c r="BR597" s="151" t="n"/>
      <c r="BS597" s="151" t="n"/>
      <c r="BT597" s="151" t="n"/>
    </row>
    <row r="598">
      <c r="BJ598" s="151" t="n">
        <v>522</v>
      </c>
      <c r="BK598" s="151" t="inlineStr">
        <is>
          <t>COMERCIO AL POR MAYOR DE OTROS PRODUCTOS TEXTILES</t>
        </is>
      </c>
      <c r="BL598" s="151" t="n"/>
      <c r="BM598" s="151" t="n"/>
      <c r="BN598" s="151" t="n"/>
      <c r="BO598" s="151" t="n"/>
      <c r="BP598" s="151" t="n"/>
      <c r="BQ598" s="151" t="n"/>
      <c r="BR598" s="151" t="n"/>
      <c r="BS598" s="151" t="n"/>
      <c r="BT598" s="151" t="n"/>
    </row>
    <row r="599">
      <c r="BJ599" s="151" t="n">
        <v>523</v>
      </c>
      <c r="BK599" s="151" t="inlineStr">
        <is>
          <t>COMERCIO AL POR MAYOR DE ROPA</t>
        </is>
      </c>
      <c r="BL599" s="151" t="n"/>
      <c r="BM599" s="151" t="n"/>
      <c r="BN599" s="151" t="n"/>
      <c r="BO599" s="151" t="n"/>
      <c r="BP599" s="151" t="n"/>
      <c r="BQ599" s="151" t="n"/>
      <c r="BR599" s="151" t="n"/>
      <c r="BS599" s="151" t="n"/>
      <c r="BT599" s="151" t="n"/>
    </row>
    <row r="600">
      <c r="BJ600" s="151" t="n">
        <v>524</v>
      </c>
      <c r="BK600" s="151" t="inlineStr">
        <is>
          <t>COMERCIO AL POR MAYOR DE CALZADO</t>
        </is>
      </c>
      <c r="BL600" s="151" t="n"/>
      <c r="BM600" s="151" t="n"/>
      <c r="BN600" s="151" t="n"/>
      <c r="BO600" s="151" t="n"/>
      <c r="BP600" s="151" t="n"/>
      <c r="BQ600" s="151" t="n"/>
      <c r="BR600" s="151" t="n"/>
      <c r="BS600" s="151" t="n"/>
      <c r="BT600" s="151" t="n"/>
    </row>
    <row r="601">
      <c r="BJ601" s="151" t="n">
        <v>525</v>
      </c>
      <c r="BK601" s="151" t="inlineStr">
        <is>
          <t>COMERCIO AL POR MAYOR DE PRODUCTOS FARMACEUTICOS</t>
        </is>
      </c>
      <c r="BL601" s="151" t="n"/>
      <c r="BM601" s="151" t="n"/>
      <c r="BN601" s="151" t="n"/>
      <c r="BO601" s="151" t="n"/>
      <c r="BP601" s="151" t="n"/>
      <c r="BQ601" s="151" t="n"/>
      <c r="BR601" s="151" t="n"/>
      <c r="BS601" s="151" t="n"/>
      <c r="BT601" s="151" t="n"/>
    </row>
    <row r="602">
      <c r="BJ602" s="151" t="n">
        <v>526</v>
      </c>
      <c r="BK602" s="151" t="inlineStr">
        <is>
          <t>COMERCIO AL POR MAYOR DE ARTICULOS DE PERFUMERIA</t>
        </is>
      </c>
      <c r="BL602" s="151" t="n"/>
      <c r="BM602" s="151" t="n"/>
      <c r="BN602" s="151" t="n"/>
      <c r="BO602" s="151" t="n"/>
      <c r="BP602" s="151" t="n"/>
      <c r="BQ602" s="151" t="n"/>
      <c r="BR602" s="151" t="n"/>
      <c r="BS602" s="151" t="n"/>
      <c r="BT602" s="151" t="n"/>
    </row>
    <row r="603">
      <c r="BJ603" s="151" t="n">
        <v>527</v>
      </c>
      <c r="BK603" s="151" t="inlineStr">
        <is>
          <t>COMERCIO AL POR MAYOR DE JOYERIA, ORFEBRERIA, PIEZAS ARTISTICAS U ORNAMENTALES DE ORO</t>
        </is>
      </c>
      <c r="BL603" s="151" t="n"/>
      <c r="BM603" s="151" t="n"/>
      <c r="BN603" s="151" t="n"/>
      <c r="BO603" s="151" t="n"/>
      <c r="BP603" s="151" t="n"/>
      <c r="BQ603" s="151" t="n"/>
      <c r="BR603" s="151" t="n"/>
      <c r="BS603" s="151" t="n"/>
      <c r="BT603" s="151" t="n"/>
    </row>
    <row r="604">
      <c r="BJ604" s="151" t="n">
        <v>528</v>
      </c>
      <c r="BK604" s="151" t="inlineStr">
        <is>
          <t>COMERCIO AL POR MAYOR DE ARTICULOS DE JOYERIA Y OTROS ACCESORIOS DE VESTIR</t>
        </is>
      </c>
      <c r="BL604" s="151" t="n"/>
      <c r="BM604" s="151" t="n"/>
      <c r="BN604" s="151" t="n"/>
      <c r="BO604" s="151" t="n"/>
      <c r="BP604" s="151" t="n"/>
      <c r="BQ604" s="151" t="n"/>
      <c r="BR604" s="151" t="n"/>
      <c r="BS604" s="151" t="n"/>
      <c r="BT604" s="151" t="n"/>
    </row>
    <row r="605">
      <c r="BJ605" s="151" t="n">
        <v>529</v>
      </c>
      <c r="BK605" s="151" t="inlineStr">
        <is>
          <t>COMERCIO AL POR MAYOR DE DISCOS Y CASETES</t>
        </is>
      </c>
      <c r="BL605" s="151" t="n"/>
      <c r="BM605" s="151" t="n"/>
      <c r="BN605" s="151" t="n"/>
      <c r="BO605" s="151" t="n"/>
      <c r="BP605" s="151" t="n"/>
      <c r="BQ605" s="151" t="n"/>
      <c r="BR605" s="151" t="n"/>
      <c r="BS605" s="151" t="n"/>
      <c r="BT605" s="151" t="n"/>
    </row>
    <row r="606">
      <c r="BJ606" s="151" t="n">
        <v>530</v>
      </c>
      <c r="BK606" s="151" t="inlineStr">
        <is>
          <t>COMERCIO AL POR MAYOR DE JUGUETES</t>
        </is>
      </c>
      <c r="BL606" s="151" t="n"/>
      <c r="BM606" s="151" t="n"/>
      <c r="BN606" s="151" t="n"/>
      <c r="BO606" s="151" t="n"/>
      <c r="BP606" s="151" t="n"/>
      <c r="BQ606" s="151" t="n"/>
      <c r="BR606" s="151" t="n"/>
      <c r="BS606" s="151" t="n"/>
      <c r="BT606" s="151" t="n"/>
    </row>
    <row r="607">
      <c r="BJ607" s="151" t="n">
        <v>531</v>
      </c>
      <c r="BK607" s="151" t="inlineStr">
        <is>
          <t>COMERCIO AL POR MAYOR DE ARTICULOS Y APARATOS DEPORTIVOS</t>
        </is>
      </c>
      <c r="BL607" s="151" t="n"/>
      <c r="BM607" s="151" t="n"/>
      <c r="BN607" s="151" t="n"/>
      <c r="BO607" s="151" t="n"/>
      <c r="BP607" s="151" t="n"/>
      <c r="BQ607" s="151" t="n"/>
      <c r="BR607" s="151" t="n"/>
      <c r="BS607" s="151" t="n"/>
      <c r="BT607" s="151" t="n"/>
    </row>
    <row r="608">
      <c r="BJ608" s="151" t="n">
        <v>532</v>
      </c>
      <c r="BK608" s="151" t="inlineStr">
        <is>
          <t>COMERCIO AL POR MAYOR DE ARTICULOS DE PAPELERIA PARA USO ESCOLAR Y DE OFICINA</t>
        </is>
      </c>
      <c r="BL608" s="151" t="n"/>
      <c r="BM608" s="151" t="n"/>
      <c r="BN608" s="151" t="n"/>
      <c r="BO608" s="151" t="n"/>
      <c r="BP608" s="151" t="n"/>
      <c r="BQ608" s="151" t="n"/>
      <c r="BR608" s="151" t="n"/>
      <c r="BS608" s="151" t="n"/>
      <c r="BT608" s="151" t="n"/>
    </row>
    <row r="609">
      <c r="BJ609" s="151" t="n">
        <v>533</v>
      </c>
      <c r="BK609" s="151" t="inlineStr">
        <is>
          <t>COMERCIO AL POR MAYOR DE LIBROS</t>
        </is>
      </c>
      <c r="BL609" s="151" t="n"/>
      <c r="BM609" s="151" t="n"/>
      <c r="BN609" s="151" t="n"/>
      <c r="BO609" s="151" t="n"/>
      <c r="BP609" s="151" t="n"/>
      <c r="BQ609" s="151" t="n"/>
      <c r="BR609" s="151" t="n"/>
      <c r="BS609" s="151" t="n"/>
      <c r="BT609" s="151" t="n"/>
    </row>
    <row r="610">
      <c r="BJ610" s="151" t="n">
        <v>534</v>
      </c>
      <c r="BK610" s="151" t="inlineStr">
        <is>
          <t>COMERCIO AL POR MAYOR DE REVISTAS Y PERIODICOS</t>
        </is>
      </c>
      <c r="BL610" s="151" t="n"/>
      <c r="BM610" s="151" t="n"/>
      <c r="BN610" s="151" t="n"/>
      <c r="BO610" s="151" t="n"/>
      <c r="BP610" s="151" t="n"/>
      <c r="BQ610" s="151" t="n"/>
      <c r="BR610" s="151" t="n"/>
      <c r="BS610" s="151" t="n"/>
      <c r="BT610" s="151" t="n"/>
    </row>
    <row r="611">
      <c r="BJ611" s="151" t="n">
        <v>537</v>
      </c>
      <c r="BK611" s="151" t="inlineStr">
        <is>
          <t>COMERCIO AL POR MAYOR DE ELECTRODOMESTICOS MENORES Y APARATOS DE LINEA BLANCA</t>
        </is>
      </c>
      <c r="BL611" s="151" t="n"/>
      <c r="BM611" s="151" t="n"/>
      <c r="BN611" s="151" t="n"/>
      <c r="BO611" s="151" t="n"/>
      <c r="BP611" s="151" t="n"/>
      <c r="BQ611" s="151" t="n"/>
      <c r="BR611" s="151" t="n"/>
      <c r="BS611" s="151" t="n"/>
      <c r="BT611" s="151" t="n"/>
    </row>
    <row r="612">
      <c r="BJ612" s="151" t="n">
        <v>538</v>
      </c>
      <c r="BK612" s="151" t="inlineStr">
        <is>
          <t>COMERCIO AL POR MAYOR DE FERTILIZANTES, PLAGUICIDAS Y SEMILLAS PARA SIEMBRA</t>
        </is>
      </c>
      <c r="BL612" s="151" t="n"/>
      <c r="BM612" s="151" t="n"/>
      <c r="BN612" s="151" t="n"/>
      <c r="BO612" s="151" t="n"/>
      <c r="BP612" s="151" t="n"/>
      <c r="BQ612" s="151" t="n"/>
      <c r="BR612" s="151" t="n"/>
      <c r="BS612" s="151" t="n"/>
      <c r="BT612" s="151" t="n"/>
    </row>
    <row r="613">
      <c r="BJ613" s="151" t="n">
        <v>539</v>
      </c>
      <c r="BK613" s="151" t="inlineStr">
        <is>
          <t>COMERCIO AL POR MAYOR DE MEDICAMENTOS VETERINARIOS Y ALIMENTOS PARA ANIMALES</t>
        </is>
      </c>
      <c r="BL613" s="151" t="n"/>
      <c r="BM613" s="151" t="n"/>
      <c r="BN613" s="151" t="n"/>
      <c r="BO613" s="151" t="n"/>
      <c r="BP613" s="151" t="n"/>
      <c r="BQ613" s="151" t="n"/>
      <c r="BR613" s="151" t="n"/>
      <c r="BS613" s="151" t="n"/>
      <c r="BT613" s="151" t="n"/>
    </row>
    <row r="614">
      <c r="BJ614" s="151" t="n">
        <v>540</v>
      </c>
      <c r="BK614" s="151" t="inlineStr">
        <is>
          <t>COMERCIO AL POR MAYOR DE CEMENTO, TABIQUE Y GRAVA</t>
        </is>
      </c>
      <c r="BL614" s="151" t="n"/>
      <c r="BM614" s="151" t="n"/>
      <c r="BN614" s="151" t="n"/>
      <c r="BO614" s="151" t="n"/>
      <c r="BP614" s="151" t="n"/>
      <c r="BQ614" s="151" t="n"/>
      <c r="BR614" s="151" t="n"/>
      <c r="BS614" s="151" t="n"/>
      <c r="BT614" s="151" t="n"/>
    </row>
    <row r="615">
      <c r="BJ615" s="151" t="n">
        <v>541</v>
      </c>
      <c r="BK615" s="151" t="inlineStr">
        <is>
          <t>COMERCIO AL POR MAYOR DE OTROS MATERIALES PARA LA CONSTRUCCION, EXCEPTO DE MADERA</t>
        </is>
      </c>
      <c r="BL615" s="151" t="n"/>
      <c r="BM615" s="151" t="n"/>
      <c r="BN615" s="151" t="n"/>
      <c r="BO615" s="151" t="n"/>
      <c r="BP615" s="151" t="n"/>
      <c r="BQ615" s="151" t="n"/>
      <c r="BR615" s="151" t="n"/>
      <c r="BS615" s="151" t="n"/>
      <c r="BT615" s="151" t="n"/>
    </row>
    <row r="616">
      <c r="BJ616" s="151" t="n">
        <v>542</v>
      </c>
      <c r="BK616" s="151" t="inlineStr">
        <is>
          <t>COMERCIO AL POR MAYOR DE MATERIALES METALICOS</t>
        </is>
      </c>
      <c r="BL616" s="151" t="n"/>
      <c r="BM616" s="151" t="n"/>
      <c r="BN616" s="151" t="n"/>
      <c r="BO616" s="151" t="n"/>
      <c r="BP616" s="151" t="n"/>
      <c r="BQ616" s="151" t="n"/>
      <c r="BR616" s="151" t="n"/>
      <c r="BS616" s="151" t="n"/>
      <c r="BT616" s="151" t="n"/>
    </row>
    <row r="617">
      <c r="BJ617" s="151" t="n">
        <v>543</v>
      </c>
      <c r="BK617" s="151" t="inlineStr">
        <is>
          <t>COMERCIO AL POR MAYOR DE PRODUCTOS QUIMICOS PARA USO INDUSTRIAL</t>
        </is>
      </c>
      <c r="BL617" s="151" t="n"/>
      <c r="BM617" s="151" t="n"/>
      <c r="BN617" s="151" t="n"/>
      <c r="BO617" s="151" t="n"/>
      <c r="BP617" s="151" t="n"/>
      <c r="BQ617" s="151" t="n"/>
      <c r="BR617" s="151" t="n"/>
      <c r="BS617" s="151" t="n"/>
      <c r="BT617" s="151" t="n"/>
    </row>
    <row r="618">
      <c r="BJ618" s="151" t="n">
        <v>544</v>
      </c>
      <c r="BK618" s="151" t="inlineStr">
        <is>
          <t>COMERCIO AL POR MAYOR DE ENVASES, PAPEL Y CARTON</t>
        </is>
      </c>
      <c r="BL618" s="151" t="n"/>
      <c r="BM618" s="151" t="n"/>
      <c r="BN618" s="151" t="n"/>
      <c r="BO618" s="151" t="n"/>
      <c r="BP618" s="151" t="n"/>
      <c r="BQ618" s="151" t="n"/>
      <c r="BR618" s="151" t="n"/>
      <c r="BS618" s="151" t="n"/>
      <c r="BT618" s="151" t="n"/>
    </row>
    <row r="619">
      <c r="BJ619" s="151" t="n">
        <v>545</v>
      </c>
      <c r="BK619" s="151" t="inlineStr">
        <is>
          <t>COMERCIO AL POR MAYOR DE MADERA</t>
        </is>
      </c>
      <c r="BL619" s="151" t="n"/>
      <c r="BM619" s="151" t="n"/>
      <c r="BN619" s="151" t="n"/>
      <c r="BO619" s="151" t="n"/>
      <c r="BP619" s="151" t="n"/>
      <c r="BQ619" s="151" t="n"/>
      <c r="BR619" s="151" t="n"/>
      <c r="BS619" s="151" t="n"/>
      <c r="BT619" s="151" t="n"/>
    </row>
    <row r="620">
      <c r="BJ620" s="151" t="n">
        <v>546</v>
      </c>
      <c r="BK620" s="151" t="inlineStr">
        <is>
          <t>COMERCIO AL POR MAYOR DE EQUIPO Y MATERIAL ELECTRICO</t>
        </is>
      </c>
      <c r="BL620" s="151" t="n"/>
      <c r="BM620" s="151" t="n"/>
      <c r="BN620" s="151" t="n"/>
      <c r="BO620" s="151" t="n"/>
      <c r="BP620" s="151" t="n"/>
      <c r="BQ620" s="151" t="n"/>
      <c r="BR620" s="151" t="n"/>
      <c r="BS620" s="151" t="n"/>
      <c r="BT620" s="151" t="n"/>
    </row>
    <row r="621">
      <c r="BJ621" s="151" t="n">
        <v>547</v>
      </c>
      <c r="BK621" s="151" t="inlineStr">
        <is>
          <t>COMERCIO AL POR MAYOR DE PINTURA (EXCEPTO EN AEROSOL)</t>
        </is>
      </c>
      <c r="BL621" s="151" t="n"/>
      <c r="BM621" s="151" t="n"/>
      <c r="BN621" s="151" t="n"/>
      <c r="BO621" s="151" t="n"/>
      <c r="BP621" s="151" t="n"/>
      <c r="BQ621" s="151" t="n"/>
      <c r="BR621" s="151" t="n"/>
      <c r="BS621" s="151" t="n"/>
      <c r="BT621" s="151" t="n"/>
    </row>
    <row r="622">
      <c r="BJ622" s="151" t="n">
        <v>548</v>
      </c>
      <c r="BK622" s="151" t="inlineStr">
        <is>
          <t>COMERCIO AL POR MAYOR DE VIDRIOS Y ESPEJOS</t>
        </is>
      </c>
      <c r="BL622" s="151" t="n"/>
      <c r="BM622" s="151" t="n"/>
      <c r="BN622" s="151" t="n"/>
      <c r="BO622" s="151" t="n"/>
      <c r="BP622" s="151" t="n"/>
      <c r="BQ622" s="151" t="n"/>
      <c r="BR622" s="151" t="n"/>
      <c r="BS622" s="151" t="n"/>
      <c r="BT622" s="151" t="n"/>
    </row>
    <row r="623">
      <c r="BJ623" s="151" t="n">
        <v>549</v>
      </c>
      <c r="BK623" s="151" t="inlineStr">
        <is>
          <t>COMERCIO AL POR MAYOR DE GANADO Y AVES DE CORRAL EN PIE</t>
        </is>
      </c>
      <c r="BL623" s="151" t="n"/>
      <c r="BM623" s="151" t="n"/>
      <c r="BN623" s="151" t="n"/>
      <c r="BO623" s="151" t="n"/>
      <c r="BP623" s="151" t="n"/>
      <c r="BQ623" s="151" t="n"/>
      <c r="BR623" s="151" t="n"/>
      <c r="BS623" s="151" t="n"/>
      <c r="BT623" s="151" t="n"/>
    </row>
    <row r="624">
      <c r="BJ624" s="151" t="n">
        <v>550</v>
      </c>
      <c r="BK624" s="151" t="inlineStr">
        <is>
          <t>COMERCIO AL POR MAYOR DE OTRAS MATERIAS PRIMAS PARA OTRAS INDUSTRIAS</t>
        </is>
      </c>
      <c r="BL624" s="151" t="n"/>
      <c r="BM624" s="151" t="n"/>
      <c r="BN624" s="151" t="n"/>
      <c r="BO624" s="151" t="n"/>
      <c r="BP624" s="151" t="n"/>
      <c r="BQ624" s="151" t="n"/>
      <c r="BR624" s="151" t="n"/>
      <c r="BS624" s="151" t="n"/>
      <c r="BT624" s="151" t="n"/>
    </row>
    <row r="625">
      <c r="BJ625" s="151" t="n">
        <v>551</v>
      </c>
      <c r="BK625" s="151" t="inlineStr">
        <is>
          <t>COMERCIO AL POR MAYOR DE DESECHOS METALICOS</t>
        </is>
      </c>
      <c r="BL625" s="151" t="n"/>
      <c r="BM625" s="151" t="n"/>
      <c r="BN625" s="151" t="n"/>
      <c r="BO625" s="151" t="n"/>
      <c r="BP625" s="151" t="n"/>
      <c r="BQ625" s="151" t="n"/>
      <c r="BR625" s="151" t="n"/>
      <c r="BS625" s="151" t="n"/>
      <c r="BT625" s="151" t="n"/>
    </row>
    <row r="626">
      <c r="BJ626" s="151" t="n">
        <v>552</v>
      </c>
      <c r="BK626" s="151" t="inlineStr">
        <is>
          <t>COMERCIO AL POR MAYOR DE DESECHOS DE PAPEL Y DE CARTON</t>
        </is>
      </c>
      <c r="BL626" s="151" t="n"/>
      <c r="BM626" s="151" t="n"/>
      <c r="BN626" s="151" t="n"/>
      <c r="BO626" s="151" t="n"/>
      <c r="BP626" s="151" t="n"/>
      <c r="BQ626" s="151" t="n"/>
      <c r="BR626" s="151" t="n"/>
      <c r="BS626" s="151" t="n"/>
      <c r="BT626" s="151" t="n"/>
    </row>
    <row r="627">
      <c r="BJ627" s="151" t="n">
        <v>553</v>
      </c>
      <c r="BK627" s="151" t="inlineStr">
        <is>
          <t>COMERCIO AL POR MAYOR DE DESECHOS DE VIDRIO</t>
        </is>
      </c>
      <c r="BL627" s="151" t="n"/>
      <c r="BM627" s="151" t="n"/>
      <c r="BN627" s="151" t="n"/>
      <c r="BO627" s="151" t="n"/>
      <c r="BP627" s="151" t="n"/>
      <c r="BQ627" s="151" t="n"/>
      <c r="BR627" s="151" t="n"/>
      <c r="BS627" s="151" t="n"/>
      <c r="BT627" s="151" t="n"/>
    </row>
    <row r="628">
      <c r="BJ628" s="151" t="n">
        <v>554</v>
      </c>
      <c r="BK628" s="151" t="inlineStr">
        <is>
          <t>COMERCIO AL POR MAYOR DE DESECHOS DE PLASTICO</t>
        </is>
      </c>
      <c r="BL628" s="151" t="n"/>
      <c r="BM628" s="151" t="n"/>
      <c r="BN628" s="151" t="n"/>
      <c r="BO628" s="151" t="n"/>
      <c r="BP628" s="151" t="n"/>
      <c r="BQ628" s="151" t="n"/>
      <c r="BR628" s="151" t="n"/>
      <c r="BS628" s="151" t="n"/>
      <c r="BT628" s="151" t="n"/>
    </row>
    <row r="629">
      <c r="BJ629" s="151" t="n">
        <v>555</v>
      </c>
      <c r="BK629" s="151" t="inlineStr">
        <is>
          <t>COMERCIO AL POR MAYOR DE OTROS MATERIALES DE DESECHO</t>
        </is>
      </c>
      <c r="BL629" s="151" t="n"/>
      <c r="BM629" s="151" t="n"/>
      <c r="BN629" s="151" t="n"/>
      <c r="BO629" s="151" t="n"/>
      <c r="BP629" s="151" t="n"/>
      <c r="BQ629" s="151" t="n"/>
      <c r="BR629" s="151" t="n"/>
      <c r="BS629" s="151" t="n"/>
      <c r="BT629" s="151" t="n"/>
    </row>
    <row r="630">
      <c r="BJ630" s="151" t="n">
        <v>556</v>
      </c>
      <c r="BK630" s="151" t="inlineStr">
        <is>
          <t>COMERCIO AL POR MAYOR DE MAQUINARIA Y EQUIPO AGROPECUARIO, FORESTAL Y PARA LA PESCA</t>
        </is>
      </c>
      <c r="BL630" s="151" t="n"/>
      <c r="BM630" s="151" t="n"/>
      <c r="BN630" s="151" t="n"/>
      <c r="BO630" s="151" t="n"/>
      <c r="BP630" s="151" t="n"/>
      <c r="BQ630" s="151" t="n"/>
      <c r="BR630" s="151" t="n"/>
      <c r="BS630" s="151" t="n"/>
      <c r="BT630" s="151" t="n"/>
    </row>
    <row r="631">
      <c r="BJ631" s="151" t="n">
        <v>557</v>
      </c>
      <c r="BK631" s="151" t="inlineStr">
        <is>
          <t>COMERCIO AL POR MAYOR DE MAQUINARIA Y EQUIPO PARA LA CONSTRUCCION Y LA MINERIA</t>
        </is>
      </c>
      <c r="BL631" s="151" t="n"/>
      <c r="BM631" s="151" t="n"/>
      <c r="BN631" s="151" t="n"/>
      <c r="BO631" s="151" t="n"/>
      <c r="BP631" s="151" t="n"/>
      <c r="BQ631" s="151" t="n"/>
      <c r="BR631" s="151" t="n"/>
      <c r="BS631" s="151" t="n"/>
      <c r="BT631" s="151" t="n"/>
    </row>
    <row r="632">
      <c r="BJ632" s="151" t="n">
        <v>558</v>
      </c>
      <c r="BK632" s="151" t="inlineStr">
        <is>
          <t>COMERCIO AL POR MAYOR DE MAQUINARIA Y EQUIPO PARA LA INDUSTRIA MANUFACTURERA</t>
        </is>
      </c>
      <c r="BL632" s="151" t="n"/>
      <c r="BM632" s="151" t="n"/>
      <c r="BN632" s="151" t="n"/>
      <c r="BO632" s="151" t="n"/>
      <c r="BP632" s="151" t="n"/>
      <c r="BQ632" s="151" t="n"/>
      <c r="BR632" s="151" t="n"/>
      <c r="BS632" s="151" t="n"/>
      <c r="BT632" s="151" t="n"/>
    </row>
    <row r="633">
      <c r="BJ633" s="151" t="n">
        <v>559</v>
      </c>
      <c r="BK633" s="151" t="inlineStr">
        <is>
          <t>COMERCIO AL POR MAYOR DE EQUIPO DE TELECOMUNICACIONES, FOTOGRAFIA Y CINEMATOGRAFIA</t>
        </is>
      </c>
      <c r="BL633" s="151" t="n"/>
      <c r="BM633" s="151" t="n"/>
      <c r="BN633" s="151" t="n"/>
      <c r="BO633" s="151" t="n"/>
      <c r="BP633" s="151" t="n"/>
      <c r="BQ633" s="151" t="n"/>
      <c r="BR633" s="151" t="n"/>
      <c r="BS633" s="151" t="n"/>
      <c r="BT633" s="151" t="n"/>
    </row>
    <row r="634">
      <c r="BJ634" s="151" t="n">
        <v>560</v>
      </c>
      <c r="BK634" s="151" t="inlineStr">
        <is>
          <t>COMERCIO AL POR MAYOR DE ARTICULOS Y ACCESORIOS PARA DISE?O Y PINTURA ARTISTICA</t>
        </is>
      </c>
      <c r="BL634" s="151" t="n"/>
      <c r="BM634" s="151" t="n"/>
      <c r="BN634" s="151" t="n"/>
      <c r="BO634" s="151" t="n"/>
      <c r="BP634" s="151" t="n"/>
      <c r="BQ634" s="151" t="n"/>
      <c r="BR634" s="151" t="n"/>
      <c r="BS634" s="151" t="n"/>
      <c r="BT634" s="151" t="n"/>
    </row>
    <row r="635">
      <c r="BJ635" s="151" t="n">
        <v>561</v>
      </c>
      <c r="BK635" s="151" t="inlineStr">
        <is>
          <t>COMERCIO AL POR MAYOR DE MOBILIARIO, EQUIPO E INSTRUMENTAL MEDICO Y DE LABORATORIO</t>
        </is>
      </c>
      <c r="BL635" s="151" t="n"/>
      <c r="BM635" s="151" t="n"/>
      <c r="BN635" s="151" t="n"/>
      <c r="BO635" s="151" t="n"/>
      <c r="BP635" s="151" t="n"/>
      <c r="BQ635" s="151" t="n"/>
      <c r="BR635" s="151" t="n"/>
      <c r="BS635" s="151" t="n"/>
      <c r="BT635" s="151" t="n"/>
    </row>
    <row r="636">
      <c r="BJ636" s="151" t="n">
        <v>562</v>
      </c>
      <c r="BK636" s="151" t="inlineStr">
        <is>
          <t>COMERCIO AL POR MAYOR DE MAQUINARIA Y EQUIPO PARA OTROS SERVICIOS Y PARA ACTIVIDADES COMERCIALES</t>
        </is>
      </c>
      <c r="BL636" s="151" t="n"/>
      <c r="BM636" s="151" t="n"/>
      <c r="BN636" s="151" t="n"/>
      <c r="BO636" s="151" t="n"/>
      <c r="BP636" s="151" t="n"/>
      <c r="BQ636" s="151" t="n"/>
      <c r="BR636" s="151" t="n"/>
      <c r="BS636" s="151" t="n"/>
      <c r="BT636" s="151" t="n"/>
    </row>
    <row r="637">
      <c r="BJ637" s="151" t="n">
        <v>563</v>
      </c>
      <c r="BK637" s="151" t="inlineStr">
        <is>
          <t>COMERCIO AL POR MAYOR DE EQUIPO Y ACCESORIOS DE COMPUTO</t>
        </is>
      </c>
      <c r="BL637" s="151" t="n"/>
      <c r="BM637" s="151" t="n"/>
      <c r="BN637" s="151" t="n"/>
      <c r="BO637" s="151" t="n"/>
      <c r="BP637" s="151" t="n"/>
      <c r="BQ637" s="151" t="n"/>
      <c r="BR637" s="151" t="n"/>
      <c r="BS637" s="151" t="n"/>
      <c r="BT637" s="151" t="n"/>
    </row>
    <row r="638">
      <c r="BJ638" s="151" t="n">
        <v>564</v>
      </c>
      <c r="BK638" s="151" t="inlineStr">
        <is>
          <t>COMERCIO AL POR MAYOR DE MOBILIARIO Y EQUIPO DE OFICINA</t>
        </is>
      </c>
      <c r="BL638" s="151" t="n"/>
      <c r="BM638" s="151" t="n"/>
      <c r="BN638" s="151" t="n"/>
      <c r="BO638" s="151" t="n"/>
      <c r="BP638" s="151" t="n"/>
      <c r="BQ638" s="151" t="n"/>
      <c r="BR638" s="151" t="n"/>
      <c r="BS638" s="151" t="n"/>
      <c r="BT638" s="151" t="n"/>
    </row>
    <row r="639">
      <c r="BJ639" s="151" t="n">
        <v>565</v>
      </c>
      <c r="BK639" s="151" t="inlineStr">
        <is>
          <t>COMERCIO AL POR MAYOR DE OTRA MAQUINARIA Y EQUIPO DE USO GENERAL</t>
        </is>
      </c>
      <c r="BL639" s="151" t="n"/>
      <c r="BM639" s="151" t="n"/>
      <c r="BN639" s="151" t="n"/>
      <c r="BO639" s="151" t="n"/>
      <c r="BP639" s="151" t="n"/>
      <c r="BQ639" s="151" t="n"/>
      <c r="BR639" s="151" t="n"/>
      <c r="BS639" s="151" t="n"/>
      <c r="BT639" s="151" t="n"/>
    </row>
    <row r="640">
      <c r="BJ640" s="151" t="n">
        <v>566</v>
      </c>
      <c r="BK640" s="151" t="inlineStr">
        <is>
          <t>COMERCIO AL POR MAYOR DE CAMIONES</t>
        </is>
      </c>
      <c r="BL640" s="151" t="n"/>
      <c r="BM640" s="151" t="n"/>
      <c r="BN640" s="151" t="n"/>
      <c r="BO640" s="151" t="n"/>
      <c r="BP640" s="151" t="n"/>
      <c r="BQ640" s="151" t="n"/>
      <c r="BR640" s="151" t="n"/>
      <c r="BS640" s="151" t="n"/>
      <c r="BT640" s="151" t="n"/>
    </row>
    <row r="641">
      <c r="BJ641" s="151" t="n">
        <v>567</v>
      </c>
      <c r="BK641" s="151" t="inlineStr">
        <is>
          <t>COMERCIO AL POR MAYOR DE CARROCERIAS, CAJAS DE CARGA, REMOLQUES Y SEMIRREMOLQUES</t>
        </is>
      </c>
      <c r="BL641" s="151" t="n"/>
      <c r="BM641" s="151" t="n"/>
      <c r="BN641" s="151" t="n"/>
      <c r="BO641" s="151" t="n"/>
      <c r="BP641" s="151" t="n"/>
      <c r="BQ641" s="151" t="n"/>
      <c r="BR641" s="151" t="n"/>
      <c r="BS641" s="151" t="n"/>
      <c r="BT641" s="151" t="n"/>
    </row>
    <row r="642">
      <c r="BJ642" s="151" t="n">
        <v>568</v>
      </c>
      <c r="BK642" s="151" t="inlineStr">
        <is>
          <t>VENTA AL POR MAYOR POR COMISION Y CONSIGNACION</t>
        </is>
      </c>
      <c r="BL642" s="151" t="n"/>
      <c r="BM642" s="151" t="n"/>
      <c r="BN642" s="151" t="n"/>
      <c r="BO642" s="151" t="n"/>
      <c r="BP642" s="151" t="n"/>
      <c r="BQ642" s="151" t="n"/>
      <c r="BR642" s="151" t="n"/>
      <c r="BS642" s="151" t="n"/>
      <c r="BT642" s="151" t="n"/>
    </row>
    <row r="643">
      <c r="BJ643" s="151" t="n">
        <v>569</v>
      </c>
      <c r="BK643" s="151" t="inlineStr">
        <is>
          <t>OTROS INTERMEDIARIOS DE COMERCIO AL POR MAYOR</t>
        </is>
      </c>
      <c r="BL643" s="151" t="n"/>
      <c r="BM643" s="151" t="n"/>
      <c r="BN643" s="151" t="n"/>
      <c r="BO643" s="151" t="n"/>
      <c r="BP643" s="151" t="n"/>
      <c r="BQ643" s="151" t="n"/>
      <c r="BR643" s="151" t="n"/>
      <c r="BS643" s="151" t="n"/>
      <c r="BT643" s="151" t="n"/>
    </row>
    <row r="644">
      <c r="BJ644" s="151" t="n">
        <v>570</v>
      </c>
      <c r="BK644" s="151" t="inlineStr">
        <is>
          <t>COMERCIO AL POR MAYOR POR MEDIOS MASIVOS DE COMUNICACION (COMO CORREO E INTERNET) Y OTROS MEDIOS</t>
        </is>
      </c>
      <c r="BL644" s="151" t="n"/>
      <c r="BM644" s="151" t="n"/>
      <c r="BN644" s="151" t="n"/>
      <c r="BO644" s="151" t="n"/>
      <c r="BP644" s="151" t="n"/>
      <c r="BQ644" s="151" t="n"/>
      <c r="BR644" s="151" t="n"/>
      <c r="BS644" s="151" t="n"/>
      <c r="BT644" s="151" t="n"/>
    </row>
    <row r="645">
      <c r="BJ645" s="151" t="n">
        <v>571</v>
      </c>
      <c r="BK645" s="151" t="inlineStr">
        <is>
          <t>COMERCIO AL POR MENOR EN TIENDAS DE ABARROTES, ULTRAMARINOS Y MISCELANEAS</t>
        </is>
      </c>
      <c r="BL645" s="151" t="n"/>
      <c r="BM645" s="151" t="n"/>
      <c r="BN645" s="151" t="n"/>
      <c r="BO645" s="151" t="n"/>
      <c r="BP645" s="151" t="n"/>
      <c r="BQ645" s="151" t="n"/>
      <c r="BR645" s="151" t="n"/>
      <c r="BS645" s="151" t="n"/>
      <c r="BT645" s="151" t="n"/>
    </row>
    <row r="646">
      <c r="BJ646" s="151" t="n">
        <v>572</v>
      </c>
      <c r="BK646" s="151" t="inlineStr">
        <is>
          <t>CONSTRUCCION DE VIVIENDA MULTIFAMILIAR</t>
        </is>
      </c>
      <c r="BL646" s="151" t="n"/>
      <c r="BM646" s="151" t="n"/>
      <c r="BN646" s="151" t="n"/>
      <c r="BO646" s="151" t="n"/>
      <c r="BP646" s="151" t="n"/>
      <c r="BQ646" s="151" t="n"/>
      <c r="BR646" s="151" t="n"/>
      <c r="BS646" s="151" t="n"/>
      <c r="BT646" s="151" t="n"/>
    </row>
    <row r="647">
      <c r="BJ647" s="151" t="n">
        <v>573</v>
      </c>
      <c r="BK647" s="151" t="inlineStr">
        <is>
          <t>PRODUCCION Y ENVASADO DE CERVEZA CON UNA GRADUACION ALCOHOLICA DE MAS DE 20? G.L.</t>
        </is>
      </c>
      <c r="BL647" s="151" t="n"/>
      <c r="BM647" s="151" t="n"/>
      <c r="BN647" s="151" t="n"/>
      <c r="BO647" s="151" t="n"/>
      <c r="BP647" s="151" t="n"/>
      <c r="BQ647" s="151" t="n"/>
      <c r="BR647" s="151" t="n"/>
      <c r="BS647" s="151" t="n"/>
      <c r="BT647" s="151" t="n"/>
    </row>
    <row r="648">
      <c r="BJ648" s="151" t="n">
        <v>574</v>
      </c>
      <c r="BK648" s="151" t="inlineStr">
        <is>
          <t>PRODUCCION, FABRICACION, O ENVASADO DE VINOS DE MESA CON UNA GRADUACION ALCOHOLICA DE MAS DE 20? G.L.</t>
        </is>
      </c>
      <c r="BL648" s="151" t="n"/>
      <c r="BM648" s="151" t="n"/>
      <c r="BN648" s="151" t="n"/>
      <c r="BO648" s="151" t="n"/>
      <c r="BP648" s="151" t="n"/>
      <c r="BQ648" s="151" t="n"/>
      <c r="BR648" s="151" t="n"/>
      <c r="BS648" s="151" t="n"/>
      <c r="BT648" s="151" t="n"/>
    </row>
    <row r="649">
      <c r="BJ649" s="151" t="n">
        <v>575</v>
      </c>
      <c r="BK649" s="151" t="inlineStr">
        <is>
          <t>PRODUCCION, FABRICACION, O ENVASADO DE BEBIDAS REFRESCANTES CON UNA GRADUACION ALCOHOLICA DE MAS DE 20? G.L.</t>
        </is>
      </c>
      <c r="BL649" s="151" t="n"/>
      <c r="BM649" s="151" t="n"/>
      <c r="BN649" s="151" t="n"/>
      <c r="BO649" s="151" t="n"/>
      <c r="BP649" s="151" t="n"/>
      <c r="BQ649" s="151" t="n"/>
      <c r="BR649" s="151" t="n"/>
      <c r="BS649" s="151" t="n"/>
      <c r="BT649" s="151" t="n"/>
    </row>
    <row r="650">
      <c r="BJ650" s="151" t="n">
        <v>576</v>
      </c>
      <c r="BK650" s="151" t="inlineStr">
        <is>
          <t>PRODUCCION, FABRICACION, O ENVASADO DE OTRAS BEBIDAS A BASE DE UVA CON UNA GRADUACION ALCOHOLICA DE MAS DE 20? G.L.</t>
        </is>
      </c>
      <c r="BL650" s="151" t="n"/>
      <c r="BM650" s="151" t="n"/>
      <c r="BN650" s="151" t="n"/>
      <c r="BO650" s="151" t="n"/>
      <c r="BP650" s="151" t="n"/>
      <c r="BQ650" s="151" t="n"/>
      <c r="BR650" s="151" t="n"/>
      <c r="BS650" s="151" t="n"/>
      <c r="BT650" s="151" t="n"/>
    </row>
    <row r="651">
      <c r="BJ651" s="151" t="n">
        <v>578</v>
      </c>
      <c r="BK651" s="151" t="inlineStr">
        <is>
          <t>PRODUCCION, FABRICACION, O ENVASADO DE SIDRA Y OTRAS BEBIDAS FERMENTADAS CON UNA GRADUACION ALCOHOLICA DE MAS DE 20? G.L.</t>
        </is>
      </c>
      <c r="BL651" s="151" t="n"/>
      <c r="BM651" s="151" t="n"/>
      <c r="BN651" s="151" t="n"/>
      <c r="BO651" s="151" t="n"/>
      <c r="BP651" s="151" t="n"/>
      <c r="BQ651" s="151" t="n"/>
      <c r="BR651" s="151" t="n"/>
      <c r="BS651" s="151" t="n"/>
      <c r="BT651" s="151" t="n"/>
    </row>
    <row r="652">
      <c r="BJ652" s="151" t="n">
        <v>579</v>
      </c>
      <c r="BK652" s="151" t="inlineStr">
        <is>
          <t>PRODUCCION, FABRICACION, O ENVASADO DE RON Y OTRAS BEBIDAS DESTILADAS DE CA?A CON UNA GRADUACION ALCOHOLICA DE MAS DE 20? G.L.</t>
        </is>
      </c>
      <c r="BL652" s="151" t="n"/>
      <c r="BM652" s="151" t="n"/>
      <c r="BN652" s="151" t="n"/>
      <c r="BO652" s="151" t="n"/>
      <c r="BP652" s="151" t="n"/>
      <c r="BQ652" s="151" t="n"/>
      <c r="BR652" s="151" t="n"/>
      <c r="BS652" s="151" t="n"/>
      <c r="BT652" s="151" t="n"/>
    </row>
    <row r="653">
      <c r="BJ653" s="151" t="n">
        <v>580</v>
      </c>
      <c r="BK653" s="151" t="inlineStr">
        <is>
          <t>PRODUCCION, FABRICACION, O ENVASADO DE BEBIDAS DESTILADAS DE AGAVE CON UNA GRADUACION ALCOHOLICA DE MAS DE 20? G.L..</t>
        </is>
      </c>
      <c r="BL653" s="151" t="n"/>
      <c r="BM653" s="151" t="n"/>
      <c r="BN653" s="151" t="n"/>
      <c r="BO653" s="151" t="n"/>
      <c r="BP653" s="151" t="n"/>
      <c r="BQ653" s="151" t="n"/>
      <c r="BR653" s="151" t="n"/>
      <c r="BS653" s="151" t="n"/>
      <c r="BT653" s="151" t="n"/>
    </row>
    <row r="654">
      <c r="BJ654" s="151" t="n">
        <v>581</v>
      </c>
      <c r="BK654" s="151" t="inlineStr">
        <is>
          <t>VENTA DE ALCOHOL Y ALCOHOL DESNATURALIZADO A HOSPITALES EN ENVASES DE HASTA 20 LITROS</t>
        </is>
      </c>
      <c r="BL654" s="151" t="n"/>
      <c r="BM654" s="151" t="n"/>
      <c r="BN654" s="151" t="n"/>
      <c r="BO654" s="151" t="n"/>
      <c r="BP654" s="151" t="n"/>
      <c r="BQ654" s="151" t="n"/>
      <c r="BR654" s="151" t="n"/>
      <c r="BS654" s="151" t="n"/>
      <c r="BT654" s="151" t="n"/>
    </row>
    <row r="655">
      <c r="BJ655" s="151" t="n">
        <v>582</v>
      </c>
      <c r="BK655" s="151" t="inlineStr">
        <is>
          <t>VENTA DE ALCOHOL Y ALCOHOL DESNATURALIZADO A PUBLICO EN GENERAL EN ENVASES DE HASTA 1 LITRO</t>
        </is>
      </c>
      <c r="BL655" s="151" t="n"/>
      <c r="BM655" s="151" t="n"/>
      <c r="BN655" s="151" t="n"/>
      <c r="BO655" s="151" t="n"/>
      <c r="BP655" s="151" t="n"/>
      <c r="BQ655" s="151" t="n"/>
      <c r="BR655" s="151" t="n"/>
      <c r="BS655" s="151" t="n"/>
      <c r="BT655" s="151" t="n"/>
    </row>
    <row r="656">
      <c r="BJ656" s="151" t="n">
        <v>583</v>
      </c>
      <c r="BK656" s="151" t="inlineStr">
        <is>
          <t>VENTA DE MIELES INCRISTALIZABLES QUE NO SE UTILICEN PARA TRANSFORMARLAS EN ALCOHOL</t>
        </is>
      </c>
      <c r="BL656" s="151" t="n"/>
      <c r="BM656" s="151" t="n"/>
      <c r="BN656" s="151" t="n"/>
      <c r="BO656" s="151" t="n"/>
      <c r="BP656" s="151" t="n"/>
      <c r="BQ656" s="151" t="n"/>
      <c r="BR656" s="151" t="n"/>
      <c r="BS656" s="151" t="n"/>
      <c r="BT656" s="151" t="n"/>
    </row>
    <row r="657">
      <c r="BJ657" s="151" t="n">
        <v>584</v>
      </c>
      <c r="BK657" s="151" t="inlineStr">
        <is>
          <t>VENTA DE MIELES INCRISTALIZABLES PARA TRANSFORMARLAS EN ALCOHOL</t>
        </is>
      </c>
      <c r="BL657" s="151" t="n"/>
      <c r="BM657" s="151" t="n"/>
      <c r="BN657" s="151" t="n"/>
      <c r="BO657" s="151" t="n"/>
      <c r="BP657" s="151" t="n"/>
      <c r="BQ657" s="151" t="n"/>
      <c r="BR657" s="151" t="n"/>
      <c r="BS657" s="151" t="n"/>
      <c r="BT657" s="151" t="n"/>
    </row>
    <row r="658">
      <c r="BJ658" s="151" t="n">
        <v>585</v>
      </c>
      <c r="BK658" s="151" t="inlineStr">
        <is>
          <t>VENTA DE ALCOHOL Y ALCOHOL DESNATURALIZADO</t>
        </is>
      </c>
      <c r="BL658" s="151" t="n"/>
      <c r="BM658" s="151" t="n"/>
      <c r="BN658" s="151" t="n"/>
      <c r="BO658" s="151" t="n"/>
      <c r="BP658" s="151" t="n"/>
      <c r="BQ658" s="151" t="n"/>
      <c r="BR658" s="151" t="n"/>
      <c r="BS658" s="151" t="n"/>
      <c r="BT658" s="151" t="n"/>
    </row>
    <row r="659">
      <c r="BJ659" s="151" t="n">
        <v>587</v>
      </c>
      <c r="BK659" s="151" t="inlineStr">
        <is>
          <t>COMERCIO AL POR MENOR DE CARNES ROJAS</t>
        </is>
      </c>
      <c r="BL659" s="151" t="n"/>
      <c r="BM659" s="151" t="n"/>
      <c r="BN659" s="151" t="n"/>
      <c r="BO659" s="151" t="n"/>
      <c r="BP659" s="151" t="n"/>
      <c r="BQ659" s="151" t="n"/>
      <c r="BR659" s="151" t="n"/>
      <c r="BS659" s="151" t="n"/>
      <c r="BT659" s="151" t="n"/>
    </row>
    <row r="660">
      <c r="BJ660" s="151" t="n">
        <v>588</v>
      </c>
      <c r="BK660" s="151" t="inlineStr">
        <is>
          <t>COMERCIO AL POR MENOR DE CARNE DE AVES</t>
        </is>
      </c>
      <c r="BL660" s="151" t="n"/>
      <c r="BM660" s="151" t="n"/>
      <c r="BN660" s="151" t="n"/>
      <c r="BO660" s="151" t="n"/>
      <c r="BP660" s="151" t="n"/>
      <c r="BQ660" s="151" t="n"/>
      <c r="BR660" s="151" t="n"/>
      <c r="BS660" s="151" t="n"/>
      <c r="BT660" s="151" t="n"/>
    </row>
    <row r="661">
      <c r="BJ661" s="151" t="n">
        <v>589</v>
      </c>
      <c r="BK661" s="151" t="inlineStr">
        <is>
          <t>COMERCIO AL POR MENOR DE PESCADOS Y MARISCOS</t>
        </is>
      </c>
      <c r="BL661" s="151" t="n"/>
      <c r="BM661" s="151" t="n"/>
      <c r="BN661" s="151" t="n"/>
      <c r="BO661" s="151" t="n"/>
      <c r="BP661" s="151" t="n"/>
      <c r="BQ661" s="151" t="n"/>
      <c r="BR661" s="151" t="n"/>
      <c r="BS661" s="151" t="n"/>
      <c r="BT661" s="151" t="n"/>
    </row>
    <row r="662">
      <c r="BJ662" s="151" t="n">
        <v>590</v>
      </c>
      <c r="BK662" s="151" t="inlineStr">
        <is>
          <t>COMERCIO AL POR MENOR DE FRUTAS Y VERDURAS FRESCAS</t>
        </is>
      </c>
      <c r="BL662" s="151" t="n"/>
      <c r="BM662" s="151" t="n"/>
      <c r="BN662" s="151" t="n"/>
      <c r="BO662" s="151" t="n"/>
      <c r="BP662" s="151" t="n"/>
      <c r="BQ662" s="151" t="n"/>
      <c r="BR662" s="151" t="n"/>
      <c r="BS662" s="151" t="n"/>
      <c r="BT662" s="151" t="n"/>
    </row>
    <row r="663">
      <c r="BJ663" s="151" t="n">
        <v>591</v>
      </c>
      <c r="BK663" s="151" t="inlineStr">
        <is>
          <t>COMERCIO AL POR MENOR DE HUEVOS DE GALLINA Y DE OTRAS AVES</t>
        </is>
      </c>
      <c r="BL663" s="151" t="n"/>
      <c r="BM663" s="151" t="n"/>
      <c r="BN663" s="151" t="n"/>
      <c r="BO663" s="151" t="n"/>
      <c r="BP663" s="151" t="n"/>
      <c r="BQ663" s="151" t="n"/>
      <c r="BR663" s="151" t="n"/>
      <c r="BS663" s="151" t="n"/>
      <c r="BT663" s="151" t="n"/>
    </row>
    <row r="664">
      <c r="BJ664" s="151" t="n">
        <v>592</v>
      </c>
      <c r="BK664" s="151" t="inlineStr">
        <is>
          <t>COMERCIO AL POR MENOR DE SEMILLAS Y GRANOS ALIMENTICIOS, ESPECIAS Y CHILES SECOS</t>
        </is>
      </c>
      <c r="BL664" s="151" t="n"/>
      <c r="BM664" s="151" t="n"/>
      <c r="BN664" s="151" t="n"/>
      <c r="BO664" s="151" t="n"/>
      <c r="BP664" s="151" t="n"/>
      <c r="BQ664" s="151" t="n"/>
      <c r="BR664" s="151" t="n"/>
      <c r="BS664" s="151" t="n"/>
      <c r="BT664" s="151" t="n"/>
    </row>
    <row r="665">
      <c r="BJ665" s="151" t="n">
        <v>593</v>
      </c>
      <c r="BK665" s="151" t="inlineStr">
        <is>
          <t>COMERCIO AL POR MENOR DE LECHE PROCESADA, OTROS PRODUCTOS LACTEOS Y EMBUTIDOS</t>
        </is>
      </c>
      <c r="BL665" s="151" t="n"/>
      <c r="BM665" s="151" t="n"/>
      <c r="BN665" s="151" t="n"/>
      <c r="BO665" s="151" t="n"/>
      <c r="BP665" s="151" t="n"/>
      <c r="BQ665" s="151" t="n"/>
      <c r="BR665" s="151" t="n"/>
      <c r="BS665" s="151" t="n"/>
      <c r="BT665" s="151" t="n"/>
    </row>
    <row r="666">
      <c r="BJ666" s="151" t="n">
        <v>594</v>
      </c>
      <c r="BK666" s="151" t="inlineStr">
        <is>
          <t>COMERCIO AL POR MENOR DE MATERIAS PRIMAS PARA REPOSTERIA</t>
        </is>
      </c>
      <c r="BL666" s="151" t="n"/>
      <c r="BM666" s="151" t="n"/>
      <c r="BN666" s="151" t="n"/>
      <c r="BO666" s="151" t="n"/>
      <c r="BP666" s="151" t="n"/>
      <c r="BQ666" s="151" t="n"/>
      <c r="BR666" s="151" t="n"/>
      <c r="BS666" s="151" t="n"/>
      <c r="BT666" s="151" t="n"/>
    </row>
    <row r="667">
      <c r="BJ667" s="151" t="n">
        <v>595</v>
      </c>
      <c r="BK667" s="151" t="inlineStr">
        <is>
          <t>COMERCIO AL POR MENOR DE OTROS ALIMENTOS QUE NO SEAN PREPARADOS NI COCIDOS PARA SU CONSUMO</t>
        </is>
      </c>
      <c r="BL667" s="151" t="n"/>
      <c r="BM667" s="151" t="n"/>
      <c r="BN667" s="151" t="n"/>
      <c r="BO667" s="151" t="n"/>
      <c r="BP667" s="151" t="n"/>
      <c r="BQ667" s="151" t="n"/>
      <c r="BR667" s="151" t="n"/>
      <c r="BS667" s="151" t="n"/>
      <c r="BT667" s="151" t="n"/>
    </row>
    <row r="668">
      <c r="BJ668" s="151" t="n">
        <v>596</v>
      </c>
      <c r="BK668" s="151" t="inlineStr">
        <is>
          <t>VENTA AL PUBLICO EN GENERAL DE BEBIDAS REFRESCANTES POR LA CUAL SE ENTREGA UN COMPROBANTE SIMPLIFICADO</t>
        </is>
      </c>
      <c r="BL668" s="151" t="n"/>
      <c r="BM668" s="151" t="n"/>
      <c r="BN668" s="151" t="n"/>
      <c r="BO668" s="151" t="n"/>
      <c r="BP668" s="151" t="n"/>
      <c r="BQ668" s="151" t="n"/>
      <c r="BR668" s="151" t="n"/>
      <c r="BS668" s="151" t="n"/>
      <c r="BT668" s="151" t="n"/>
    </row>
    <row r="669">
      <c r="BJ669" s="151" t="n">
        <v>597</v>
      </c>
      <c r="BK669" s="151" t="inlineStr">
        <is>
          <t>COMERCIO AL POR MENOR DE CERVEZA ENTREGANDO FACTURA</t>
        </is>
      </c>
      <c r="BL669" s="151" t="n"/>
      <c r="BM669" s="151" t="n"/>
      <c r="BN669" s="151" t="n"/>
      <c r="BO669" s="151" t="n"/>
      <c r="BP669" s="151" t="n"/>
      <c r="BQ669" s="151" t="n"/>
      <c r="BR669" s="151" t="n"/>
      <c r="BS669" s="151" t="n"/>
      <c r="BT669" s="151" t="n"/>
    </row>
    <row r="670">
      <c r="BJ670" s="151" t="n">
        <v>598</v>
      </c>
      <c r="BK670" s="151" t="inlineStr">
        <is>
          <t>COMERCIO AL POR MENOR DE AGUA PURIFICADA Y HIELO</t>
        </is>
      </c>
      <c r="BL670" s="151" t="n"/>
      <c r="BM670" s="151" t="n"/>
      <c r="BN670" s="151" t="n"/>
      <c r="BO670" s="151" t="n"/>
      <c r="BP670" s="151" t="n"/>
      <c r="BQ670" s="151" t="n"/>
      <c r="BR670" s="151" t="n"/>
      <c r="BS670" s="151" t="n"/>
      <c r="BT670" s="151" t="n"/>
    </row>
    <row r="671">
      <c r="BJ671" s="151" t="n">
        <v>599</v>
      </c>
      <c r="BK671" s="151" t="inlineStr">
        <is>
          <t>COMERCIO AL POR MENOR DE REFRESCOS, BEBIDAS HIDRATANTES Y REHIDRATANTES ELABORADOS UNICAMENTE CON AZUCAR DE CA?A COMO EDULCORANTE</t>
        </is>
      </c>
      <c r="BL671" s="151" t="n"/>
      <c r="BM671" s="151" t="n"/>
      <c r="BN671" s="151" t="n"/>
      <c r="BO671" s="151" t="n"/>
      <c r="BP671" s="151" t="n"/>
      <c r="BQ671" s="151" t="n"/>
      <c r="BR671" s="151" t="n"/>
      <c r="BS671" s="151" t="n"/>
      <c r="BT671" s="151" t="n"/>
    </row>
    <row r="672">
      <c r="BJ672" s="151" t="n">
        <v>600</v>
      </c>
      <c r="BK672" s="151" t="inlineStr">
        <is>
          <t>COMERCIO AL POR MENOR DE CIGARROS, PUROS Y TABACO</t>
        </is>
      </c>
      <c r="BL672" s="151" t="n"/>
      <c r="BM672" s="151" t="n"/>
      <c r="BN672" s="151" t="n"/>
      <c r="BO672" s="151" t="n"/>
      <c r="BP672" s="151" t="n"/>
      <c r="BQ672" s="151" t="n"/>
      <c r="BR672" s="151" t="n"/>
      <c r="BS672" s="151" t="n"/>
      <c r="BT672" s="151" t="n"/>
    </row>
    <row r="673">
      <c r="BJ673" s="151" t="n">
        <v>601</v>
      </c>
      <c r="BK673" s="151" t="inlineStr">
        <is>
          <t>COMERCIO AL POR MENOR EN SUPERMERCADOS</t>
        </is>
      </c>
      <c r="BL673" s="151" t="n"/>
      <c r="BM673" s="151" t="n"/>
      <c r="BN673" s="151" t="n"/>
      <c r="BO673" s="151" t="n"/>
      <c r="BP673" s="151" t="n"/>
      <c r="BQ673" s="151" t="n"/>
      <c r="BR673" s="151" t="n"/>
      <c r="BS673" s="151" t="n"/>
      <c r="BT673" s="151" t="n"/>
    </row>
    <row r="674">
      <c r="BJ674" s="151" t="n">
        <v>602</v>
      </c>
      <c r="BK674" s="151" t="inlineStr">
        <is>
          <t>COMERCIO AL POR MENOR EN MINISUPERS</t>
        </is>
      </c>
      <c r="BL674" s="151" t="n"/>
      <c r="BM674" s="151" t="n"/>
      <c r="BN674" s="151" t="n"/>
      <c r="BO674" s="151" t="n"/>
      <c r="BP674" s="151" t="n"/>
      <c r="BQ674" s="151" t="n"/>
      <c r="BR674" s="151" t="n"/>
      <c r="BS674" s="151" t="n"/>
      <c r="BT674" s="151" t="n"/>
    </row>
    <row r="675">
      <c r="BJ675" s="151" t="n">
        <v>603</v>
      </c>
      <c r="BK675" s="151" t="inlineStr">
        <is>
          <t>COMERCIO AL POR MENOR EN TIENDAS DEPARTAMENTALES</t>
        </is>
      </c>
      <c r="BL675" s="151" t="n"/>
      <c r="BM675" s="151" t="n"/>
      <c r="BN675" s="151" t="n"/>
      <c r="BO675" s="151" t="n"/>
      <c r="BP675" s="151" t="n"/>
      <c r="BQ675" s="151" t="n"/>
      <c r="BR675" s="151" t="n"/>
      <c r="BS675" s="151" t="n"/>
      <c r="BT675" s="151" t="n"/>
    </row>
    <row r="676">
      <c r="BJ676" s="151" t="n">
        <v>604</v>
      </c>
      <c r="BK676" s="151" t="inlineStr">
        <is>
          <t>COMERCIO AL POR MENOR DE TELAS</t>
        </is>
      </c>
      <c r="BL676" s="151" t="n"/>
      <c r="BM676" s="151" t="n"/>
      <c r="BN676" s="151" t="n"/>
      <c r="BO676" s="151" t="n"/>
      <c r="BP676" s="151" t="n"/>
      <c r="BQ676" s="151" t="n"/>
      <c r="BR676" s="151" t="n"/>
      <c r="BS676" s="151" t="n"/>
      <c r="BT676" s="151" t="n"/>
    </row>
    <row r="677">
      <c r="BJ677" s="151" t="n">
        <v>605</v>
      </c>
      <c r="BK677" s="151" t="inlineStr">
        <is>
          <t>COMERCIO AL POR MENOR DE BLANCOS</t>
        </is>
      </c>
      <c r="BL677" s="151" t="n"/>
      <c r="BM677" s="151" t="n"/>
      <c r="BN677" s="151" t="n"/>
      <c r="BO677" s="151" t="n"/>
      <c r="BP677" s="151" t="n"/>
      <c r="BQ677" s="151" t="n"/>
      <c r="BR677" s="151" t="n"/>
      <c r="BS677" s="151" t="n"/>
      <c r="BT677" s="151" t="n"/>
    </row>
    <row r="678">
      <c r="BJ678" s="151" t="n">
        <v>606</v>
      </c>
      <c r="BK678" s="151" t="inlineStr">
        <is>
          <t>COMERCIO AL POR MENOR DE ARTICULOS DE MERCERIA Y BONETERIA</t>
        </is>
      </c>
      <c r="BL678" s="151" t="n"/>
      <c r="BM678" s="151" t="n"/>
      <c r="BN678" s="151" t="n"/>
      <c r="BO678" s="151" t="n"/>
      <c r="BP678" s="151" t="n"/>
      <c r="BQ678" s="151" t="n"/>
      <c r="BR678" s="151" t="n"/>
      <c r="BS678" s="151" t="n"/>
      <c r="BT678" s="151" t="n"/>
    </row>
    <row r="679">
      <c r="BJ679" s="151" t="n">
        <v>607</v>
      </c>
      <c r="BK679" s="151" t="inlineStr">
        <is>
          <t>COMERCIO AL POR MENOR DE ROPA NUEVA, DE TRAJES REGIONALES, DISFRACES, PIELES FINAS, VESTIDOS PARA NOVIA, UNIFORMES ESCOLARES, NO CONFECCIONADOS CON CUERO Y PIEL</t>
        </is>
      </c>
      <c r="BL679" s="151" t="n"/>
      <c r="BM679" s="151" t="n"/>
      <c r="BN679" s="151" t="n"/>
      <c r="BO679" s="151" t="n"/>
      <c r="BP679" s="151" t="n"/>
      <c r="BQ679" s="151" t="n"/>
      <c r="BR679" s="151" t="n"/>
      <c r="BS679" s="151" t="n"/>
      <c r="BT679" s="151" t="n"/>
    </row>
    <row r="680">
      <c r="BJ680" s="151" t="n">
        <v>608</v>
      </c>
      <c r="BK680" s="151" t="inlineStr">
        <is>
          <t>COMERCIO AL POR MENOR BISUTERIA Y ACCESORIOS DE VESTIR, COMO PA?OLETAS, MASCADAS, ETC</t>
        </is>
      </c>
      <c r="BL680" s="151" t="n"/>
      <c r="BM680" s="151" t="n"/>
      <c r="BN680" s="151" t="n"/>
      <c r="BO680" s="151" t="n"/>
      <c r="BP680" s="151" t="n"/>
      <c r="BQ680" s="151" t="n"/>
      <c r="BR680" s="151" t="n"/>
      <c r="BS680" s="151" t="n"/>
      <c r="BT680" s="151" t="n"/>
    </row>
    <row r="681">
      <c r="BJ681" s="151" t="n">
        <v>609</v>
      </c>
      <c r="BK681" s="151" t="inlineStr">
        <is>
          <t>COMERCIO AL POR MENOR CUERO, PIEL Y MATERIALES SUCEDANEOS COMO CHAMARRAS, CHALECOS, FALDAS Y OTROS ARTICULOS DE ESTOS MATERIALES COMO BOLSAS, PORTAFOLIOS, MALETAS, CINTURONES, GUANTES Y CARTERAS</t>
        </is>
      </c>
      <c r="BL681" s="151" t="n"/>
      <c r="BM681" s="151" t="n"/>
      <c r="BN681" s="151" t="n"/>
      <c r="BO681" s="151" t="n"/>
      <c r="BP681" s="151" t="n"/>
      <c r="BQ681" s="151" t="n"/>
      <c r="BR681" s="151" t="n"/>
      <c r="BS681" s="151" t="n"/>
      <c r="BT681" s="151" t="n"/>
    </row>
    <row r="682">
      <c r="BJ682" s="151" t="n">
        <v>610</v>
      </c>
      <c r="BK682" s="151" t="inlineStr">
        <is>
          <t>COMERCIO AL POR MENOR PA?ALES DESECHABLES Y/O TOALLAS SANITARIAS</t>
        </is>
      </c>
      <c r="BL682" s="151" t="n"/>
      <c r="BM682" s="151" t="n"/>
      <c r="BN682" s="151" t="n"/>
      <c r="BO682" s="151" t="n"/>
      <c r="BP682" s="151" t="n"/>
      <c r="BQ682" s="151" t="n"/>
      <c r="BR682" s="151" t="n"/>
      <c r="BS682" s="151" t="n"/>
      <c r="BT682" s="151" t="n"/>
    </row>
    <row r="683">
      <c r="BJ683" s="151" t="n">
        <v>611</v>
      </c>
      <c r="BK683" s="151" t="inlineStr">
        <is>
          <t>COMERCIO AL POR MENOR SOMBREROS</t>
        </is>
      </c>
      <c r="BL683" s="151" t="n"/>
      <c r="BM683" s="151" t="n"/>
      <c r="BN683" s="151" t="n"/>
      <c r="BO683" s="151" t="n"/>
      <c r="BP683" s="151" t="n"/>
      <c r="BQ683" s="151" t="n"/>
      <c r="BR683" s="151" t="n"/>
      <c r="BS683" s="151" t="n"/>
      <c r="BT683" s="151" t="n"/>
    </row>
    <row r="684">
      <c r="BJ684" s="151" t="n">
        <v>612</v>
      </c>
      <c r="BK684" s="151" t="inlineStr">
        <is>
          <t>COMERCIO AL POR MENOR CALZADO, AGUJETAS, TINTAS, PLANTILLAS, ACCESORIOS DEL CALZADO</t>
        </is>
      </c>
      <c r="BL684" s="151" t="n"/>
      <c r="BM684" s="151" t="n"/>
      <c r="BN684" s="151" t="n"/>
      <c r="BO684" s="151" t="n"/>
      <c r="BP684" s="151" t="n"/>
      <c r="BQ684" s="151" t="n"/>
      <c r="BR684" s="151" t="n"/>
      <c r="BS684" s="151" t="n"/>
      <c r="BT684" s="151" t="n"/>
    </row>
    <row r="685">
      <c r="BJ685" s="151" t="n">
        <v>613</v>
      </c>
      <c r="BK685" s="151" t="inlineStr">
        <is>
          <t>FARMACIAS SIN MINISUPER</t>
        </is>
      </c>
      <c r="BL685" s="151" t="n"/>
      <c r="BM685" s="151" t="n"/>
      <c r="BN685" s="151" t="n"/>
      <c r="BO685" s="151" t="n"/>
      <c r="BP685" s="151" t="n"/>
      <c r="BQ685" s="151" t="n"/>
      <c r="BR685" s="151" t="n"/>
      <c r="BS685" s="151" t="n"/>
      <c r="BT685" s="151" t="n"/>
    </row>
    <row r="686">
      <c r="BJ686" s="151" t="n">
        <v>614</v>
      </c>
      <c r="BK686" s="151" t="inlineStr">
        <is>
          <t>FARMACIAS CON MINISUPER</t>
        </is>
      </c>
      <c r="BL686" s="151" t="n"/>
      <c r="BM686" s="151" t="n"/>
      <c r="BN686" s="151" t="n"/>
      <c r="BO686" s="151" t="n"/>
      <c r="BP686" s="151" t="n"/>
      <c r="BQ686" s="151" t="n"/>
      <c r="BR686" s="151" t="n"/>
      <c r="BS686" s="151" t="n"/>
      <c r="BT686" s="151" t="n"/>
    </row>
    <row r="687">
      <c r="BJ687" s="151" t="n">
        <v>615</v>
      </c>
      <c r="BK687" s="151" t="inlineStr">
        <is>
          <t>COMERCIO AL POR MENOR DE PRODUCTOS NATURISTAS Y DE COMPLEMENTOS ALIMENTICIOS</t>
        </is>
      </c>
      <c r="BL687" s="151" t="n"/>
      <c r="BM687" s="151" t="n"/>
      <c r="BN687" s="151" t="n"/>
      <c r="BO687" s="151" t="n"/>
      <c r="BP687" s="151" t="n"/>
      <c r="BQ687" s="151" t="n"/>
      <c r="BR687" s="151" t="n"/>
      <c r="BS687" s="151" t="n"/>
      <c r="BT687" s="151" t="n"/>
    </row>
    <row r="688">
      <c r="BJ688" s="151" t="n">
        <v>616</v>
      </c>
      <c r="BK688" s="151" t="inlineStr">
        <is>
          <t>COMERCIO AL POR MENOR DE LENTES</t>
        </is>
      </c>
      <c r="BL688" s="151" t="n"/>
      <c r="BM688" s="151" t="n"/>
      <c r="BN688" s="151" t="n"/>
      <c r="BO688" s="151" t="n"/>
      <c r="BP688" s="151" t="n"/>
      <c r="BQ688" s="151" t="n"/>
      <c r="BR688" s="151" t="n"/>
      <c r="BS688" s="151" t="n"/>
      <c r="BT688" s="151" t="n"/>
    </row>
    <row r="689">
      <c r="BJ689" s="151" t="n">
        <v>617</v>
      </c>
      <c r="BK689" s="151" t="inlineStr">
        <is>
          <t>COMERCIO AL POR MENOR DE APARATOS ORTOPEDICOS</t>
        </is>
      </c>
      <c r="BL689" s="151" t="n"/>
      <c r="BM689" s="151" t="n"/>
      <c r="BN689" s="151" t="n"/>
      <c r="BO689" s="151" t="n"/>
      <c r="BP689" s="151" t="n"/>
      <c r="BQ689" s="151" t="n"/>
      <c r="BR689" s="151" t="n"/>
      <c r="BS689" s="151" t="n"/>
      <c r="BT689" s="151" t="n"/>
    </row>
    <row r="690">
      <c r="BJ690" s="151" t="n">
        <v>618</v>
      </c>
      <c r="BK690" s="151" t="inlineStr">
        <is>
          <t>COMERCIO AL POR MENOR DE ARTICULOS DE PERFUMERIA Y COSMETICOS</t>
        </is>
      </c>
      <c r="BL690" s="151" t="n"/>
      <c r="BM690" s="151" t="n"/>
      <c r="BN690" s="151" t="n"/>
      <c r="BO690" s="151" t="n"/>
      <c r="BP690" s="151" t="n"/>
      <c r="BQ690" s="151" t="n"/>
      <c r="BR690" s="151" t="n"/>
      <c r="BS690" s="151" t="n"/>
      <c r="BT690" s="151" t="n"/>
    </row>
    <row r="691">
      <c r="BJ691" s="151" t="n">
        <v>619</v>
      </c>
      <c r="BK691" s="151" t="inlineStr">
        <is>
          <t>COMERCIO AL POR MENOR DE RELOJES, JOYERIA FINA Y ARTICULOS DECORATIVOS DE MATERIALES PRECIOSOS</t>
        </is>
      </c>
      <c r="BL691" s="151" t="n"/>
      <c r="BM691" s="151" t="n"/>
      <c r="BN691" s="151" t="n"/>
      <c r="BO691" s="151" t="n"/>
      <c r="BP691" s="151" t="n"/>
      <c r="BQ691" s="151" t="n"/>
      <c r="BR691" s="151" t="n"/>
      <c r="BS691" s="151" t="n"/>
      <c r="BT691" s="151" t="n"/>
    </row>
    <row r="692">
      <c r="BJ692" s="151" t="n">
        <v>620</v>
      </c>
      <c r="BK692" s="151" t="inlineStr">
        <is>
          <t>COMERCIO AL POR MENOR DE DISCOS, DISCOS COMPACTOS, CASETES, CARTUCHOS, CINTAS DE AUDIO Y VIDEO</t>
        </is>
      </c>
      <c r="BL692" s="151" t="n"/>
      <c r="BM692" s="151" t="n"/>
      <c r="BN692" s="151" t="n"/>
      <c r="BO692" s="151" t="n"/>
      <c r="BP692" s="151" t="n"/>
      <c r="BQ692" s="151" t="n"/>
      <c r="BR692" s="151" t="n"/>
      <c r="BS692" s="151" t="n"/>
      <c r="BT692" s="151" t="n"/>
    </row>
    <row r="693">
      <c r="BJ693" s="151" t="n">
        <v>621</v>
      </c>
      <c r="BK693" s="151" t="inlineStr">
        <is>
          <t>COMERCIO AL POR MENOR DE JUGUETES, BICICLETAS, TRICICLOS Y PARTES PARA BICICLETAS Y TRICICLOS</t>
        </is>
      </c>
      <c r="BL693" s="151" t="n"/>
      <c r="BM693" s="151" t="n"/>
      <c r="BN693" s="151" t="n"/>
      <c r="BO693" s="151" t="n"/>
      <c r="BP693" s="151" t="n"/>
      <c r="BQ693" s="151" t="n"/>
      <c r="BR693" s="151" t="n"/>
      <c r="BS693" s="151" t="n"/>
      <c r="BT693" s="151" t="n"/>
    </row>
    <row r="694">
      <c r="BJ694" s="151" t="n">
        <v>622</v>
      </c>
      <c r="BK694" s="151" t="inlineStr">
        <is>
          <t>COMERCIO AL POR MENOR DE EQUIPO, MATERIAL FOTOGRAFICO Y SUS ACCESORIOS</t>
        </is>
      </c>
      <c r="BL694" s="151" t="n"/>
      <c r="BM694" s="151" t="n"/>
      <c r="BN694" s="151" t="n"/>
      <c r="BO694" s="151" t="n"/>
      <c r="BP694" s="151" t="n"/>
      <c r="BQ694" s="151" t="n"/>
      <c r="BR694" s="151" t="n"/>
      <c r="BS694" s="151" t="n"/>
      <c r="BT694" s="151" t="n"/>
    </row>
    <row r="695">
      <c r="BJ695" s="151" t="n">
        <v>623</v>
      </c>
      <c r="BK695" s="151" t="inlineStr">
        <is>
          <t>COMERCIO AL POR MENOR EN GENERAL DE UNIFORMES Y ARTICULOS DEPORTIVOS, EQUIPO Y ACCESORIOS PARA EXCURSIONISMO, PESCA Y CAZA DEPORTIVA</t>
        </is>
      </c>
      <c r="BL695" s="151" t="n"/>
      <c r="BM695" s="151" t="n"/>
      <c r="BN695" s="151" t="n"/>
      <c r="BO695" s="151" t="n"/>
      <c r="BP695" s="151" t="n"/>
      <c r="BQ695" s="151" t="n"/>
      <c r="BR695" s="151" t="n"/>
      <c r="BS695" s="151" t="n"/>
      <c r="BT695" s="151" t="n"/>
    </row>
    <row r="696">
      <c r="BJ696" s="151" t="n">
        <v>624</v>
      </c>
      <c r="BK696" s="151" t="inlineStr">
        <is>
          <t>COMERCIO AL POR MENOR DE INSTRUMENTOS MUSICALES Y SUS ACCESORIOS</t>
        </is>
      </c>
      <c r="BL696" s="151" t="n"/>
      <c r="BM696" s="151" t="n"/>
      <c r="BN696" s="151" t="n"/>
      <c r="BO696" s="151" t="n"/>
      <c r="BP696" s="151" t="n"/>
      <c r="BQ696" s="151" t="n"/>
      <c r="BR696" s="151" t="n"/>
      <c r="BS696" s="151" t="n"/>
      <c r="BT696" s="151" t="n"/>
    </row>
    <row r="697">
      <c r="BJ697" s="151" t="n">
        <v>625</v>
      </c>
      <c r="BK697" s="151" t="inlineStr">
        <is>
          <t>COMERCIO AL POR MENOR DE ARTICULOS DE PAPELERIA</t>
        </is>
      </c>
      <c r="BL697" s="151" t="n"/>
      <c r="BM697" s="151" t="n"/>
      <c r="BN697" s="151" t="n"/>
      <c r="BO697" s="151" t="n"/>
      <c r="BP697" s="151" t="n"/>
      <c r="BQ697" s="151" t="n"/>
      <c r="BR697" s="151" t="n"/>
      <c r="BS697" s="151" t="n"/>
      <c r="BT697" s="151" t="n"/>
    </row>
    <row r="698">
      <c r="BJ698" s="151" t="n">
        <v>626</v>
      </c>
      <c r="BK698" s="151" t="inlineStr">
        <is>
          <t>COMERCIO AL POR MENOR DE LIBROS</t>
        </is>
      </c>
      <c r="BL698" s="151" t="n"/>
      <c r="BM698" s="151" t="n"/>
      <c r="BN698" s="151" t="n"/>
      <c r="BO698" s="151" t="n"/>
      <c r="BP698" s="151" t="n"/>
      <c r="BQ698" s="151" t="n"/>
      <c r="BR698" s="151" t="n"/>
      <c r="BS698" s="151" t="n"/>
      <c r="BT698" s="151" t="n"/>
    </row>
    <row r="699">
      <c r="BJ699" s="151" t="n">
        <v>627</v>
      </c>
      <c r="BK699" s="151" t="inlineStr">
        <is>
          <t>COMERCIO AL POR MENOR DE PERIODICOS Y REVISTAS</t>
        </is>
      </c>
      <c r="BL699" s="151" t="n"/>
      <c r="BM699" s="151" t="n"/>
      <c r="BN699" s="151" t="n"/>
      <c r="BO699" s="151" t="n"/>
      <c r="BP699" s="151" t="n"/>
      <c r="BQ699" s="151" t="n"/>
      <c r="BR699" s="151" t="n"/>
      <c r="BS699" s="151" t="n"/>
      <c r="BT699" s="151" t="n"/>
    </row>
    <row r="700">
      <c r="BJ700" s="151" t="n">
        <v>629</v>
      </c>
      <c r="BK700" s="151" t="inlineStr">
        <is>
          <t>COMERCIO AL POR MENOR DE MASCOTAS, MEDICAMENTOS, ACCESORIOS Y OTROS PRODUCTOS</t>
        </is>
      </c>
      <c r="BL700" s="151" t="n"/>
      <c r="BM700" s="151" t="n"/>
      <c r="BN700" s="151" t="n"/>
      <c r="BO700" s="151" t="n"/>
      <c r="BP700" s="151" t="n"/>
      <c r="BQ700" s="151" t="n"/>
      <c r="BR700" s="151" t="n"/>
      <c r="BS700" s="151" t="n"/>
      <c r="BT700" s="151" t="n"/>
    </row>
    <row r="701">
      <c r="BJ701" s="151" t="n">
        <v>630</v>
      </c>
      <c r="BK701" s="151" t="inlineStr">
        <is>
          <t>COMERCIO AL POR MENOR DE REGALOS</t>
        </is>
      </c>
      <c r="BL701" s="151" t="n"/>
      <c r="BM701" s="151" t="n"/>
      <c r="BN701" s="151" t="n"/>
      <c r="BO701" s="151" t="n"/>
      <c r="BP701" s="151" t="n"/>
      <c r="BQ701" s="151" t="n"/>
      <c r="BR701" s="151" t="n"/>
      <c r="BS701" s="151" t="n"/>
      <c r="BT701" s="151" t="n"/>
    </row>
    <row r="702">
      <c r="BJ702" s="151" t="n">
        <v>631</v>
      </c>
      <c r="BK702" s="151" t="inlineStr">
        <is>
          <t>COMERCIO AL POR MENOR DE ARTICULOS RELIGIOSOS</t>
        </is>
      </c>
      <c r="BL702" s="151" t="n"/>
      <c r="BM702" s="151" t="n"/>
      <c r="BN702" s="151" t="n"/>
      <c r="BO702" s="151" t="n"/>
      <c r="BP702" s="151" t="n"/>
      <c r="BQ702" s="151" t="n"/>
      <c r="BR702" s="151" t="n"/>
      <c r="BS702" s="151" t="n"/>
      <c r="BT702" s="151" t="n"/>
    </row>
    <row r="703">
      <c r="BJ703" s="151" t="n">
        <v>632</v>
      </c>
      <c r="BK703" s="151" t="inlineStr">
        <is>
          <t>COMERCIO AL POR MENOR DE ARTESANIAS</t>
        </is>
      </c>
      <c r="BL703" s="151" t="n"/>
      <c r="BM703" s="151" t="n"/>
      <c r="BN703" s="151" t="n"/>
      <c r="BO703" s="151" t="n"/>
      <c r="BP703" s="151" t="n"/>
      <c r="BQ703" s="151" t="n"/>
      <c r="BR703" s="151" t="n"/>
      <c r="BS703" s="151" t="n"/>
      <c r="BT703" s="151" t="n"/>
    </row>
    <row r="704">
      <c r="BJ704" s="151" t="n">
        <v>633</v>
      </c>
      <c r="BK704" s="151" t="inlineStr">
        <is>
          <t>COMERCIO AL POR MENOR EN TIENDAS IMPORTADORAS DE PRODUCTOS DE ORIGEN EXTRANJERO</t>
        </is>
      </c>
      <c r="BL704" s="151" t="n"/>
      <c r="BM704" s="151" t="n"/>
      <c r="BN704" s="151" t="n"/>
      <c r="BO704" s="151" t="n"/>
      <c r="BP704" s="151" t="n"/>
      <c r="BQ704" s="151" t="n"/>
      <c r="BR704" s="151" t="n"/>
      <c r="BS704" s="151" t="n"/>
      <c r="BT704" s="151" t="n"/>
    </row>
    <row r="705">
      <c r="BJ705" s="151" t="n">
        <v>634</v>
      </c>
      <c r="BK705" s="151" t="inlineStr">
        <is>
          <t>COMERCIO AL POR MENOR DE ATAUDES</t>
        </is>
      </c>
      <c r="BL705" s="151" t="n"/>
      <c r="BM705" s="151" t="n"/>
      <c r="BN705" s="151" t="n"/>
      <c r="BO705" s="151" t="n"/>
      <c r="BP705" s="151" t="n"/>
      <c r="BQ705" s="151" t="n"/>
      <c r="BR705" s="151" t="n"/>
      <c r="BS705" s="151" t="n"/>
      <c r="BT705" s="151" t="n"/>
    </row>
    <row r="706">
      <c r="BJ706" s="151" t="n">
        <v>635</v>
      </c>
      <c r="BK706" s="151" t="inlineStr">
        <is>
          <t>COMERCIO AL POR MENOR DE ARTICULOS MISCELANEOS NO CLASIFICADOS EN OTRA PARTE</t>
        </is>
      </c>
      <c r="BL706" s="151" t="n"/>
      <c r="BM706" s="151" t="n"/>
      <c r="BN706" s="151" t="n"/>
      <c r="BO706" s="151" t="n"/>
      <c r="BP706" s="151" t="n"/>
      <c r="BQ706" s="151" t="n"/>
      <c r="BR706" s="151" t="n"/>
      <c r="BS706" s="151" t="n"/>
      <c r="BT706" s="151" t="n"/>
    </row>
    <row r="707">
      <c r="BJ707" s="151" t="n">
        <v>636</v>
      </c>
      <c r="BK707" s="151" t="inlineStr">
        <is>
          <t>COMERCIO AL POR MENOR DE MUEBLES PARA EL HOGAR</t>
        </is>
      </c>
      <c r="BL707" s="151" t="n"/>
      <c r="BM707" s="151" t="n"/>
      <c r="BN707" s="151" t="n"/>
      <c r="BO707" s="151" t="n"/>
      <c r="BP707" s="151" t="n"/>
      <c r="BQ707" s="151" t="n"/>
      <c r="BR707" s="151" t="n"/>
      <c r="BS707" s="151" t="n"/>
      <c r="BT707" s="151" t="n"/>
    </row>
    <row r="708">
      <c r="BJ708" s="151" t="n">
        <v>637</v>
      </c>
      <c r="BK708" s="151" t="inlineStr">
        <is>
          <t>COMERCIO AL POR MENOR DE ENSERES ELECTRODOMESTICOS MENORES Y APARATOS DE LINEA BLANCA</t>
        </is>
      </c>
      <c r="BL708" s="151" t="n"/>
      <c r="BM708" s="151" t="n"/>
      <c r="BN708" s="151" t="n"/>
      <c r="BO708" s="151" t="n"/>
      <c r="BP708" s="151" t="n"/>
      <c r="BQ708" s="151" t="n"/>
      <c r="BR708" s="151" t="n"/>
      <c r="BS708" s="151" t="n"/>
      <c r="BT708" s="151" t="n"/>
    </row>
    <row r="709">
      <c r="BJ709" s="151" t="n">
        <v>638</v>
      </c>
      <c r="BK709" s="151" t="inlineStr">
        <is>
          <t>COMERCIO AL POR MENOR DE CRISTALERIA Y SUS PIEZAS SUELTAS, LOZA Y UTENSILIOS DE COCINA DE CERAMICA Y PLASTICO</t>
        </is>
      </c>
      <c r="BL709" s="151" t="n"/>
      <c r="BM709" s="151" t="n"/>
      <c r="BN709" s="151" t="n"/>
      <c r="BO709" s="151" t="n"/>
      <c r="BP709" s="151" t="n"/>
      <c r="BQ709" s="151" t="n"/>
      <c r="BR709" s="151" t="n"/>
      <c r="BS709" s="151" t="n"/>
      <c r="BT709" s="151" t="n"/>
    </row>
    <row r="710">
      <c r="BJ710" s="151" t="n">
        <v>639</v>
      </c>
      <c r="BK710" s="151" t="inlineStr">
        <is>
          <t>COMERCIO AL POR MENOR DE COMPUTADORAS Y SUS ACCESORIOS</t>
        </is>
      </c>
      <c r="BL710" s="151" t="n"/>
      <c r="BM710" s="151" t="n"/>
      <c r="BN710" s="151" t="n"/>
      <c r="BO710" s="151" t="n"/>
      <c r="BP710" s="151" t="n"/>
      <c r="BQ710" s="151" t="n"/>
      <c r="BR710" s="151" t="n"/>
      <c r="BS710" s="151" t="n"/>
      <c r="BT710" s="151" t="n"/>
    </row>
    <row r="711">
      <c r="BJ711" s="151" t="n">
        <v>640</v>
      </c>
      <c r="BK711" s="151" t="inlineStr">
        <is>
          <t>COMERCIO AL POR MENOR DE TELEFONOS, DE OTROS APARATOS DE COMUNICACION, REFACCCIONES Y ACCESORIOS</t>
        </is>
      </c>
      <c r="BL711" s="151" t="n"/>
      <c r="BM711" s="151" t="n"/>
      <c r="BN711" s="151" t="n"/>
      <c r="BO711" s="151" t="n"/>
      <c r="BP711" s="151" t="n"/>
      <c r="BQ711" s="151" t="n"/>
      <c r="BR711" s="151" t="n"/>
      <c r="BS711" s="151" t="n"/>
      <c r="BT711" s="151" t="n"/>
    </row>
    <row r="712">
      <c r="BJ712" s="151" t="n">
        <v>641</v>
      </c>
      <c r="BK712" s="151" t="inlineStr">
        <is>
          <t>COMERCIO AL POR MENOR DE ALFOMBRAS, TAPETES, GOBELINOS, TAPICES, LINOLEOS, CORTINAS, PERSIANAS Y SIMILARES</t>
        </is>
      </c>
      <c r="BL712" s="151" t="n"/>
      <c r="BM712" s="151" t="n"/>
      <c r="BN712" s="151" t="n"/>
      <c r="BO712" s="151" t="n"/>
      <c r="BP712" s="151" t="n"/>
      <c r="BQ712" s="151" t="n"/>
      <c r="BR712" s="151" t="n"/>
      <c r="BS712" s="151" t="n"/>
      <c r="BT712" s="151" t="n"/>
    </row>
    <row r="713">
      <c r="BJ713" s="151" t="n">
        <v>642</v>
      </c>
      <c r="BK713" s="151" t="inlineStr">
        <is>
          <t>COMERCIO AL POR MENOR DE PLANTAS Y FLORES NATURALES, ARREGLOS FLORALES Y FRUTALES, CORONAS FUNERARIAS, NATURALEZAS MUERTAS</t>
        </is>
      </c>
      <c r="BL713" s="151" t="n"/>
      <c r="BM713" s="151" t="n"/>
      <c r="BN713" s="151" t="n"/>
      <c r="BO713" s="151" t="n"/>
      <c r="BP713" s="151" t="n"/>
      <c r="BQ713" s="151" t="n"/>
      <c r="BR713" s="151" t="n"/>
      <c r="BS713" s="151" t="n"/>
      <c r="BT713" s="151" t="n"/>
    </row>
    <row r="714">
      <c r="BJ714" s="151" t="n">
        <v>643</v>
      </c>
      <c r="BK714" s="151" t="inlineStr">
        <is>
          <t>COMERCIO AL POR MENOR DE ANTIGUEDADES Y OBRAS DE ARTE</t>
        </is>
      </c>
      <c r="BL714" s="151" t="n"/>
      <c r="BM714" s="151" t="n"/>
      <c r="BN714" s="151" t="n"/>
      <c r="BO714" s="151" t="n"/>
      <c r="BP714" s="151" t="n"/>
      <c r="BQ714" s="151" t="n"/>
      <c r="BR714" s="151" t="n"/>
      <c r="BS714" s="151" t="n"/>
      <c r="BT714" s="151" t="n"/>
    </row>
    <row r="715">
      <c r="BJ715" s="151" t="n">
        <v>644</v>
      </c>
      <c r="BK715" s="151" t="inlineStr">
        <is>
          <t>COMERCIO AL POR MENOR DE LAMPARAS ORNAMENTALES Y PANTALLAS PARA LAMPARAS Y CANDILES</t>
        </is>
      </c>
      <c r="BL715" s="151" t="n"/>
      <c r="BM715" s="151" t="n"/>
      <c r="BN715" s="151" t="n"/>
      <c r="BO715" s="151" t="n"/>
      <c r="BP715" s="151" t="n"/>
      <c r="BQ715" s="151" t="n"/>
      <c r="BR715" s="151" t="n"/>
      <c r="BS715" s="151" t="n"/>
      <c r="BT715" s="151" t="n"/>
    </row>
    <row r="716">
      <c r="BJ716" s="151" t="n">
        <v>645</v>
      </c>
      <c r="BK716" s="151" t="inlineStr">
        <is>
          <t>COMERCIO AL POR MENOR DE OTROS ARTICULOS PARA LA DECORACION DE INTERIORES</t>
        </is>
      </c>
      <c r="BL716" s="151" t="n"/>
      <c r="BM716" s="151" t="n"/>
      <c r="BN716" s="151" t="n"/>
      <c r="BO716" s="151" t="n"/>
      <c r="BP716" s="151" t="n"/>
      <c r="BQ716" s="151" t="n"/>
      <c r="BR716" s="151" t="n"/>
      <c r="BS716" s="151" t="n"/>
      <c r="BT716" s="151" t="n"/>
    </row>
    <row r="717">
      <c r="BJ717" s="151" t="n">
        <v>646</v>
      </c>
      <c r="BK717" s="151" t="inlineStr">
        <is>
          <t>COMERCIO AL POR MENOR DE ARTICULOS USADOS DE MUEBLES, ENSERES DOMESTICOS, LIBROS, REVISTAS, ROPA, CALZADO, JUGUETES</t>
        </is>
      </c>
      <c r="BL717" s="151" t="n"/>
      <c r="BM717" s="151" t="n"/>
      <c r="BN717" s="151" t="n"/>
      <c r="BO717" s="151" t="n"/>
      <c r="BP717" s="151" t="n"/>
      <c r="BQ717" s="151" t="n"/>
      <c r="BR717" s="151" t="n"/>
      <c r="BS717" s="151" t="n"/>
      <c r="BT717" s="151" t="n"/>
    </row>
    <row r="718">
      <c r="BJ718" s="151" t="n">
        <v>647</v>
      </c>
      <c r="BK718" s="151" t="inlineStr">
        <is>
          <t>COMERCIO AL POR MENOR EN FERRETERIAS Y TLAPALERIAS</t>
        </is>
      </c>
      <c r="BL718" s="151" t="n"/>
      <c r="BM718" s="151" t="n"/>
      <c r="BN718" s="151" t="n"/>
      <c r="BO718" s="151" t="n"/>
      <c r="BP718" s="151" t="n"/>
      <c r="BQ718" s="151" t="n"/>
      <c r="BR718" s="151" t="n"/>
      <c r="BS718" s="151" t="n"/>
      <c r="BT718" s="151" t="n"/>
    </row>
    <row r="719">
      <c r="BJ719" s="151" t="n">
        <v>648</v>
      </c>
      <c r="BK719" s="151" t="inlineStr">
        <is>
          <t>COMERCIO AL POR MENOR DE PINTURA (EXCEPTO EN AEROSOL), RECUBRIMIENTOS, BARNICES, BROCHAS, MATERIALES Y ACCESORIOS PARA PINTURA NO ARTISTICA</t>
        </is>
      </c>
      <c r="BL719" s="151" t="n"/>
      <c r="BM719" s="151" t="n"/>
      <c r="BN719" s="151" t="n"/>
      <c r="BO719" s="151" t="n"/>
      <c r="BP719" s="151" t="n"/>
      <c r="BQ719" s="151" t="n"/>
      <c r="BR719" s="151" t="n"/>
      <c r="BS719" s="151" t="n"/>
      <c r="BT719" s="151" t="n"/>
    </row>
    <row r="720">
      <c r="BJ720" s="151" t="n">
        <v>649</v>
      </c>
      <c r="BK720" s="151" t="inlineStr">
        <is>
          <t>COMERCIO AL POR MENOR DE VIDRIOS Y ESPEJOS, CANCELERIA DE ALUMINIO, DOMOS DE MATERIAL ACRILICO Y POLICARBONATO, TRAGALUCES DE VIDRIO</t>
        </is>
      </c>
      <c r="BL720" s="151" t="n"/>
      <c r="BM720" s="151" t="n"/>
      <c r="BN720" s="151" t="n"/>
      <c r="BO720" s="151" t="n"/>
      <c r="BP720" s="151" t="n"/>
      <c r="BQ720" s="151" t="n"/>
      <c r="BR720" s="151" t="n"/>
      <c r="BS720" s="151" t="n"/>
      <c r="BT720" s="151" t="n"/>
    </row>
    <row r="721">
      <c r="BJ721" s="151" t="n">
        <v>650</v>
      </c>
      <c r="BK721" s="151" t="inlineStr">
        <is>
          <t>COMERCIO AL POR MENOR DE ARTICULOS PARA LA LIMPIEZA</t>
        </is>
      </c>
      <c r="BL721" s="151" t="n"/>
      <c r="BM721" s="151" t="n"/>
      <c r="BN721" s="151" t="n"/>
      <c r="BO721" s="151" t="n"/>
      <c r="BP721" s="151" t="n"/>
      <c r="BQ721" s="151" t="n"/>
      <c r="BR721" s="151" t="n"/>
      <c r="BS721" s="151" t="n"/>
      <c r="BT721" s="151" t="n"/>
    </row>
    <row r="722">
      <c r="BJ722" s="151" t="n">
        <v>651</v>
      </c>
      <c r="BK722" s="151" t="inlineStr">
        <is>
          <t>COMERCIO AL POR MENOR EN TIENDAS DE AUTOSERVICIO DE MATERIALES PARA LA AUTOCONSTRUCCION</t>
        </is>
      </c>
      <c r="BL722" s="151" t="n"/>
      <c r="BM722" s="151" t="n"/>
      <c r="BN722" s="151" t="n"/>
      <c r="BO722" s="151" t="n"/>
      <c r="BP722" s="151" t="n"/>
      <c r="BQ722" s="151" t="n"/>
      <c r="BR722" s="151" t="n"/>
      <c r="BS722" s="151" t="n"/>
      <c r="BT722" s="151" t="n"/>
    </row>
    <row r="723">
      <c r="BJ723" s="151" t="n">
        <v>652</v>
      </c>
      <c r="BK723" s="151" t="inlineStr">
        <is>
          <t>COMERCIO AL POR MENOR DE AUTOMOVILES Y CAMIONETAS NUEVOS CUYA PROPULSION SEA A TRAVES DE BATERIAS ELECTRICAS RECARGABLE</t>
        </is>
      </c>
      <c r="BL723" s="151" t="n"/>
      <c r="BM723" s="151" t="n"/>
      <c r="BN723" s="151" t="n"/>
      <c r="BO723" s="151" t="n"/>
      <c r="BP723" s="151" t="n"/>
      <c r="BQ723" s="151" t="n"/>
      <c r="BR723" s="151" t="n"/>
      <c r="BS723" s="151" t="n"/>
      <c r="BT723" s="151" t="n"/>
    </row>
    <row r="724">
      <c r="BJ724" s="151" t="n">
        <v>653</v>
      </c>
      <c r="BK724" s="151" t="inlineStr">
        <is>
          <t>COMERCIO AL POR MENOR DE AUTOMOVILES Y CAMIONETAS USADOS Y COMERCIO INTEGRADO DE AUTOMOVILES Y CAMIONES USADOS, Y A LA COMPRA, VENTA Y CONSIGNACION DE AUTOMOVILES Y CAMIONETAS</t>
        </is>
      </c>
      <c r="BL724" s="151" t="n"/>
      <c r="BM724" s="151" t="n"/>
      <c r="BN724" s="151" t="n"/>
      <c r="BO724" s="151" t="n"/>
      <c r="BP724" s="151" t="n"/>
      <c r="BQ724" s="151" t="n"/>
      <c r="BR724" s="151" t="n"/>
      <c r="BS724" s="151" t="n"/>
      <c r="BT724" s="151" t="n"/>
    </row>
    <row r="725">
      <c r="BJ725" s="151" t="n">
        <v>654</v>
      </c>
      <c r="BK725" s="151" t="inlineStr">
        <is>
          <t>COMERCIO AL POR MENOR DE PARTES Y REFACCIONES NUEVAS PARA AUTOMOVILES, CAMIONETAS Y CAMIONES</t>
        </is>
      </c>
      <c r="BL725" s="151" t="n"/>
      <c r="BM725" s="151" t="n"/>
      <c r="BN725" s="151" t="n"/>
      <c r="BO725" s="151" t="n"/>
      <c r="BP725" s="151" t="n"/>
      <c r="BQ725" s="151" t="n"/>
      <c r="BR725" s="151" t="n"/>
      <c r="BS725" s="151" t="n"/>
      <c r="BT725" s="151" t="n"/>
    </row>
    <row r="726">
      <c r="BJ726" s="151" t="n">
        <v>655</v>
      </c>
      <c r="BK726" s="151" t="inlineStr">
        <is>
          <t>COMERCIO AL POR MENOR DE PARTES Y REFACCIONES USADAS PARA AUTOMOVILES, CAMIONETAS Y CAMIONES</t>
        </is>
      </c>
      <c r="BL726" s="151" t="n"/>
      <c r="BM726" s="151" t="n"/>
      <c r="BN726" s="151" t="n"/>
      <c r="BO726" s="151" t="n"/>
      <c r="BP726" s="151" t="n"/>
      <c r="BQ726" s="151" t="n"/>
      <c r="BR726" s="151" t="n"/>
      <c r="BS726" s="151" t="n"/>
      <c r="BT726" s="151" t="n"/>
    </row>
    <row r="727">
      <c r="BJ727" s="151" t="n">
        <v>656</v>
      </c>
      <c r="BK727" s="151" t="inlineStr">
        <is>
          <t>COMERCIO AL POR MENOR DE LLANTAS Y CAMARAS, CORBATAS, VALVULAS DE CAMARA Y TAPONES PARA AUTOMOVILES, CAMIONETAS Y CAMIONES DE MOTOR</t>
        </is>
      </c>
      <c r="BL727" s="151" t="n"/>
      <c r="BM727" s="151" t="n"/>
      <c r="BN727" s="151" t="n"/>
      <c r="BO727" s="151" t="n"/>
      <c r="BP727" s="151" t="n"/>
      <c r="BQ727" s="151" t="n"/>
      <c r="BR727" s="151" t="n"/>
      <c r="BS727" s="151" t="n"/>
      <c r="BT727" s="151" t="n"/>
    </row>
    <row r="728">
      <c r="BJ728" s="151" t="n">
        <v>657</v>
      </c>
      <c r="BK728" s="151" t="inlineStr">
        <is>
          <t>COMERCIO AL POR MENOR DE MOTOCICLETAS, BICIMOTOS, MOTONETAS Y MOTOCICLETAS ACUATICAS Y SUS REFACCIONES</t>
        </is>
      </c>
      <c r="BL728" s="151" t="n"/>
      <c r="BM728" s="151" t="n"/>
      <c r="BN728" s="151" t="n"/>
      <c r="BO728" s="151" t="n"/>
      <c r="BP728" s="151" t="n"/>
      <c r="BQ728" s="151" t="n"/>
      <c r="BR728" s="151" t="n"/>
      <c r="BS728" s="151" t="n"/>
      <c r="BT728" s="151" t="n"/>
    </row>
    <row r="729">
      <c r="BJ729" s="151" t="n">
        <v>658</v>
      </c>
      <c r="BK729" s="151" t="inlineStr">
        <is>
          <t>COMERCIO AL POR MENOR DE OTROS VEHICULOS DE MOTOR</t>
        </is>
      </c>
      <c r="BL729" s="151" t="n"/>
      <c r="BM729" s="151" t="n"/>
      <c r="BN729" s="151" t="n"/>
      <c r="BO729" s="151" t="n"/>
      <c r="BP729" s="151" t="n"/>
      <c r="BQ729" s="151" t="n"/>
      <c r="BR729" s="151" t="n"/>
      <c r="BS729" s="151" t="n"/>
      <c r="BT729" s="151" t="n"/>
    </row>
    <row r="730">
      <c r="BJ730" s="151" t="n">
        <v>659</v>
      </c>
      <c r="BK730" s="151" t="inlineStr">
        <is>
          <t>COMERCIO AL POR MENOR DE GASOLINA Y DIESEL</t>
        </is>
      </c>
      <c r="BL730" s="151" t="n"/>
      <c r="BM730" s="151" t="n"/>
      <c r="BN730" s="151" t="n"/>
      <c r="BO730" s="151" t="n"/>
      <c r="BP730" s="151" t="n"/>
      <c r="BQ730" s="151" t="n"/>
      <c r="BR730" s="151" t="n"/>
      <c r="BS730" s="151" t="n"/>
      <c r="BT730" s="151" t="n"/>
    </row>
    <row r="731">
      <c r="BJ731" s="151" t="n">
        <v>660</v>
      </c>
      <c r="BK731" s="151" t="inlineStr">
        <is>
          <t>COMERCIO AL POR MENOR DE GAS L.P. EN CILINDROS Y PARA TANQUES ESTACIONARIOS</t>
        </is>
      </c>
      <c r="BL731" s="151" t="n"/>
      <c r="BM731" s="151" t="n"/>
      <c r="BN731" s="151" t="n"/>
      <c r="BO731" s="151" t="n"/>
      <c r="BP731" s="151" t="n"/>
      <c r="BQ731" s="151" t="n"/>
      <c r="BR731" s="151" t="n"/>
      <c r="BS731" s="151" t="n"/>
      <c r="BT731" s="151" t="n"/>
    </row>
    <row r="732">
      <c r="BJ732" s="151" t="n">
        <v>661</v>
      </c>
      <c r="BK732" s="151" t="inlineStr">
        <is>
          <t>COMERCIO AL POR MENOR DE OTROS COMBUSTIBLES COMO PETROLEO DIAFANO, CARBON VEGETAL Y LE?A</t>
        </is>
      </c>
      <c r="BL732" s="151" t="n"/>
      <c r="BM732" s="151" t="n"/>
      <c r="BN732" s="151" t="n"/>
      <c r="BO732" s="151" t="n"/>
      <c r="BP732" s="151" t="n"/>
      <c r="BQ732" s="151" t="n"/>
      <c r="BR732" s="151" t="n"/>
      <c r="BS732" s="151" t="n"/>
      <c r="BT732" s="151" t="n"/>
    </row>
    <row r="733">
      <c r="BJ733" s="151" t="n">
        <v>662</v>
      </c>
      <c r="BK733" s="151" t="inlineStr">
        <is>
          <t>COMERCIO AL POR MENOR DE ACEITES Y GRASAS LUBRICANTES DE USO INDUSTRIAL, ADITIVOS Y SIMILARES PARA VEHICULOS DE MOTOR</t>
        </is>
      </c>
      <c r="BL733" s="151" t="n"/>
      <c r="BM733" s="151" t="n"/>
      <c r="BN733" s="151" t="n"/>
      <c r="BO733" s="151" t="n"/>
      <c r="BP733" s="151" t="n"/>
      <c r="BQ733" s="151" t="n"/>
      <c r="BR733" s="151" t="n"/>
      <c r="BS733" s="151" t="n"/>
      <c r="BT733" s="151" t="n"/>
    </row>
    <row r="734">
      <c r="BJ734" s="151" t="n">
        <v>663</v>
      </c>
      <c r="BK734" s="151" t="inlineStr">
        <is>
          <t>COMERCIO AL POR MENOR DE PRODUCTOS DE CONSUMO FINAL PROPIEDAD DE TERCEROS POR COMISION Y CONSIGNACION</t>
        </is>
      </c>
      <c r="BL734" s="151" t="n"/>
      <c r="BM734" s="151" t="n"/>
      <c r="BN734" s="151" t="n"/>
      <c r="BO734" s="151" t="n"/>
      <c r="BP734" s="151" t="n"/>
      <c r="BQ734" s="151" t="n"/>
      <c r="BR734" s="151" t="n"/>
      <c r="BS734" s="151" t="n"/>
      <c r="BT734" s="151" t="n"/>
    </row>
    <row r="735">
      <c r="BJ735" s="151" t="n">
        <v>664</v>
      </c>
      <c r="BK735" s="151" t="inlineStr">
        <is>
          <t>OTROS INTERMEDIARIOS DEL COMERCIO AL POR MENOR</t>
        </is>
      </c>
      <c r="BL735" s="151" t="n"/>
      <c r="BM735" s="151" t="n"/>
      <c r="BN735" s="151" t="n"/>
      <c r="BO735" s="151" t="n"/>
      <c r="BP735" s="151" t="n"/>
      <c r="BQ735" s="151" t="n"/>
      <c r="BR735" s="151" t="n"/>
      <c r="BS735" s="151" t="n"/>
      <c r="BT735" s="151" t="n"/>
    </row>
    <row r="736">
      <c r="BJ736" s="151" t="n">
        <v>665</v>
      </c>
      <c r="BK736" s="151" t="inlineStr">
        <is>
          <t>COMERCIO AL POR MENOR POR MEDIOS MASIVOS DE COMUNICACION Y OTROS MEDIOS</t>
        </is>
      </c>
      <c r="BL736" s="151" t="n"/>
      <c r="BM736" s="151" t="n"/>
      <c r="BN736" s="151" t="n"/>
      <c r="BO736" s="151" t="n"/>
      <c r="BP736" s="151" t="n"/>
      <c r="BQ736" s="151" t="n"/>
      <c r="BR736" s="151" t="n"/>
      <c r="BS736" s="151" t="n"/>
      <c r="BT736" s="151" t="n"/>
    </row>
    <row r="737">
      <c r="BJ737" s="151" t="n">
        <v>666</v>
      </c>
      <c r="BK737" s="151" t="inlineStr">
        <is>
          <t>TRANSPORTE AEREO REGULAR DE PASAJEROS Y DE CARGA EN AERONAVES CON MATRICULA NACIONAL CON RUTAS Y HORARIOS ESTABLECIDOS</t>
        </is>
      </c>
      <c r="BL737" s="151" t="n"/>
      <c r="BM737" s="151" t="n"/>
      <c r="BN737" s="151" t="n"/>
      <c r="BO737" s="151" t="n"/>
      <c r="BP737" s="151" t="n"/>
      <c r="BQ737" s="151" t="n"/>
      <c r="BR737" s="151" t="n"/>
      <c r="BS737" s="151" t="n"/>
      <c r="BT737" s="151" t="n"/>
    </row>
    <row r="738">
      <c r="BJ738" s="151" t="n">
        <v>667</v>
      </c>
      <c r="BK738" s="151" t="inlineStr">
        <is>
          <t>TRANSPORTE AEREO REGULAR DE PASAJEROS Y DE CARGA EN AERONAVES CON MATRICULA EXTRANJERA CON RUTAS Y HORARIOS ESTABLECIDOS</t>
        </is>
      </c>
      <c r="BL738" s="151" t="n"/>
      <c r="BM738" s="151" t="n"/>
      <c r="BN738" s="151" t="n"/>
      <c r="BO738" s="151" t="n"/>
      <c r="BP738" s="151" t="n"/>
      <c r="BQ738" s="151" t="n"/>
      <c r="BR738" s="151" t="n"/>
      <c r="BS738" s="151" t="n"/>
      <c r="BT738" s="151" t="n"/>
    </row>
    <row r="739">
      <c r="BJ739" s="151" t="n">
        <v>668</v>
      </c>
      <c r="BK739" s="151" t="inlineStr">
        <is>
          <t>TRANSPORTE AEREO NO REGULAR DE PASAJEROS Y DE CARGA POR VIA AEREA, SIN RUTAS NI HORARIOS FIJOS</t>
        </is>
      </c>
      <c r="BL739" s="151" t="n"/>
      <c r="BM739" s="151" t="n"/>
      <c r="BN739" s="151" t="n"/>
      <c r="BO739" s="151" t="n"/>
      <c r="BP739" s="151" t="n"/>
      <c r="BQ739" s="151" t="n"/>
      <c r="BR739" s="151" t="n"/>
      <c r="BS739" s="151" t="n"/>
      <c r="BT739" s="151" t="n"/>
    </row>
    <row r="740">
      <c r="BJ740" s="151" t="n">
        <v>669</v>
      </c>
      <c r="BK740" s="151" t="inlineStr">
        <is>
          <t>TRANSPORTE POR FERROCARRIL DE PASAJEROS Y DE CARGA</t>
        </is>
      </c>
      <c r="BL740" s="151" t="n"/>
      <c r="BM740" s="151" t="n"/>
      <c r="BN740" s="151" t="n"/>
      <c r="BO740" s="151" t="n"/>
      <c r="BP740" s="151" t="n"/>
      <c r="BQ740" s="151" t="n"/>
      <c r="BR740" s="151" t="n"/>
      <c r="BS740" s="151" t="n"/>
      <c r="BT740" s="151" t="n"/>
    </row>
    <row r="741">
      <c r="BJ741" s="151" t="n">
        <v>670</v>
      </c>
      <c r="BK741" s="151" t="inlineStr">
        <is>
          <t>TRANSPORTE MARITIMO DE ALTURA</t>
        </is>
      </c>
      <c r="BL741" s="151" t="n"/>
      <c r="BM741" s="151" t="n"/>
      <c r="BN741" s="151" t="n"/>
      <c r="BO741" s="151" t="n"/>
      <c r="BP741" s="151" t="n"/>
      <c r="BQ741" s="151" t="n"/>
      <c r="BR741" s="151" t="n"/>
      <c r="BS741" s="151" t="n"/>
      <c r="BT741" s="151" t="n"/>
    </row>
    <row r="742">
      <c r="BJ742" s="151" t="n">
        <v>671</v>
      </c>
      <c r="BK742" s="151" t="inlineStr">
        <is>
          <t>TRANSPORTE MARITIMO DE CABOTAJE</t>
        </is>
      </c>
      <c r="BL742" s="151" t="n"/>
      <c r="BM742" s="151" t="n"/>
      <c r="BN742" s="151" t="n"/>
      <c r="BO742" s="151" t="n"/>
      <c r="BP742" s="151" t="n"/>
      <c r="BQ742" s="151" t="n"/>
      <c r="BR742" s="151" t="n"/>
      <c r="BS742" s="151" t="n"/>
      <c r="BT742" s="151" t="n"/>
    </row>
    <row r="743">
      <c r="BJ743" s="151" t="n">
        <v>672</v>
      </c>
      <c r="BK743" s="151" t="inlineStr">
        <is>
          <t>TRANSPORTE MARITIMO DE ALTURA O DE CABOTAJE DE PETROLEO Y GAS NATURAL POR MAR</t>
        </is>
      </c>
      <c r="BL743" s="151" t="n"/>
      <c r="BM743" s="151" t="n"/>
      <c r="BN743" s="151" t="n"/>
      <c r="BO743" s="151" t="n"/>
      <c r="BP743" s="151" t="n"/>
      <c r="BQ743" s="151" t="n"/>
      <c r="BR743" s="151" t="n"/>
      <c r="BS743" s="151" t="n"/>
      <c r="BT743" s="151" t="n"/>
    </row>
    <row r="744">
      <c r="BJ744" s="151" t="n">
        <v>673</v>
      </c>
      <c r="BK744" s="151" t="inlineStr">
        <is>
          <t>TRANSPORTE DE PASAJEROS Y DE CARGA POR RIOS, PRESAS, LAGOS, LAGUNAS Y OTRAS VIAS NAVEGABLES INTERIORES, SERVICIO DE REMOLQUE DE CARGA POR AGUAS INTERIORES</t>
        </is>
      </c>
      <c r="BL744" s="151" t="n"/>
      <c r="BM744" s="151" t="n"/>
      <c r="BN744" s="151" t="n"/>
      <c r="BO744" s="151" t="n"/>
      <c r="BP744" s="151" t="n"/>
      <c r="BQ744" s="151" t="n"/>
      <c r="BR744" s="151" t="n"/>
      <c r="BS744" s="151" t="n"/>
      <c r="BT744" s="151" t="n"/>
    </row>
    <row r="745">
      <c r="BJ745" s="151" t="n">
        <v>674</v>
      </c>
      <c r="BK745" s="151" t="inlineStr">
        <is>
          <t>AUTOTRANSPORTE LOCAL DE PRODUCTOS AGROPECUARIOS SIN REFRIGERACION</t>
        </is>
      </c>
      <c r="BL745" s="151" t="n"/>
      <c r="BM745" s="151" t="n"/>
      <c r="BN745" s="151" t="n"/>
      <c r="BO745" s="151" t="n"/>
      <c r="BP745" s="151" t="n"/>
      <c r="BQ745" s="151" t="n"/>
      <c r="BR745" s="151" t="n"/>
      <c r="BS745" s="151" t="n"/>
      <c r="BT745" s="151" t="n"/>
    </row>
    <row r="746">
      <c r="BJ746" s="151" t="n">
        <v>675</v>
      </c>
      <c r="BK746" s="151" t="inlineStr">
        <is>
          <t>OTRO AUTOTRANSPORTE LOCAL DE CARGA GENERAL</t>
        </is>
      </c>
      <c r="BL746" s="151" t="n"/>
      <c r="BM746" s="151" t="n"/>
      <c r="BN746" s="151" t="n"/>
      <c r="BO746" s="151" t="n"/>
      <c r="BP746" s="151" t="n"/>
      <c r="BQ746" s="151" t="n"/>
      <c r="BR746" s="151" t="n"/>
      <c r="BS746" s="151" t="n"/>
      <c r="BT746" s="151" t="n"/>
    </row>
    <row r="747">
      <c r="BJ747" s="151" t="n">
        <v>676</v>
      </c>
      <c r="BK747" s="151" t="inlineStr">
        <is>
          <t>AUTOTRANSPORTE FORANEO DE PRODUCTOS AGROPECUARIOS SIN REFRIGERACION</t>
        </is>
      </c>
      <c r="BL747" s="151" t="n"/>
      <c r="BM747" s="151" t="n"/>
      <c r="BN747" s="151" t="n"/>
      <c r="BO747" s="151" t="n"/>
      <c r="BP747" s="151" t="n"/>
      <c r="BQ747" s="151" t="n"/>
      <c r="BR747" s="151" t="n"/>
      <c r="BS747" s="151" t="n"/>
      <c r="BT747" s="151" t="n"/>
    </row>
    <row r="748">
      <c r="BJ748" s="151" t="n">
        <v>677</v>
      </c>
      <c r="BK748" s="151" t="inlineStr">
        <is>
          <t>OTRO AUTOTRANSPORTE FORANEO DE CARGA GENERAL</t>
        </is>
      </c>
      <c r="BL748" s="151" t="n"/>
      <c r="BM748" s="151" t="n"/>
      <c r="BN748" s="151" t="n"/>
      <c r="BO748" s="151" t="n"/>
      <c r="BP748" s="151" t="n"/>
      <c r="BQ748" s="151" t="n"/>
      <c r="BR748" s="151" t="n"/>
      <c r="BS748" s="151" t="n"/>
      <c r="BT748" s="151" t="n"/>
    </row>
    <row r="749">
      <c r="BJ749" s="151" t="n">
        <v>678</v>
      </c>
      <c r="BK749" s="151" t="inlineStr">
        <is>
          <t>SERVICIO DE MUDANZAS</t>
        </is>
      </c>
      <c r="BL749" s="151" t="n"/>
      <c r="BM749" s="151" t="n"/>
      <c r="BN749" s="151" t="n"/>
      <c r="BO749" s="151" t="n"/>
      <c r="BP749" s="151" t="n"/>
      <c r="BQ749" s="151" t="n"/>
      <c r="BR749" s="151" t="n"/>
      <c r="BS749" s="151" t="n"/>
      <c r="BT749" s="151" t="n"/>
    </row>
    <row r="750">
      <c r="BJ750" s="151" t="n">
        <v>679</v>
      </c>
      <c r="BK750" s="151" t="inlineStr">
        <is>
          <t>AUTOTRANSPORTE LOCAL DE MATERIALES PARA LA CONSTRUCCION CUYO RADIO DE ACCION SE LIMITA AL AREA METROPOLITANA, MUNICIPIO O LOCALIDAD EN QUE OPERAN</t>
        </is>
      </c>
      <c r="BL750" s="151" t="n"/>
      <c r="BM750" s="151" t="n"/>
      <c r="BN750" s="151" t="n"/>
      <c r="BO750" s="151" t="n"/>
      <c r="BP750" s="151" t="n"/>
      <c r="BQ750" s="151" t="n"/>
      <c r="BR750" s="151" t="n"/>
      <c r="BS750" s="151" t="n"/>
      <c r="BT750" s="151" t="n"/>
    </row>
    <row r="751">
      <c r="BJ751" s="151" t="n">
        <v>680</v>
      </c>
      <c r="BK751" s="151" t="inlineStr">
        <is>
          <t>AUTOTRANSPORTE LOCAL DE MATERIALES Y RESIDUOS PELIGROSOS CUYO RADIO DE ACCION SE LIMITA AL AREA METROPOLITANA, MUNICIPIO O LOCALIDAD EN QUE OPERAN</t>
        </is>
      </c>
      <c r="BL751" s="151" t="n"/>
      <c r="BM751" s="151" t="n"/>
      <c r="BN751" s="151" t="n"/>
      <c r="BO751" s="151" t="n"/>
      <c r="BP751" s="151" t="n"/>
      <c r="BQ751" s="151" t="n"/>
      <c r="BR751" s="151" t="n"/>
      <c r="BS751" s="151" t="n"/>
      <c r="BT751" s="151" t="n"/>
    </row>
    <row r="752">
      <c r="BJ752" s="151" t="n">
        <v>681</v>
      </c>
      <c r="BK752" s="151" t="inlineStr">
        <is>
          <t>AUTOTRANSPORTE LOCAL CON REFRIGERACION CUYO RADIO DE ACCION SE LIMITA AL AREA METROPOLITANA, MUNICIPIO O LOCALIDAD EN QUE OPERAN</t>
        </is>
      </c>
      <c r="BL752" s="151" t="n"/>
      <c r="BM752" s="151" t="n"/>
      <c r="BN752" s="151" t="n"/>
      <c r="BO752" s="151" t="n"/>
      <c r="BP752" s="151" t="n"/>
      <c r="BQ752" s="151" t="n"/>
      <c r="BR752" s="151" t="n"/>
      <c r="BS752" s="151" t="n"/>
      <c r="BT752" s="151" t="n"/>
    </row>
    <row r="753">
      <c r="BJ753" s="151" t="n">
        <v>682</v>
      </c>
      <c r="BK753" s="151" t="inlineStr">
        <is>
          <t>AUTOTRANSPORTE LOCAL DE MADERA Y SUS DERIVADOS CUYO RADIO DE ACCION SE LIMITA AL AREA METROPOLITANA, MUNICIPIO O LOCALIDAD EN QUE OPERAN</t>
        </is>
      </c>
      <c r="BL753" s="151" t="n"/>
      <c r="BM753" s="151" t="n"/>
      <c r="BN753" s="151" t="n"/>
      <c r="BO753" s="151" t="n"/>
      <c r="BP753" s="151" t="n"/>
      <c r="BQ753" s="151" t="n"/>
      <c r="BR753" s="151" t="n"/>
      <c r="BS753" s="151" t="n"/>
      <c r="BT753" s="151" t="n"/>
    </row>
    <row r="754">
      <c r="BJ754" s="151" t="n">
        <v>683</v>
      </c>
      <c r="BK754" s="151" t="inlineStr">
        <is>
          <t>OTRO AUTOTRANSPORTE LOCAL DE CARGA ESPECIALIZADO</t>
        </is>
      </c>
      <c r="BL754" s="151" t="n"/>
      <c r="BM754" s="151" t="n"/>
      <c r="BN754" s="151" t="n"/>
      <c r="BO754" s="151" t="n"/>
      <c r="BP754" s="151" t="n"/>
      <c r="BQ754" s="151" t="n"/>
      <c r="BR754" s="151" t="n"/>
      <c r="BS754" s="151" t="n"/>
      <c r="BT754" s="151" t="n"/>
    </row>
    <row r="755">
      <c r="BJ755" s="151" t="n">
        <v>684</v>
      </c>
      <c r="BK755" s="151" t="inlineStr">
        <is>
          <t>AUTOTRANSPORTE FORANEO DE MATERIALES PARA LA CONSTRUCCION</t>
        </is>
      </c>
      <c r="BL755" s="151" t="n"/>
      <c r="BM755" s="151" t="n"/>
      <c r="BN755" s="151" t="n"/>
      <c r="BO755" s="151" t="n"/>
      <c r="BP755" s="151" t="n"/>
      <c r="BQ755" s="151" t="n"/>
      <c r="BR755" s="151" t="n"/>
      <c r="BS755" s="151" t="n"/>
      <c r="BT755" s="151" t="n"/>
    </row>
    <row r="756">
      <c r="BJ756" s="151" t="n">
        <v>685</v>
      </c>
      <c r="BK756" s="151" t="inlineStr">
        <is>
          <t>AUTOTRANSPORTE FORANEO DE MATERIALES Y RESIDUOS PELIGROSOS</t>
        </is>
      </c>
      <c r="BL756" s="151" t="n"/>
      <c r="BM756" s="151" t="n"/>
      <c r="BN756" s="151" t="n"/>
      <c r="BO756" s="151" t="n"/>
      <c r="BP756" s="151" t="n"/>
      <c r="BQ756" s="151" t="n"/>
      <c r="BR756" s="151" t="n"/>
      <c r="BS756" s="151" t="n"/>
      <c r="BT756" s="151" t="n"/>
    </row>
    <row r="757">
      <c r="BJ757" s="151" t="n">
        <v>686</v>
      </c>
      <c r="BK757" s="151" t="inlineStr">
        <is>
          <t>AUTOTRANSPORTE FORANEO CON REFRIGERACION</t>
        </is>
      </c>
      <c r="BL757" s="151" t="n"/>
      <c r="BM757" s="151" t="n"/>
      <c r="BN757" s="151" t="n"/>
      <c r="BO757" s="151" t="n"/>
      <c r="BP757" s="151" t="n"/>
      <c r="BQ757" s="151" t="n"/>
      <c r="BR757" s="151" t="n"/>
      <c r="BS757" s="151" t="n"/>
      <c r="BT757" s="151" t="n"/>
    </row>
    <row r="758">
      <c r="BJ758" s="151" t="n">
        <v>687</v>
      </c>
      <c r="BK758" s="151" t="inlineStr">
        <is>
          <t>AUTOTRANSPORTE FORANEO DE MADERA Y SUS DERIVADOS</t>
        </is>
      </c>
      <c r="BL758" s="151" t="n"/>
      <c r="BM758" s="151" t="n"/>
      <c r="BN758" s="151" t="n"/>
      <c r="BO758" s="151" t="n"/>
      <c r="BP758" s="151" t="n"/>
      <c r="BQ758" s="151" t="n"/>
      <c r="BR758" s="151" t="n"/>
      <c r="BS758" s="151" t="n"/>
      <c r="BT758" s="151" t="n"/>
    </row>
    <row r="759">
      <c r="BJ759" s="151" t="n">
        <v>688</v>
      </c>
      <c r="BK759" s="151" t="inlineStr">
        <is>
          <t>OTRO AUTOTRANSPORTE FORANEO DE CARGA ESPECIALIZADO</t>
        </is>
      </c>
      <c r="BL759" s="151" t="n"/>
      <c r="BM759" s="151" t="n"/>
      <c r="BN759" s="151" t="n"/>
      <c r="BO759" s="151" t="n"/>
      <c r="BP759" s="151" t="n"/>
      <c r="BQ759" s="151" t="n"/>
      <c r="BR759" s="151" t="n"/>
      <c r="BS759" s="151" t="n"/>
      <c r="BT759" s="151" t="n"/>
    </row>
    <row r="760">
      <c r="BJ760" s="151" t="n">
        <v>689</v>
      </c>
      <c r="BK760" s="151" t="inlineStr">
        <is>
          <t>TRANSPORTE DE PASAJEROS URBANO Y SUBURBANO EN AUTOBUSES</t>
        </is>
      </c>
      <c r="BL760" s="151" t="n"/>
      <c r="BM760" s="151" t="n"/>
      <c r="BN760" s="151" t="n"/>
      <c r="BO760" s="151" t="n"/>
      <c r="BP760" s="151" t="n"/>
      <c r="BQ760" s="151" t="n"/>
      <c r="BR760" s="151" t="n"/>
      <c r="BS760" s="151" t="n"/>
      <c r="BT760" s="151" t="n"/>
    </row>
    <row r="761">
      <c r="BJ761" s="151" t="n">
        <v>690</v>
      </c>
      <c r="BK761" s="151" t="inlineStr">
        <is>
          <t>TRANSPORTE DE PASAJEROS URBANO Y SUBURBANO EN AUTOMOVILES COLECTIVOS DE RUTA FIJA</t>
        </is>
      </c>
      <c r="BL761" s="151" t="n"/>
      <c r="BM761" s="151" t="n"/>
      <c r="BN761" s="151" t="n"/>
      <c r="BO761" s="151" t="n"/>
      <c r="BP761" s="151" t="n"/>
      <c r="BQ761" s="151" t="n"/>
      <c r="BR761" s="151" t="n"/>
      <c r="BS761" s="151" t="n"/>
      <c r="BT761" s="151" t="n"/>
    </row>
    <row r="762">
      <c r="BJ762" s="151" t="n">
        <v>691</v>
      </c>
      <c r="BK762" s="151" t="inlineStr">
        <is>
          <t>TRANSPORTE DE PASAJEROS URBANO Y SUBURBANO EN TROLEBUSES Y TRENES LIGEROS</t>
        </is>
      </c>
      <c r="BL762" s="151" t="n"/>
      <c r="BM762" s="151" t="n"/>
      <c r="BN762" s="151" t="n"/>
      <c r="BO762" s="151" t="n"/>
      <c r="BP762" s="151" t="n"/>
      <c r="BQ762" s="151" t="n"/>
      <c r="BR762" s="151" t="n"/>
      <c r="BS762" s="151" t="n"/>
      <c r="BT762" s="151" t="n"/>
    </row>
    <row r="763">
      <c r="BJ763" s="151" t="n">
        <v>692</v>
      </c>
      <c r="BK763" s="151" t="inlineStr">
        <is>
          <t>TRANSPORTE DE PASAJEROS URBANO Y SUBURBANO EN METRO</t>
        </is>
      </c>
      <c r="BL763" s="151" t="n"/>
      <c r="BM763" s="151" t="n"/>
      <c r="BN763" s="151" t="n"/>
      <c r="BO763" s="151" t="n"/>
      <c r="BP763" s="151" t="n"/>
      <c r="BQ763" s="151" t="n"/>
      <c r="BR763" s="151" t="n"/>
      <c r="BS763" s="151" t="n"/>
      <c r="BT763" s="151" t="n"/>
    </row>
    <row r="764">
      <c r="BJ764" s="151" t="n">
        <v>693</v>
      </c>
      <c r="BK764" s="151" t="inlineStr">
        <is>
          <t>TRANSPORTE DE PASAJEROS INTERURBANO Y RURAL</t>
        </is>
      </c>
      <c r="BL764" s="151" t="n"/>
      <c r="BM764" s="151" t="n"/>
      <c r="BN764" s="151" t="n"/>
      <c r="BO764" s="151" t="n"/>
      <c r="BP764" s="151" t="n"/>
      <c r="BQ764" s="151" t="n"/>
      <c r="BR764" s="151" t="n"/>
      <c r="BS764" s="151" t="n"/>
      <c r="BT764" s="151" t="n"/>
    </row>
    <row r="765">
      <c r="BJ765" s="151" t="n">
        <v>694</v>
      </c>
      <c r="BK765" s="151" t="inlineStr">
        <is>
          <t>TRANSPORTE DE PASAJEROS EN TAXIS DE SITIO</t>
        </is>
      </c>
      <c r="BL765" s="151" t="n"/>
      <c r="BM765" s="151" t="n"/>
      <c r="BN765" s="151" t="n"/>
      <c r="BO765" s="151" t="n"/>
      <c r="BP765" s="151" t="n"/>
      <c r="BQ765" s="151" t="n"/>
      <c r="BR765" s="151" t="n"/>
      <c r="BS765" s="151" t="n"/>
      <c r="BT765" s="151" t="n"/>
    </row>
    <row r="766">
      <c r="BJ766" s="151" t="n">
        <v>695</v>
      </c>
      <c r="BK766" s="151" t="inlineStr">
        <is>
          <t>TRANSPORTE DE PASAJEROS EN TAXIS DE RULETEO</t>
        </is>
      </c>
      <c r="BL766" s="151" t="n"/>
      <c r="BM766" s="151" t="n"/>
      <c r="BN766" s="151" t="n"/>
      <c r="BO766" s="151" t="n"/>
      <c r="BP766" s="151" t="n"/>
      <c r="BQ766" s="151" t="n"/>
      <c r="BR766" s="151" t="n"/>
      <c r="BS766" s="151" t="n"/>
      <c r="BT766" s="151" t="n"/>
    </row>
    <row r="767">
      <c r="BJ767" s="151" t="n">
        <v>696</v>
      </c>
      <c r="BK767" s="151" t="inlineStr">
        <is>
          <t>SERVICIO DE LIMUSINAS</t>
        </is>
      </c>
      <c r="BL767" s="151" t="n"/>
      <c r="BM767" s="151" t="n"/>
      <c r="BN767" s="151" t="n"/>
      <c r="BO767" s="151" t="n"/>
      <c r="BP767" s="151" t="n"/>
      <c r="BQ767" s="151" t="n"/>
      <c r="BR767" s="151" t="n"/>
      <c r="BS767" s="151" t="n"/>
      <c r="BT767" s="151" t="n"/>
    </row>
    <row r="768">
      <c r="BJ768" s="151" t="n">
        <v>697</v>
      </c>
      <c r="BK768" s="151" t="inlineStr">
        <is>
          <t>TRANSPORTE ESCOLAR Y DE PERSONAL</t>
        </is>
      </c>
      <c r="BL768" s="151" t="n"/>
      <c r="BM768" s="151" t="n"/>
      <c r="BN768" s="151" t="n"/>
      <c r="BO768" s="151" t="n"/>
      <c r="BP768" s="151" t="n"/>
      <c r="BQ768" s="151" t="n"/>
      <c r="BR768" s="151" t="n"/>
      <c r="BS768" s="151" t="n"/>
      <c r="BT768" s="151" t="n"/>
    </row>
    <row r="769">
      <c r="BJ769" s="151" t="n">
        <v>698</v>
      </c>
      <c r="BK769" s="151" t="inlineStr">
        <is>
          <t>ALQUILER DE AUTOBUSES CON CHOFER</t>
        </is>
      </c>
      <c r="BL769" s="151" t="n"/>
      <c r="BM769" s="151" t="n"/>
      <c r="BN769" s="151" t="n"/>
      <c r="BO769" s="151" t="n"/>
      <c r="BP769" s="151" t="n"/>
      <c r="BQ769" s="151" t="n"/>
      <c r="BR769" s="151" t="n"/>
      <c r="BS769" s="151" t="n"/>
      <c r="BT769" s="151" t="n"/>
    </row>
    <row r="770">
      <c r="BJ770" s="151" t="n">
        <v>699</v>
      </c>
      <c r="BK770" s="151" t="inlineStr">
        <is>
          <t>ALQUILER DE AUTOMOVILES CON CHOFER</t>
        </is>
      </c>
      <c r="BL770" s="151" t="n"/>
      <c r="BM770" s="151" t="n"/>
      <c r="BN770" s="151" t="n"/>
      <c r="BO770" s="151" t="n"/>
      <c r="BP770" s="151" t="n"/>
      <c r="BQ770" s="151" t="n"/>
      <c r="BR770" s="151" t="n"/>
      <c r="BS770" s="151" t="n"/>
      <c r="BT770" s="151" t="n"/>
    </row>
    <row r="771">
      <c r="BJ771" s="151" t="n">
        <v>700</v>
      </c>
      <c r="BK771" s="151" t="inlineStr">
        <is>
          <t>OTRO TRANSPORTE TERRESTRE DE PASAJEROS</t>
        </is>
      </c>
      <c r="BL771" s="151" t="n"/>
      <c r="BM771" s="151" t="n"/>
      <c r="BN771" s="151" t="n"/>
      <c r="BO771" s="151" t="n"/>
      <c r="BP771" s="151" t="n"/>
      <c r="BQ771" s="151" t="n"/>
      <c r="BR771" s="151" t="n"/>
      <c r="BS771" s="151" t="n"/>
      <c r="BT771" s="151" t="n"/>
    </row>
    <row r="772">
      <c r="BJ772" s="151" t="n">
        <v>701</v>
      </c>
      <c r="BK772" s="151" t="inlineStr">
        <is>
          <t>TRANSPORTE DE PETROLEO CRUDO POR DUCTOS</t>
        </is>
      </c>
      <c r="BL772" s="151" t="n"/>
      <c r="BM772" s="151" t="n"/>
      <c r="BN772" s="151" t="n"/>
      <c r="BO772" s="151" t="n"/>
      <c r="BP772" s="151" t="n"/>
      <c r="BQ772" s="151" t="n"/>
      <c r="BR772" s="151" t="n"/>
      <c r="BS772" s="151" t="n"/>
      <c r="BT772" s="151" t="n"/>
    </row>
    <row r="773">
      <c r="BJ773" s="151" t="n">
        <v>702</v>
      </c>
      <c r="BK773" s="151" t="inlineStr">
        <is>
          <t>TRANSPORTE DE GAS NATURAL POR DUCTOS</t>
        </is>
      </c>
      <c r="BL773" s="151" t="n"/>
      <c r="BM773" s="151" t="n"/>
      <c r="BN773" s="151" t="n"/>
      <c r="BO773" s="151" t="n"/>
      <c r="BP773" s="151" t="n"/>
      <c r="BQ773" s="151" t="n"/>
      <c r="BR773" s="151" t="n"/>
      <c r="BS773" s="151" t="n"/>
      <c r="BT773" s="151" t="n"/>
    </row>
    <row r="774">
      <c r="BJ774" s="151" t="n">
        <v>703</v>
      </c>
      <c r="BK774" s="151" t="inlineStr">
        <is>
          <t>TRANSPORTE POR DUCTOS DE PRODUCTOS REFINADOS DEL PETROLEO</t>
        </is>
      </c>
      <c r="BL774" s="151" t="n"/>
      <c r="BM774" s="151" t="n"/>
      <c r="BN774" s="151" t="n"/>
      <c r="BO774" s="151" t="n"/>
      <c r="BP774" s="151" t="n"/>
      <c r="BQ774" s="151" t="n"/>
      <c r="BR774" s="151" t="n"/>
      <c r="BS774" s="151" t="n"/>
      <c r="BT774" s="151" t="n"/>
    </row>
    <row r="775">
      <c r="BJ775" s="151" t="n">
        <v>704</v>
      </c>
      <c r="BK775" s="151" t="inlineStr">
        <is>
          <t>TRANSPORTE POR DUCTOS DE OTROS PRODUCTOS, EXCEPTO DE PRODUCTOS REFINADOS DEL PETROLEO</t>
        </is>
      </c>
      <c r="BL775" s="151" t="n"/>
      <c r="BM775" s="151" t="n"/>
      <c r="BN775" s="151" t="n"/>
      <c r="BO775" s="151" t="n"/>
      <c r="BP775" s="151" t="n"/>
      <c r="BQ775" s="151" t="n"/>
      <c r="BR775" s="151" t="n"/>
      <c r="BS775" s="151" t="n"/>
      <c r="BT775" s="151" t="n"/>
    </row>
    <row r="776">
      <c r="BJ776" s="151" t="n">
        <v>705</v>
      </c>
      <c r="BK776" s="151" t="inlineStr">
        <is>
          <t>TRANSPORTE TURISTICO POR TIERRA</t>
        </is>
      </c>
      <c r="BL776" s="151" t="n"/>
      <c r="BM776" s="151" t="n"/>
      <c r="BN776" s="151" t="n"/>
      <c r="BO776" s="151" t="n"/>
      <c r="BP776" s="151" t="n"/>
      <c r="BQ776" s="151" t="n"/>
      <c r="BR776" s="151" t="n"/>
      <c r="BS776" s="151" t="n"/>
      <c r="BT776" s="151" t="n"/>
    </row>
    <row r="777">
      <c r="BJ777" s="151" t="n">
        <v>706</v>
      </c>
      <c r="BK777" s="151" t="inlineStr">
        <is>
          <t>TRANSPORTE TURISTICO POR AGUA</t>
        </is>
      </c>
      <c r="BL777" s="151" t="n"/>
      <c r="BM777" s="151" t="n"/>
      <c r="BN777" s="151" t="n"/>
      <c r="BO777" s="151" t="n"/>
      <c r="BP777" s="151" t="n"/>
      <c r="BQ777" s="151" t="n"/>
      <c r="BR777" s="151" t="n"/>
      <c r="BS777" s="151" t="n"/>
      <c r="BT777" s="151" t="n"/>
    </row>
    <row r="778">
      <c r="BJ778" s="151" t="n">
        <v>707</v>
      </c>
      <c r="BK778" s="151" t="inlineStr">
        <is>
          <t>OTRO TRANSPORTE TURISTICO</t>
        </is>
      </c>
      <c r="BL778" s="151" t="n"/>
      <c r="BM778" s="151" t="n"/>
      <c r="BN778" s="151" t="n"/>
      <c r="BO778" s="151" t="n"/>
      <c r="BP778" s="151" t="n"/>
      <c r="BQ778" s="151" t="n"/>
      <c r="BR778" s="151" t="n"/>
      <c r="BS778" s="151" t="n"/>
      <c r="BT778" s="151" t="n"/>
    </row>
    <row r="779">
      <c r="BJ779" s="151" t="n">
        <v>708</v>
      </c>
      <c r="BK779" s="151" t="inlineStr">
        <is>
          <t>SERVICIOS A LA NAVEGACION AEREA</t>
        </is>
      </c>
      <c r="BL779" s="151" t="n"/>
      <c r="BM779" s="151" t="n"/>
      <c r="BN779" s="151" t="n"/>
      <c r="BO779" s="151" t="n"/>
      <c r="BP779" s="151" t="n"/>
      <c r="BQ779" s="151" t="n"/>
      <c r="BR779" s="151" t="n"/>
      <c r="BS779" s="151" t="n"/>
      <c r="BT779" s="151" t="n"/>
    </row>
    <row r="780">
      <c r="BJ780" s="151" t="n">
        <v>709</v>
      </c>
      <c r="BK780" s="151" t="inlineStr">
        <is>
          <t>ADMINISTRACION DE AEROPUERTOS Y HELIPUERTOS</t>
        </is>
      </c>
      <c r="BL780" s="151" t="n"/>
      <c r="BM780" s="151" t="n"/>
      <c r="BN780" s="151" t="n"/>
      <c r="BO780" s="151" t="n"/>
      <c r="BP780" s="151" t="n"/>
      <c r="BQ780" s="151" t="n"/>
      <c r="BR780" s="151" t="n"/>
      <c r="BS780" s="151" t="n"/>
      <c r="BT780" s="151" t="n"/>
    </row>
    <row r="781">
      <c r="BJ781" s="151" t="n">
        <v>710</v>
      </c>
      <c r="BK781" s="151" t="inlineStr">
        <is>
          <t>OTROS SERVICIOS RELACIONADOS CON EL TRANSPORTE AEREO</t>
        </is>
      </c>
      <c r="BL781" s="151" t="n"/>
      <c r="BM781" s="151" t="n"/>
      <c r="BN781" s="151" t="n"/>
      <c r="BO781" s="151" t="n"/>
      <c r="BP781" s="151" t="n"/>
      <c r="BQ781" s="151" t="n"/>
      <c r="BR781" s="151" t="n"/>
      <c r="BS781" s="151" t="n"/>
      <c r="BT781" s="151" t="n"/>
    </row>
    <row r="782">
      <c r="BJ782" s="151" t="n">
        <v>711</v>
      </c>
      <c r="BK782" s="151" t="inlineStr">
        <is>
          <t>SERVICIOS RELACIONADOS CON EL TRANSPORTE POR FERROCARRIL</t>
        </is>
      </c>
      <c r="BL782" s="151" t="n"/>
      <c r="BM782" s="151" t="n"/>
      <c r="BN782" s="151" t="n"/>
      <c r="BO782" s="151" t="n"/>
      <c r="BP782" s="151" t="n"/>
      <c r="BQ782" s="151" t="n"/>
      <c r="BR782" s="151" t="n"/>
      <c r="BS782" s="151" t="n"/>
      <c r="BT782" s="151" t="n"/>
    </row>
    <row r="783">
      <c r="BJ783" s="151" t="n">
        <v>712</v>
      </c>
      <c r="BK783" s="151" t="inlineStr">
        <is>
          <t>ADMINISTRACION DE PUERTOS Y MUELLES</t>
        </is>
      </c>
      <c r="BL783" s="151" t="n"/>
      <c r="BM783" s="151" t="n"/>
      <c r="BN783" s="151" t="n"/>
      <c r="BO783" s="151" t="n"/>
      <c r="BP783" s="151" t="n"/>
      <c r="BQ783" s="151" t="n"/>
      <c r="BR783" s="151" t="n"/>
      <c r="BS783" s="151" t="n"/>
      <c r="BT783" s="151" t="n"/>
    </row>
    <row r="784">
      <c r="BJ784" s="151" t="n">
        <v>713</v>
      </c>
      <c r="BK784" s="151" t="inlineStr">
        <is>
          <t>SERVICIOS DE CARGA Y DESCARGA PARA EL TRANSPORTE POR AGUA</t>
        </is>
      </c>
      <c r="BL784" s="151" t="n"/>
      <c r="BM784" s="151" t="n"/>
      <c r="BN784" s="151" t="n"/>
      <c r="BO784" s="151" t="n"/>
      <c r="BP784" s="151" t="n"/>
      <c r="BQ784" s="151" t="n"/>
      <c r="BR784" s="151" t="n"/>
      <c r="BS784" s="151" t="n"/>
      <c r="BT784" s="151" t="n"/>
    </row>
    <row r="785">
      <c r="BJ785" s="151" t="n">
        <v>714</v>
      </c>
      <c r="BK785" s="151" t="inlineStr">
        <is>
          <t>SERVICIOS PARA LA NAVEGACION POR AGUA</t>
        </is>
      </c>
      <c r="BL785" s="151" t="n"/>
      <c r="BM785" s="151" t="n"/>
      <c r="BN785" s="151" t="n"/>
      <c r="BO785" s="151" t="n"/>
      <c r="BP785" s="151" t="n"/>
      <c r="BQ785" s="151" t="n"/>
      <c r="BR785" s="151" t="n"/>
      <c r="BS785" s="151" t="n"/>
      <c r="BT785" s="151" t="n"/>
    </row>
    <row r="786">
      <c r="BJ786" s="151" t="n">
        <v>715</v>
      </c>
      <c r="BK786" s="151" t="inlineStr">
        <is>
          <t>OTROS SERVICIOS RELACIONADOS CON EL TRANSPORTE POR AGUA</t>
        </is>
      </c>
      <c r="BL786" s="151" t="n"/>
      <c r="BM786" s="151" t="n"/>
      <c r="BN786" s="151" t="n"/>
      <c r="BO786" s="151" t="n"/>
      <c r="BP786" s="151" t="n"/>
      <c r="BQ786" s="151" t="n"/>
      <c r="BR786" s="151" t="n"/>
      <c r="BS786" s="151" t="n"/>
      <c r="BT786" s="151" t="n"/>
    </row>
    <row r="787">
      <c r="BJ787" s="151" t="n">
        <v>716</v>
      </c>
      <c r="BK787" s="151" t="inlineStr">
        <is>
          <t>REMOLQUE DE VEHICULOS DE MOTOR</t>
        </is>
      </c>
      <c r="BL787" s="151" t="n"/>
      <c r="BM787" s="151" t="n"/>
      <c r="BN787" s="151" t="n"/>
      <c r="BO787" s="151" t="n"/>
      <c r="BP787" s="151" t="n"/>
      <c r="BQ787" s="151" t="n"/>
      <c r="BR787" s="151" t="n"/>
      <c r="BS787" s="151" t="n"/>
      <c r="BT787" s="151" t="n"/>
    </row>
    <row r="788">
      <c r="BJ788" s="151" t="n">
        <v>717</v>
      </c>
      <c r="BK788" s="151" t="inlineStr">
        <is>
          <t>SERVICIOS DE ADMINISTRACION DE CENTRALES CAMIONERAS</t>
        </is>
      </c>
      <c r="BL788" s="151" t="n"/>
      <c r="BM788" s="151" t="n"/>
      <c r="BN788" s="151" t="n"/>
      <c r="BO788" s="151" t="n"/>
      <c r="BP788" s="151" t="n"/>
      <c r="BQ788" s="151" t="n"/>
      <c r="BR788" s="151" t="n"/>
      <c r="BS788" s="151" t="n"/>
      <c r="BT788" s="151" t="n"/>
    </row>
    <row r="789">
      <c r="BJ789" s="151" t="n">
        <v>718</v>
      </c>
      <c r="BK789" s="151" t="inlineStr">
        <is>
          <t>SERVICIOS DE ADMINISTRACION DE CARRETERAS, PUENTES Y SERVICIOS AUXILIARES</t>
        </is>
      </c>
      <c r="BL789" s="151" t="n"/>
      <c r="BM789" s="151" t="n"/>
      <c r="BN789" s="151" t="n"/>
      <c r="BO789" s="151" t="n"/>
      <c r="BP789" s="151" t="n"/>
      <c r="BQ789" s="151" t="n"/>
      <c r="BR789" s="151" t="n"/>
      <c r="BS789" s="151" t="n"/>
      <c r="BT789" s="151" t="n"/>
    </row>
    <row r="790">
      <c r="BJ790" s="151" t="n">
        <v>719</v>
      </c>
      <c r="BK790" s="151" t="inlineStr">
        <is>
          <t>SERVICIOS DE BASCULA PARA EL TRANSPORTE</t>
        </is>
      </c>
      <c r="BL790" s="151" t="n"/>
      <c r="BM790" s="151" t="n"/>
      <c r="BN790" s="151" t="n"/>
      <c r="BO790" s="151" t="n"/>
      <c r="BP790" s="151" t="n"/>
      <c r="BQ790" s="151" t="n"/>
      <c r="BR790" s="151" t="n"/>
      <c r="BS790" s="151" t="n"/>
      <c r="BT790" s="151" t="n"/>
    </row>
    <row r="791">
      <c r="BJ791" s="151" t="n">
        <v>720</v>
      </c>
      <c r="BK791" s="151" t="inlineStr">
        <is>
          <t>SERVICIOS DE AGENCIAS ADUANALES</t>
        </is>
      </c>
      <c r="BL791" s="151" t="n"/>
      <c r="BM791" s="151" t="n"/>
      <c r="BN791" s="151" t="n"/>
      <c r="BO791" s="151" t="n"/>
      <c r="BP791" s="151" t="n"/>
      <c r="BQ791" s="151" t="n"/>
      <c r="BR791" s="151" t="n"/>
      <c r="BS791" s="151" t="n"/>
      <c r="BT791" s="151" t="n"/>
    </row>
    <row r="792">
      <c r="BJ792" s="151" t="n">
        <v>721</v>
      </c>
      <c r="BK792" s="151" t="inlineStr">
        <is>
          <t>OTROS SERVICIOS DE INTERMEDIACION PARA EL TRANSPORTE DE CARGA</t>
        </is>
      </c>
      <c r="BL792" s="151" t="n"/>
      <c r="BM792" s="151" t="n"/>
      <c r="BN792" s="151" t="n"/>
      <c r="BO792" s="151" t="n"/>
      <c r="BP792" s="151" t="n"/>
      <c r="BQ792" s="151" t="n"/>
      <c r="BR792" s="151" t="n"/>
      <c r="BS792" s="151" t="n"/>
      <c r="BT792" s="151" t="n"/>
    </row>
    <row r="793">
      <c r="BJ793" s="151" t="n">
        <v>722</v>
      </c>
      <c r="BK793" s="151" t="inlineStr">
        <is>
          <t>OTROS SERVICIOS RELACIONADOS CON EL TRANSPORTE</t>
        </is>
      </c>
      <c r="BL793" s="151" t="n"/>
      <c r="BM793" s="151" t="n"/>
      <c r="BN793" s="151" t="n"/>
      <c r="BO793" s="151" t="n"/>
      <c r="BP793" s="151" t="n"/>
      <c r="BQ793" s="151" t="n"/>
      <c r="BR793" s="151" t="n"/>
      <c r="BS793" s="151" t="n"/>
      <c r="BT793" s="151" t="n"/>
    </row>
    <row r="794">
      <c r="BJ794" s="151" t="n">
        <v>723</v>
      </c>
      <c r="BK794" s="151" t="inlineStr">
        <is>
          <t>SERVICIOS POSTALES</t>
        </is>
      </c>
      <c r="BL794" s="151" t="n"/>
      <c r="BM794" s="151" t="n"/>
      <c r="BN794" s="151" t="n"/>
      <c r="BO794" s="151" t="n"/>
      <c r="BP794" s="151" t="n"/>
      <c r="BQ794" s="151" t="n"/>
      <c r="BR794" s="151" t="n"/>
      <c r="BS794" s="151" t="n"/>
      <c r="BT794" s="151" t="n"/>
    </row>
    <row r="795">
      <c r="BJ795" s="151" t="n">
        <v>724</v>
      </c>
      <c r="BK795" s="151" t="inlineStr">
        <is>
          <t>SERVICIOS DE MENSAJERIA Y PAQUETERIA FORANEA</t>
        </is>
      </c>
      <c r="BL795" s="151" t="n"/>
      <c r="BM795" s="151" t="n"/>
      <c r="BN795" s="151" t="n"/>
      <c r="BO795" s="151" t="n"/>
      <c r="BP795" s="151" t="n"/>
      <c r="BQ795" s="151" t="n"/>
      <c r="BR795" s="151" t="n"/>
      <c r="BS795" s="151" t="n"/>
      <c r="BT795" s="151" t="n"/>
    </row>
    <row r="796">
      <c r="BJ796" s="151" t="n">
        <v>725</v>
      </c>
      <c r="BK796" s="151" t="inlineStr">
        <is>
          <t>SERVICIOS DE MENSAJERIA Y PAQUETERIA LOCAL</t>
        </is>
      </c>
      <c r="BL796" s="151" t="n"/>
      <c r="BM796" s="151" t="n"/>
      <c r="BN796" s="151" t="n"/>
      <c r="BO796" s="151" t="n"/>
      <c r="BP796" s="151" t="n"/>
      <c r="BQ796" s="151" t="n"/>
      <c r="BR796" s="151" t="n"/>
      <c r="BS796" s="151" t="n"/>
      <c r="BT796" s="151" t="n"/>
    </row>
    <row r="797">
      <c r="BJ797" s="151" t="n">
        <v>726</v>
      </c>
      <c r="BK797" s="151" t="inlineStr">
        <is>
          <t>ALMACENES GENERALES DE DEPOSITO</t>
        </is>
      </c>
      <c r="BL797" s="151" t="n"/>
      <c r="BM797" s="151" t="n"/>
      <c r="BN797" s="151" t="n"/>
      <c r="BO797" s="151" t="n"/>
      <c r="BP797" s="151" t="n"/>
      <c r="BQ797" s="151" t="n"/>
      <c r="BR797" s="151" t="n"/>
      <c r="BS797" s="151" t="n"/>
      <c r="BT797" s="151" t="n"/>
    </row>
    <row r="798">
      <c r="BJ798" s="151" t="n">
        <v>727</v>
      </c>
      <c r="BK798" s="151" t="inlineStr">
        <is>
          <t>OTROS SERVICIOS DE ALMACENAMIENTO GENERAL SIN INSTALACIONES ESPECIALIZADAS</t>
        </is>
      </c>
      <c r="BL798" s="151" t="n"/>
      <c r="BM798" s="151" t="n"/>
      <c r="BN798" s="151" t="n"/>
      <c r="BO798" s="151" t="n"/>
      <c r="BP798" s="151" t="n"/>
      <c r="BQ798" s="151" t="n"/>
      <c r="BR798" s="151" t="n"/>
      <c r="BS798" s="151" t="n"/>
      <c r="BT798" s="151" t="n"/>
    </row>
    <row r="799">
      <c r="BJ799" s="151" t="n">
        <v>728</v>
      </c>
      <c r="BK799" s="151" t="inlineStr">
        <is>
          <t>ALMACENAMIENTO CON REFRIGERACION</t>
        </is>
      </c>
      <c r="BL799" s="151" t="n"/>
      <c r="BM799" s="151" t="n"/>
      <c r="BN799" s="151" t="n"/>
      <c r="BO799" s="151" t="n"/>
      <c r="BP799" s="151" t="n"/>
      <c r="BQ799" s="151" t="n"/>
      <c r="BR799" s="151" t="n"/>
      <c r="BS799" s="151" t="n"/>
      <c r="BT799" s="151" t="n"/>
    </row>
    <row r="800">
      <c r="BJ800" s="151" t="n">
        <v>729</v>
      </c>
      <c r="BK800" s="151" t="inlineStr">
        <is>
          <t>ALMACENAMIENTO DE PRODUCTOS AGROPECUARIOS QUE NO REQUIEREN REFRIGERACION</t>
        </is>
      </c>
      <c r="BL800" s="151" t="n"/>
      <c r="BM800" s="151" t="n"/>
      <c r="BN800" s="151" t="n"/>
      <c r="BO800" s="151" t="n"/>
      <c r="BP800" s="151" t="n"/>
      <c r="BQ800" s="151" t="n"/>
      <c r="BR800" s="151" t="n"/>
      <c r="BS800" s="151" t="n"/>
      <c r="BT800" s="151" t="n"/>
    </row>
    <row r="801">
      <c r="BJ801" s="151" t="n">
        <v>730</v>
      </c>
      <c r="BK801" s="151" t="inlineStr">
        <is>
          <t>OTROS SERVICIOS DE ALMACENAMIENTO CON INSTALACIONES ESPECIALIZADAS</t>
        </is>
      </c>
      <c r="BL801" s="151" t="n"/>
      <c r="BM801" s="151" t="n"/>
      <c r="BN801" s="151" t="n"/>
      <c r="BO801" s="151" t="n"/>
      <c r="BP801" s="151" t="n"/>
      <c r="BQ801" s="151" t="n"/>
      <c r="BR801" s="151" t="n"/>
      <c r="BS801" s="151" t="n"/>
      <c r="BT801" s="151" t="n"/>
    </row>
    <row r="802">
      <c r="BJ802" s="151" t="n">
        <v>731</v>
      </c>
      <c r="BK802" s="151" t="inlineStr">
        <is>
          <t>EDICION DE PERIODICOS NO INTEGRADA CON LA IMPRESION, EXCEPTO A TRAVES DE INTERNET</t>
        </is>
      </c>
      <c r="BL802" s="151" t="n"/>
      <c r="BM802" s="151" t="n"/>
      <c r="BN802" s="151" t="n"/>
      <c r="BO802" s="151" t="n"/>
      <c r="BP802" s="151" t="n"/>
      <c r="BQ802" s="151" t="n"/>
      <c r="BR802" s="151" t="n"/>
      <c r="BS802" s="151" t="n"/>
      <c r="BT802" s="151" t="n"/>
    </row>
    <row r="803">
      <c r="BJ803" s="151" t="n">
        <v>732</v>
      </c>
      <c r="BK803" s="151" t="inlineStr">
        <is>
          <t>EDICION DE PERIODICOS INTEGRADA CON LA IMPRESION</t>
        </is>
      </c>
      <c r="BL803" s="151" t="n"/>
      <c r="BM803" s="151" t="n"/>
      <c r="BN803" s="151" t="n"/>
      <c r="BO803" s="151" t="n"/>
      <c r="BP803" s="151" t="n"/>
      <c r="BQ803" s="151" t="n"/>
      <c r="BR803" s="151" t="n"/>
      <c r="BS803" s="151" t="n"/>
      <c r="BT803" s="151" t="n"/>
    </row>
    <row r="804">
      <c r="BJ804" s="151" t="n">
        <v>733</v>
      </c>
      <c r="BK804" s="151" t="inlineStr">
        <is>
          <t>EDICION DE REVISTAS Y OTRAS PUBLICACIONES PERIODICAS NO INTEGRADA CON LA IMPRESION, EXCEPTO A TRAVES DE INTERNET</t>
        </is>
      </c>
      <c r="BL804" s="151" t="n"/>
      <c r="BM804" s="151" t="n"/>
      <c r="BN804" s="151" t="n"/>
      <c r="BO804" s="151" t="n"/>
      <c r="BP804" s="151" t="n"/>
      <c r="BQ804" s="151" t="n"/>
      <c r="BR804" s="151" t="n"/>
      <c r="BS804" s="151" t="n"/>
      <c r="BT804" s="151" t="n"/>
    </row>
    <row r="805">
      <c r="BJ805" s="151" t="n">
        <v>734</v>
      </c>
      <c r="BK805" s="151" t="inlineStr">
        <is>
          <t>EDICION DE REVISTAS Y OTRAS PUBLICACIONES PERIODICAS INTEGRADA CON LA IMPRESION</t>
        </is>
      </c>
      <c r="BL805" s="151" t="n"/>
      <c r="BM805" s="151" t="n"/>
      <c r="BN805" s="151" t="n"/>
      <c r="BO805" s="151" t="n"/>
      <c r="BP805" s="151" t="n"/>
      <c r="BQ805" s="151" t="n"/>
      <c r="BR805" s="151" t="n"/>
      <c r="BS805" s="151" t="n"/>
      <c r="BT805" s="151" t="n"/>
    </row>
    <row r="806">
      <c r="BJ806" s="151" t="n">
        <v>735</v>
      </c>
      <c r="BK806" s="151" t="inlineStr">
        <is>
          <t>EDICION DE LIBROS NO INTEGRADA CON LA IMPRESION, EXCEPTO A TRAVES DE INTERNET</t>
        </is>
      </c>
      <c r="BL806" s="151" t="n"/>
      <c r="BM806" s="151" t="n"/>
      <c r="BN806" s="151" t="n"/>
      <c r="BO806" s="151" t="n"/>
      <c r="BP806" s="151" t="n"/>
      <c r="BQ806" s="151" t="n"/>
      <c r="BR806" s="151" t="n"/>
      <c r="BS806" s="151" t="n"/>
      <c r="BT806" s="151" t="n"/>
    </row>
    <row r="807">
      <c r="BJ807" s="151" t="n">
        <v>736</v>
      </c>
      <c r="BK807" s="151" t="inlineStr">
        <is>
          <t>EDICION DE LIBROS INTEGRADA CON LA IMPRESION</t>
        </is>
      </c>
      <c r="BL807" s="151" t="n"/>
      <c r="BM807" s="151" t="n"/>
      <c r="BN807" s="151" t="n"/>
      <c r="BO807" s="151" t="n"/>
      <c r="BP807" s="151" t="n"/>
      <c r="BQ807" s="151" t="n"/>
      <c r="BR807" s="151" t="n"/>
      <c r="BS807" s="151" t="n"/>
      <c r="BT807" s="151" t="n"/>
    </row>
    <row r="808">
      <c r="BJ808" s="151" t="n">
        <v>737</v>
      </c>
      <c r="BK808" s="151" t="inlineStr">
        <is>
          <t>EDICION DE DIRECTORIOS Y DE LISTAS DE CORREO NO INTEGRADA CON LA IMPRESION, EXCEPTO A TRAVES DE INTERNET</t>
        </is>
      </c>
      <c r="BL808" s="151" t="n"/>
      <c r="BM808" s="151" t="n"/>
      <c r="BN808" s="151" t="n"/>
      <c r="BO808" s="151" t="n"/>
      <c r="BP808" s="151" t="n"/>
      <c r="BQ808" s="151" t="n"/>
      <c r="BR808" s="151" t="n"/>
      <c r="BS808" s="151" t="n"/>
      <c r="BT808" s="151" t="n"/>
    </row>
    <row r="809">
      <c r="BJ809" s="151" t="n">
        <v>738</v>
      </c>
      <c r="BK809" s="151" t="inlineStr">
        <is>
          <t>EDICION DE DIRECTORIOS Y DE LISTAS DE CORREO INTEGRADA CON LA IMPRESION</t>
        </is>
      </c>
      <c r="BL809" s="151" t="n"/>
      <c r="BM809" s="151" t="n"/>
      <c r="BN809" s="151" t="n"/>
      <c r="BO809" s="151" t="n"/>
      <c r="BP809" s="151" t="n"/>
      <c r="BQ809" s="151" t="n"/>
      <c r="BR809" s="151" t="n"/>
      <c r="BS809" s="151" t="n"/>
      <c r="BT809" s="151" t="n"/>
    </row>
    <row r="810">
      <c r="BJ810" s="151" t="n">
        <v>739</v>
      </c>
      <c r="BK810" s="151" t="inlineStr">
        <is>
          <t>EDICION DE OTROS MATERIALES NO INTEGRADA CON LA IMPRESION, EXCEPTO A TRAVES DE INTERNET</t>
        </is>
      </c>
      <c r="BL810" s="151" t="n"/>
      <c r="BM810" s="151" t="n"/>
      <c r="BN810" s="151" t="n"/>
      <c r="BO810" s="151" t="n"/>
      <c r="BP810" s="151" t="n"/>
      <c r="BQ810" s="151" t="n"/>
      <c r="BR810" s="151" t="n"/>
      <c r="BS810" s="151" t="n"/>
      <c r="BT810" s="151" t="n"/>
    </row>
    <row r="811">
      <c r="BJ811" s="151" t="n">
        <v>740</v>
      </c>
      <c r="BK811" s="151" t="inlineStr">
        <is>
          <t>EDICION DE OTROS MATERIALES INTEGRADA CON LA IMPRESION</t>
        </is>
      </c>
      <c r="BL811" s="151" t="n"/>
      <c r="BM811" s="151" t="n"/>
      <c r="BN811" s="151" t="n"/>
      <c r="BO811" s="151" t="n"/>
      <c r="BP811" s="151" t="n"/>
      <c r="BQ811" s="151" t="n"/>
      <c r="BR811" s="151" t="n"/>
      <c r="BS811" s="151" t="n"/>
      <c r="BT811" s="151" t="n"/>
    </row>
    <row r="812">
      <c r="BJ812" s="151" t="n">
        <v>741</v>
      </c>
      <c r="BK812" s="151" t="inlineStr">
        <is>
          <t>EDICION DE SOFTWARE, EXCEPTO A TRAVES DE INTERNET</t>
        </is>
      </c>
      <c r="BL812" s="151" t="n"/>
      <c r="BM812" s="151" t="n"/>
      <c r="BN812" s="151" t="n"/>
      <c r="BO812" s="151" t="n"/>
      <c r="BP812" s="151" t="n"/>
      <c r="BQ812" s="151" t="n"/>
      <c r="BR812" s="151" t="n"/>
      <c r="BS812" s="151" t="n"/>
      <c r="BT812" s="151" t="n"/>
    </row>
    <row r="813">
      <c r="BJ813" s="151" t="n">
        <v>742</v>
      </c>
      <c r="BK813" s="151" t="inlineStr">
        <is>
          <t>PRODUCCION DE PELICULAS CINEMATOGRAFICAS Y VIDEOS</t>
        </is>
      </c>
      <c r="BL813" s="151" t="n"/>
      <c r="BM813" s="151" t="n"/>
      <c r="BN813" s="151" t="n"/>
      <c r="BO813" s="151" t="n"/>
      <c r="BP813" s="151" t="n"/>
      <c r="BQ813" s="151" t="n"/>
      <c r="BR813" s="151" t="n"/>
      <c r="BS813" s="151" t="n"/>
      <c r="BT813" s="151" t="n"/>
    </row>
    <row r="814">
      <c r="BJ814" s="151" t="n">
        <v>743</v>
      </c>
      <c r="BK814" s="151" t="inlineStr">
        <is>
          <t>PRODUCCION DE PROGRAMAS PARA LA TELEVISION</t>
        </is>
      </c>
      <c r="BL814" s="151" t="n"/>
      <c r="BM814" s="151" t="n"/>
      <c r="BN814" s="151" t="n"/>
      <c r="BO814" s="151" t="n"/>
      <c r="BP814" s="151" t="n"/>
      <c r="BQ814" s="151" t="n"/>
      <c r="BR814" s="151" t="n"/>
      <c r="BS814" s="151" t="n"/>
      <c r="BT814" s="151" t="n"/>
    </row>
    <row r="815">
      <c r="BJ815" s="151" t="n">
        <v>744</v>
      </c>
      <c r="BK815" s="151" t="inlineStr">
        <is>
          <t>PRODUCCION DE VIDEOCLIPS, COMERCIALES Y OTROS MATERIALES AUDIOVISUALES</t>
        </is>
      </c>
      <c r="BL815" s="151" t="n"/>
      <c r="BM815" s="151" t="n"/>
      <c r="BN815" s="151" t="n"/>
      <c r="BO815" s="151" t="n"/>
      <c r="BP815" s="151" t="n"/>
      <c r="BQ815" s="151" t="n"/>
      <c r="BR815" s="151" t="n"/>
      <c r="BS815" s="151" t="n"/>
      <c r="BT815" s="151" t="n"/>
    </row>
    <row r="816">
      <c r="BJ816" s="151" t="n">
        <v>745</v>
      </c>
      <c r="BK816" s="151" t="inlineStr">
        <is>
          <t>DISTRIBUCION DE PELICULAS CINEMATOGRAFICAS, VIDEOS Y OTROS MATERIALES AUDIOVISUALES</t>
        </is>
      </c>
      <c r="BL816" s="151" t="n"/>
      <c r="BM816" s="151" t="n"/>
      <c r="BN816" s="151" t="n"/>
      <c r="BO816" s="151" t="n"/>
      <c r="BP816" s="151" t="n"/>
      <c r="BQ816" s="151" t="n"/>
      <c r="BR816" s="151" t="n"/>
      <c r="BS816" s="151" t="n"/>
      <c r="BT816" s="151" t="n"/>
    </row>
    <row r="817">
      <c r="BJ817" s="151" t="n">
        <v>746</v>
      </c>
      <c r="BK817" s="151" t="inlineStr">
        <is>
          <t>EXHIBICION DE PELICULAS CINEMATOGRAFICAS, VIDEOS Y OTROS MATERIALES AUDIOVISUALES</t>
        </is>
      </c>
      <c r="BL817" s="151" t="n"/>
      <c r="BM817" s="151" t="n"/>
      <c r="BN817" s="151" t="n"/>
      <c r="BO817" s="151" t="n"/>
      <c r="BP817" s="151" t="n"/>
      <c r="BQ817" s="151" t="n"/>
      <c r="BR817" s="151" t="n"/>
      <c r="BS817" s="151" t="n"/>
      <c r="BT817" s="151" t="n"/>
    </row>
    <row r="818">
      <c r="BJ818" s="151" t="n">
        <v>747</v>
      </c>
      <c r="BK818" s="151" t="inlineStr">
        <is>
          <t>SERVICIOS DE POSTPRODUCCION Y OTROS SERVICIOS PARA LA INDUSTRIA FILMICA Y DEL VIDEO</t>
        </is>
      </c>
      <c r="BL818" s="151" t="n"/>
      <c r="BM818" s="151" t="n"/>
      <c r="BN818" s="151" t="n"/>
      <c r="BO818" s="151" t="n"/>
      <c r="BP818" s="151" t="n"/>
      <c r="BQ818" s="151" t="n"/>
      <c r="BR818" s="151" t="n"/>
      <c r="BS818" s="151" t="n"/>
      <c r="BT818" s="151" t="n"/>
    </row>
    <row r="819">
      <c r="BJ819" s="151" t="n">
        <v>748</v>
      </c>
      <c r="BK819" s="151" t="inlineStr">
        <is>
          <t>PRODUCTORAS DISCOGRAFICAS</t>
        </is>
      </c>
      <c r="BL819" s="151" t="n"/>
      <c r="BM819" s="151" t="n"/>
      <c r="BN819" s="151" t="n"/>
      <c r="BO819" s="151" t="n"/>
      <c r="BP819" s="151" t="n"/>
      <c r="BQ819" s="151" t="n"/>
      <c r="BR819" s="151" t="n"/>
      <c r="BS819" s="151" t="n"/>
      <c r="BT819" s="151" t="n"/>
    </row>
    <row r="820">
      <c r="BJ820" s="151" t="n">
        <v>749</v>
      </c>
      <c r="BK820" s="151" t="inlineStr">
        <is>
          <t>PRODUCCION Y DISTRIBUCION DE DISCOS Y CINTAS MAGNETOFONICAS</t>
        </is>
      </c>
      <c r="BL820" s="151" t="n"/>
      <c r="BM820" s="151" t="n"/>
      <c r="BN820" s="151" t="n"/>
      <c r="BO820" s="151" t="n"/>
      <c r="BP820" s="151" t="n"/>
      <c r="BQ820" s="151" t="n"/>
      <c r="BR820" s="151" t="n"/>
      <c r="BS820" s="151" t="n"/>
      <c r="BT820" s="151" t="n"/>
    </row>
    <row r="821">
      <c r="BJ821" s="151" t="n">
        <v>750</v>
      </c>
      <c r="BK821" s="151" t="inlineStr">
        <is>
          <t>EDITORAS DE MUSICA</t>
        </is>
      </c>
      <c r="BL821" s="151" t="n"/>
      <c r="BM821" s="151" t="n"/>
      <c r="BN821" s="151" t="n"/>
      <c r="BO821" s="151" t="n"/>
      <c r="BP821" s="151" t="n"/>
      <c r="BQ821" s="151" t="n"/>
      <c r="BR821" s="151" t="n"/>
      <c r="BS821" s="151" t="n"/>
      <c r="BT821" s="151" t="n"/>
    </row>
    <row r="822">
      <c r="BJ822" s="151" t="n">
        <v>751</v>
      </c>
      <c r="BK822" s="151" t="inlineStr">
        <is>
          <t>GRABACION DE DISCOS Y CINTAS MAGNETOFONICAS</t>
        </is>
      </c>
      <c r="BL822" s="151" t="n"/>
      <c r="BM822" s="151" t="n"/>
      <c r="BN822" s="151" t="n"/>
      <c r="BO822" s="151" t="n"/>
      <c r="BP822" s="151" t="n"/>
      <c r="BQ822" s="151" t="n"/>
      <c r="BR822" s="151" t="n"/>
      <c r="BS822" s="151" t="n"/>
      <c r="BT822" s="151" t="n"/>
    </row>
    <row r="823">
      <c r="BJ823" s="151" t="n">
        <v>752</v>
      </c>
      <c r="BK823" s="151" t="inlineStr">
        <is>
          <t>OTROS SERVICIOS DE GRABACION DEL SONIDO</t>
        </is>
      </c>
      <c r="BL823" s="151" t="n"/>
      <c r="BM823" s="151" t="n"/>
      <c r="BN823" s="151" t="n"/>
      <c r="BO823" s="151" t="n"/>
      <c r="BP823" s="151" t="n"/>
      <c r="BQ823" s="151" t="n"/>
      <c r="BR823" s="151" t="n"/>
      <c r="BS823" s="151" t="n"/>
      <c r="BT823" s="151" t="n"/>
    </row>
    <row r="824">
      <c r="BJ824" s="151" t="n">
        <v>753</v>
      </c>
      <c r="BK824" s="151" t="inlineStr">
        <is>
          <t>TRANSMISION DE PROGRAMAS DE RADIO, EXCEPTO A TRAVES DE INTERNET</t>
        </is>
      </c>
      <c r="BL824" s="151" t="n"/>
      <c r="BM824" s="151" t="n"/>
      <c r="BN824" s="151" t="n"/>
      <c r="BO824" s="151" t="n"/>
      <c r="BP824" s="151" t="n"/>
      <c r="BQ824" s="151" t="n"/>
      <c r="BR824" s="151" t="n"/>
      <c r="BS824" s="151" t="n"/>
      <c r="BT824" s="151" t="n"/>
    </row>
    <row r="825">
      <c r="BJ825" s="151" t="n">
        <v>754</v>
      </c>
      <c r="BK825" s="151" t="inlineStr">
        <is>
          <t>TRANSMISION DE PROGRAMAS DE TELEVISION, EXCEPTO A TRAVES DE INTERNET</t>
        </is>
      </c>
      <c r="BL825" s="151" t="n"/>
      <c r="BM825" s="151" t="n"/>
      <c r="BN825" s="151" t="n"/>
      <c r="BO825" s="151" t="n"/>
      <c r="BP825" s="151" t="n"/>
      <c r="BQ825" s="151" t="n"/>
      <c r="BR825" s="151" t="n"/>
      <c r="BS825" s="151" t="n"/>
      <c r="BT825" s="151" t="n"/>
    </row>
    <row r="826">
      <c r="BJ826" s="151" t="n">
        <v>755</v>
      </c>
      <c r="BK826" s="151" t="inlineStr">
        <is>
          <t>PRODUCCION DE PROGRAMACION DE CANALES PARA SISTEMAS DE TELEVISION POR CABLE O SATELITALES, EXCEPTO A TRAVES DE INTERNET</t>
        </is>
      </c>
      <c r="BL826" s="151" t="n"/>
      <c r="BM826" s="151" t="n"/>
      <c r="BN826" s="151" t="n"/>
      <c r="BO826" s="151" t="n"/>
      <c r="BP826" s="151" t="n"/>
      <c r="BQ826" s="151" t="n"/>
      <c r="BR826" s="151" t="n"/>
      <c r="BS826" s="151" t="n"/>
      <c r="BT826" s="151" t="n"/>
    </row>
    <row r="827">
      <c r="BJ827" s="151" t="n">
        <v>756</v>
      </c>
      <c r="BK827" s="151" t="inlineStr">
        <is>
          <t>CREACION Y DIFUSION DE CONTENIDO EXCLUSIVAMENTE A TRAVES DE INTERNET</t>
        </is>
      </c>
      <c r="BL827" s="151" t="n"/>
      <c r="BM827" s="151" t="n"/>
      <c r="BN827" s="151" t="n"/>
      <c r="BO827" s="151" t="n"/>
      <c r="BP827" s="151" t="n"/>
      <c r="BQ827" s="151" t="n"/>
      <c r="BR827" s="151" t="n"/>
      <c r="BS827" s="151" t="n"/>
      <c r="BT827" s="151" t="n"/>
    </row>
    <row r="828">
      <c r="BJ828" s="151" t="n">
        <v>757</v>
      </c>
      <c r="BK828" s="151" t="inlineStr">
        <is>
          <t>TELEFONIA TRADICIONAL</t>
        </is>
      </c>
      <c r="BL828" s="151" t="n"/>
      <c r="BM828" s="151" t="n"/>
      <c r="BN828" s="151" t="n"/>
      <c r="BO828" s="151" t="n"/>
      <c r="BP828" s="151" t="n"/>
      <c r="BQ828" s="151" t="n"/>
      <c r="BR828" s="151" t="n"/>
      <c r="BS828" s="151" t="n"/>
      <c r="BT828" s="151" t="n"/>
    </row>
    <row r="829">
      <c r="BJ829" s="151" t="n">
        <v>758</v>
      </c>
      <c r="BK829" s="151" t="inlineStr">
        <is>
          <t>TELEGRAFIA Y OTRAS TELECOMUNICACIONES ALAMBRICAS DEL SECTOR PRIVADO</t>
        </is>
      </c>
      <c r="BL829" s="151" t="n"/>
      <c r="BM829" s="151" t="n"/>
      <c r="BN829" s="151" t="n"/>
      <c r="BO829" s="151" t="n"/>
      <c r="BP829" s="151" t="n"/>
      <c r="BQ829" s="151" t="n"/>
      <c r="BR829" s="151" t="n"/>
      <c r="BS829" s="151" t="n"/>
      <c r="BT829" s="151" t="n"/>
    </row>
    <row r="830">
      <c r="BJ830" s="151" t="n">
        <v>759</v>
      </c>
      <c r="BK830" s="151" t="inlineStr">
        <is>
          <t>TELEFONIA CELULAR</t>
        </is>
      </c>
      <c r="BL830" s="151" t="n"/>
      <c r="BM830" s="151" t="n"/>
      <c r="BN830" s="151" t="n"/>
      <c r="BO830" s="151" t="n"/>
      <c r="BP830" s="151" t="n"/>
      <c r="BQ830" s="151" t="n"/>
      <c r="BR830" s="151" t="n"/>
      <c r="BS830" s="151" t="n"/>
      <c r="BT830" s="151" t="n"/>
    </row>
    <row r="831">
      <c r="BJ831" s="151" t="n">
        <v>760</v>
      </c>
      <c r="BK831" s="151" t="inlineStr">
        <is>
          <t>OTRAS TELECOMUNICACIONES INALAMBRICAS, EXCEPTO LOS SERVICIOS DE SATELITES</t>
        </is>
      </c>
      <c r="BL831" s="151" t="n"/>
      <c r="BM831" s="151" t="n"/>
      <c r="BN831" s="151" t="n"/>
      <c r="BO831" s="151" t="n"/>
      <c r="BP831" s="151" t="n"/>
      <c r="BQ831" s="151" t="n"/>
      <c r="BR831" s="151" t="n"/>
      <c r="BS831" s="151" t="n"/>
      <c r="BT831" s="151" t="n"/>
    </row>
    <row r="832">
      <c r="BJ832" s="151" t="n">
        <v>761</v>
      </c>
      <c r="BK832" s="151" t="inlineStr">
        <is>
          <t>REVENTA DE SERVICIOS DE TELECOMUNICACIONES</t>
        </is>
      </c>
      <c r="BL832" s="151" t="n"/>
      <c r="BM832" s="151" t="n"/>
      <c r="BN832" s="151" t="n"/>
      <c r="BO832" s="151" t="n"/>
      <c r="BP832" s="151" t="n"/>
      <c r="BQ832" s="151" t="n"/>
      <c r="BR832" s="151" t="n"/>
      <c r="BS832" s="151" t="n"/>
      <c r="BT832" s="151" t="n"/>
    </row>
    <row r="833">
      <c r="BJ833" s="151" t="n">
        <v>762</v>
      </c>
      <c r="BK833" s="151" t="inlineStr">
        <is>
          <t>SERVICIOS DE SATELITES</t>
        </is>
      </c>
      <c r="BL833" s="151" t="n"/>
      <c r="BM833" s="151" t="n"/>
      <c r="BN833" s="151" t="n"/>
      <c r="BO833" s="151" t="n"/>
      <c r="BP833" s="151" t="n"/>
      <c r="BQ833" s="151" t="n"/>
      <c r="BR833" s="151" t="n"/>
      <c r="BS833" s="151" t="n"/>
      <c r="BT833" s="151" t="n"/>
    </row>
    <row r="834">
      <c r="BJ834" s="151" t="n">
        <v>763</v>
      </c>
      <c r="BK834" s="151" t="inlineStr">
        <is>
          <t>DISTRIBUCION POR SUSCRIPCION DE PROGRAMAS DE TELEVISION, EXCEPTO A TRAVES DE INTERNET</t>
        </is>
      </c>
      <c r="BL834" s="151" t="n"/>
      <c r="BM834" s="151" t="n"/>
      <c r="BN834" s="151" t="n"/>
      <c r="BO834" s="151" t="n"/>
      <c r="BP834" s="151" t="n"/>
      <c r="BQ834" s="151" t="n"/>
      <c r="BR834" s="151" t="n"/>
      <c r="BS834" s="151" t="n"/>
      <c r="BT834" s="151" t="n"/>
    </row>
    <row r="835">
      <c r="BJ835" s="151" t="n">
        <v>764</v>
      </c>
      <c r="BK835" s="151" t="inlineStr">
        <is>
          <t>OTROS SERVICIOS DE TELECOMUNICACIONES</t>
        </is>
      </c>
      <c r="BL835" s="151" t="n"/>
      <c r="BM835" s="151" t="n"/>
      <c r="BN835" s="151" t="n"/>
      <c r="BO835" s="151" t="n"/>
      <c r="BP835" s="151" t="n"/>
      <c r="BQ835" s="151" t="n"/>
      <c r="BR835" s="151" t="n"/>
      <c r="BS835" s="151" t="n"/>
      <c r="BT835" s="151" t="n"/>
    </row>
    <row r="836">
      <c r="BJ836" s="151" t="n">
        <v>765</v>
      </c>
      <c r="BK836" s="151" t="inlineStr">
        <is>
          <t>PROVEEDORES DE ACCESO A INTERNET Y SERVICIOS DE BUSQUEDA EN LA RED</t>
        </is>
      </c>
      <c r="BL836" s="151" t="n"/>
      <c r="BM836" s="151" t="n"/>
      <c r="BN836" s="151" t="n"/>
      <c r="BO836" s="151" t="n"/>
      <c r="BP836" s="151" t="n"/>
      <c r="BQ836" s="151" t="n"/>
      <c r="BR836" s="151" t="n"/>
      <c r="BS836" s="151" t="n"/>
      <c r="BT836" s="151" t="n"/>
    </row>
    <row r="837">
      <c r="BJ837" s="151" t="n">
        <v>766</v>
      </c>
      <c r="BK837" s="151" t="inlineStr">
        <is>
          <t>PROCESAMIENTO ELECTRONICO DE INFORMACION, HOSPEDAJE DE PAGINAS WEB Y OTROS SERVICIOS RELACIONADOS</t>
        </is>
      </c>
      <c r="BL837" s="151" t="n"/>
      <c r="BM837" s="151" t="n"/>
      <c r="BN837" s="151" t="n"/>
      <c r="BO837" s="151" t="n"/>
      <c r="BP837" s="151" t="n"/>
      <c r="BQ837" s="151" t="n"/>
      <c r="BR837" s="151" t="n"/>
      <c r="BS837" s="151" t="n"/>
      <c r="BT837" s="151" t="n"/>
    </row>
    <row r="838">
      <c r="BJ838" s="151" t="n">
        <v>767</v>
      </c>
      <c r="BK838" s="151" t="inlineStr">
        <is>
          <t>AGENCIAS NOTICIOSAS</t>
        </is>
      </c>
      <c r="BL838" s="151" t="n"/>
      <c r="BM838" s="151" t="n"/>
      <c r="BN838" s="151" t="n"/>
      <c r="BO838" s="151" t="n"/>
      <c r="BP838" s="151" t="n"/>
      <c r="BQ838" s="151" t="n"/>
      <c r="BR838" s="151" t="n"/>
      <c r="BS838" s="151" t="n"/>
      <c r="BT838" s="151" t="n"/>
    </row>
    <row r="839">
      <c r="BJ839" s="151" t="n">
        <v>768</v>
      </c>
      <c r="BK839" s="151" t="inlineStr">
        <is>
          <t>BIBLIOTECAS Y ARCHIVOS DEL SECTOR PRIVADO</t>
        </is>
      </c>
      <c r="BL839" s="151" t="n"/>
      <c r="BM839" s="151" t="n"/>
      <c r="BN839" s="151" t="n"/>
      <c r="BO839" s="151" t="n"/>
      <c r="BP839" s="151" t="n"/>
      <c r="BQ839" s="151" t="n"/>
      <c r="BR839" s="151" t="n"/>
      <c r="BS839" s="151" t="n"/>
      <c r="BT839" s="151" t="n"/>
    </row>
    <row r="840">
      <c r="BJ840" s="151" t="n">
        <v>769</v>
      </c>
      <c r="BK840" s="151" t="inlineStr">
        <is>
          <t>BIBLIOTECAS Y ARCHIVOS DEL SECTOR PUBLICO</t>
        </is>
      </c>
      <c r="BL840" s="151" t="n"/>
      <c r="BM840" s="151" t="n"/>
      <c r="BN840" s="151" t="n"/>
      <c r="BO840" s="151" t="n"/>
      <c r="BP840" s="151" t="n"/>
      <c r="BQ840" s="151" t="n"/>
      <c r="BR840" s="151" t="n"/>
      <c r="BS840" s="151" t="n"/>
      <c r="BT840" s="151" t="n"/>
    </row>
    <row r="841">
      <c r="BJ841" s="151" t="n">
        <v>770</v>
      </c>
      <c r="BK841" s="151" t="inlineStr">
        <is>
          <t>OTROS SERVICIOS DE SUMINISTRO DE INFORMACION</t>
        </is>
      </c>
      <c r="BL841" s="151" t="n"/>
      <c r="BM841" s="151" t="n"/>
      <c r="BN841" s="151" t="n"/>
      <c r="BO841" s="151" t="n"/>
      <c r="BP841" s="151" t="n"/>
      <c r="BQ841" s="151" t="n"/>
      <c r="BR841" s="151" t="n"/>
      <c r="BS841" s="151" t="n"/>
      <c r="BT841" s="151" t="n"/>
    </row>
    <row r="842">
      <c r="BJ842" s="151" t="n">
        <v>772</v>
      </c>
      <c r="BK842" s="151" t="inlineStr">
        <is>
          <t>BANCO DE MEXICO</t>
        </is>
      </c>
      <c r="BL842" s="151" t="n"/>
      <c r="BM842" s="151" t="n"/>
      <c r="BN842" s="151" t="n"/>
      <c r="BO842" s="151" t="n"/>
      <c r="BP842" s="151" t="n"/>
      <c r="BQ842" s="151" t="n"/>
      <c r="BR842" s="151" t="n"/>
      <c r="BS842" s="151" t="n"/>
      <c r="BT842" s="151" t="n"/>
    </row>
    <row r="843">
      <c r="BJ843" s="151" t="n">
        <v>773</v>
      </c>
      <c r="BK843" s="151" t="inlineStr">
        <is>
          <t>BANCA MULTIPLE O COMERCIAL</t>
        </is>
      </c>
      <c r="BL843" s="151" t="n"/>
      <c r="BM843" s="151" t="n"/>
      <c r="BN843" s="151" t="n"/>
      <c r="BO843" s="151" t="n"/>
      <c r="BP843" s="151" t="n"/>
      <c r="BQ843" s="151" t="n"/>
      <c r="BR843" s="151" t="n"/>
      <c r="BS843" s="151" t="n"/>
      <c r="BT843" s="151" t="n"/>
    </row>
    <row r="844">
      <c r="BJ844" s="151" t="n">
        <v>774</v>
      </c>
      <c r="BK844" s="151" t="inlineStr">
        <is>
          <t>BANCA DE DESARROLLO</t>
        </is>
      </c>
      <c r="BL844" s="151" t="n"/>
      <c r="BM844" s="151" t="n"/>
      <c r="BN844" s="151" t="n"/>
      <c r="BO844" s="151" t="n"/>
      <c r="BP844" s="151" t="n"/>
      <c r="BQ844" s="151" t="n"/>
      <c r="BR844" s="151" t="n"/>
      <c r="BS844" s="151" t="n"/>
      <c r="BT844" s="151" t="n"/>
    </row>
    <row r="845">
      <c r="BJ845" s="151" t="n">
        <v>775</v>
      </c>
      <c r="BK845" s="151" t="inlineStr">
        <is>
          <t>FONDOS Y FIDEICOMISOS FINANCIEROS PARA EL DESARROLLO</t>
        </is>
      </c>
      <c r="BL845" s="151" t="n"/>
      <c r="BM845" s="151" t="n"/>
      <c r="BN845" s="151" t="n"/>
      <c r="BO845" s="151" t="n"/>
      <c r="BP845" s="151" t="n"/>
      <c r="BQ845" s="151" t="n"/>
      <c r="BR845" s="151" t="n"/>
      <c r="BS845" s="151" t="n"/>
      <c r="BT845" s="151" t="n"/>
    </row>
    <row r="846">
      <c r="BJ846" s="151" t="n">
        <v>776</v>
      </c>
      <c r="BK846" s="151" t="inlineStr">
        <is>
          <t>UNIONES DE CREDITO</t>
        </is>
      </c>
      <c r="BL846" s="151" t="n"/>
      <c r="BM846" s="151" t="n"/>
      <c r="BN846" s="151" t="n"/>
      <c r="BO846" s="151" t="n"/>
      <c r="BP846" s="151" t="n"/>
      <c r="BQ846" s="151" t="n"/>
      <c r="BR846" s="151" t="n"/>
      <c r="BS846" s="151" t="n"/>
      <c r="BT846" s="151" t="n"/>
    </row>
    <row r="847">
      <c r="BJ847" s="151" t="n">
        <v>777</v>
      </c>
      <c r="BK847" s="151" t="inlineStr">
        <is>
          <t>CAJAS DE AHORRO POPULAR</t>
        </is>
      </c>
      <c r="BL847" s="151" t="n"/>
      <c r="BM847" s="151" t="n"/>
      <c r="BN847" s="151" t="n"/>
      <c r="BO847" s="151" t="n"/>
      <c r="BP847" s="151" t="n"/>
      <c r="BQ847" s="151" t="n"/>
      <c r="BR847" s="151" t="n"/>
      <c r="BS847" s="151" t="n"/>
      <c r="BT847" s="151" t="n"/>
    </row>
    <row r="848">
      <c r="BJ848" s="151" t="n">
        <v>778</v>
      </c>
      <c r="BK848" s="151" t="inlineStr">
        <is>
          <t>SOCIEDADES Y ASOCIACIONES DE AHORRO Y PRESTAMO AUTORIZADAS COMO ENTIDADES DE AHORRO Y PRESTAMO</t>
        </is>
      </c>
      <c r="BL848" s="151" t="n"/>
      <c r="BM848" s="151" t="n"/>
      <c r="BN848" s="151" t="n"/>
      <c r="BO848" s="151" t="n"/>
      <c r="BP848" s="151" t="n"/>
      <c r="BQ848" s="151" t="n"/>
      <c r="BR848" s="151" t="n"/>
      <c r="BS848" s="151" t="n"/>
      <c r="BT848" s="151" t="n"/>
    </row>
    <row r="849">
      <c r="BJ849" s="151" t="n">
        <v>779</v>
      </c>
      <c r="BK849" s="151" t="inlineStr">
        <is>
          <t>ARRENDADORAS FINANCIERAS</t>
        </is>
      </c>
      <c r="BL849" s="151" t="n"/>
      <c r="BM849" s="151" t="n"/>
      <c r="BN849" s="151" t="n"/>
      <c r="BO849" s="151" t="n"/>
      <c r="BP849" s="151" t="n"/>
      <c r="BQ849" s="151" t="n"/>
      <c r="BR849" s="151" t="n"/>
      <c r="BS849" s="151" t="n"/>
      <c r="BT849" s="151" t="n"/>
    </row>
    <row r="850">
      <c r="BJ850" s="151" t="n">
        <v>780</v>
      </c>
      <c r="BK850" s="151" t="inlineStr">
        <is>
          <t>EMPRESAS DE FACTORAJE FINANCIERO</t>
        </is>
      </c>
      <c r="BL850" s="151" t="n"/>
      <c r="BM850" s="151" t="n"/>
      <c r="BN850" s="151" t="n"/>
      <c r="BO850" s="151" t="n"/>
      <c r="BP850" s="151" t="n"/>
      <c r="BQ850" s="151" t="n"/>
      <c r="BR850" s="151" t="n"/>
      <c r="BS850" s="151" t="n"/>
      <c r="BT850" s="151" t="n"/>
    </row>
    <row r="851">
      <c r="BJ851" s="151" t="n">
        <v>781</v>
      </c>
      <c r="BK851" s="151" t="inlineStr">
        <is>
          <t>SOCIEDADES FINANCIERAS DE OBJETO LIMITADO</t>
        </is>
      </c>
      <c r="BL851" s="151" t="n"/>
      <c r="BM851" s="151" t="n"/>
      <c r="BN851" s="151" t="n"/>
      <c r="BO851" s="151" t="n"/>
      <c r="BP851" s="151" t="n"/>
      <c r="BQ851" s="151" t="n"/>
      <c r="BR851" s="151" t="n"/>
      <c r="BS851" s="151" t="n"/>
      <c r="BT851" s="151" t="n"/>
    </row>
    <row r="852">
      <c r="BJ852" s="151" t="n">
        <v>782</v>
      </c>
      <c r="BK852" s="151" t="inlineStr">
        <is>
          <t>COMPA?IAS DE AUTOFINANCIAMIENTO</t>
        </is>
      </c>
      <c r="BL852" s="151" t="n"/>
      <c r="BM852" s="151" t="n"/>
      <c r="BN852" s="151" t="n"/>
      <c r="BO852" s="151" t="n"/>
      <c r="BP852" s="151" t="n"/>
      <c r="BQ852" s="151" t="n"/>
      <c r="BR852" s="151" t="n"/>
      <c r="BS852" s="151" t="n"/>
      <c r="BT852" s="151" t="n"/>
    </row>
    <row r="853">
      <c r="BJ853" s="151" t="n">
        <v>783</v>
      </c>
      <c r="BK853" s="151" t="inlineStr">
        <is>
          <t>MONTEPIOS</t>
        </is>
      </c>
      <c r="BL853" s="151" t="n"/>
      <c r="BM853" s="151" t="n"/>
      <c r="BN853" s="151" t="n"/>
      <c r="BO853" s="151" t="n"/>
      <c r="BP853" s="151" t="n"/>
      <c r="BQ853" s="151" t="n"/>
      <c r="BR853" s="151" t="n"/>
      <c r="BS853" s="151" t="n"/>
      <c r="BT853" s="151" t="n"/>
    </row>
    <row r="854">
      <c r="BJ854" s="151" t="n">
        <v>784</v>
      </c>
      <c r="BK854" s="151" t="inlineStr">
        <is>
          <t>SOCIEDADES CONTROLADORAS DE GRUPOS FINANCIEROS</t>
        </is>
      </c>
      <c r="BL854" s="151" t="n"/>
      <c r="BM854" s="151" t="n"/>
      <c r="BN854" s="151" t="n"/>
      <c r="BO854" s="151" t="n"/>
      <c r="BP854" s="151" t="n"/>
      <c r="BQ854" s="151" t="n"/>
      <c r="BR854" s="151" t="n"/>
      <c r="BS854" s="151" t="n"/>
      <c r="BT854" s="151" t="n"/>
    </row>
    <row r="855">
      <c r="BJ855" s="151" t="n">
        <v>785</v>
      </c>
      <c r="BK855" s="151" t="inlineStr">
        <is>
          <t>SERVICIOS RELACIONADOS CON LA INTERMEDIACION CREDITICIA</t>
        </is>
      </c>
      <c r="BL855" s="151" t="n"/>
      <c r="BM855" s="151" t="n"/>
      <c r="BN855" s="151" t="n"/>
      <c r="BO855" s="151" t="n"/>
      <c r="BP855" s="151" t="n"/>
      <c r="BQ855" s="151" t="n"/>
      <c r="BR855" s="151" t="n"/>
      <c r="BS855" s="151" t="n"/>
      <c r="BT855" s="151" t="n"/>
    </row>
    <row r="856">
      <c r="BJ856" s="151" t="n">
        <v>786</v>
      </c>
      <c r="BK856" s="151" t="inlineStr">
        <is>
          <t>CASAS DE BOLSA</t>
        </is>
      </c>
      <c r="BL856" s="151" t="n"/>
      <c r="BM856" s="151" t="n"/>
      <c r="BN856" s="151" t="n"/>
      <c r="BO856" s="151" t="n"/>
      <c r="BP856" s="151" t="n"/>
      <c r="BQ856" s="151" t="n"/>
      <c r="BR856" s="151" t="n"/>
      <c r="BS856" s="151" t="n"/>
      <c r="BT856" s="151" t="n"/>
    </row>
    <row r="857">
      <c r="BJ857" s="151" t="n">
        <v>787</v>
      </c>
      <c r="BK857" s="151" t="inlineStr">
        <is>
          <t>CASAS DE CAMBIO</t>
        </is>
      </c>
      <c r="BL857" s="151" t="n"/>
      <c r="BM857" s="151" t="n"/>
      <c r="BN857" s="151" t="n"/>
      <c r="BO857" s="151" t="n"/>
      <c r="BP857" s="151" t="n"/>
      <c r="BQ857" s="151" t="n"/>
      <c r="BR857" s="151" t="n"/>
      <c r="BS857" s="151" t="n"/>
      <c r="BT857" s="151" t="n"/>
    </row>
    <row r="858">
      <c r="BJ858" s="151" t="n">
        <v>788</v>
      </c>
      <c r="BK858" s="151" t="inlineStr">
        <is>
          <t>CENTROS CAMBIARIOS</t>
        </is>
      </c>
      <c r="BL858" s="151" t="n"/>
      <c r="BM858" s="151" t="n"/>
      <c r="BN858" s="151" t="n"/>
      <c r="BO858" s="151" t="n"/>
      <c r="BP858" s="151" t="n"/>
      <c r="BQ858" s="151" t="n"/>
      <c r="BR858" s="151" t="n"/>
      <c r="BS858" s="151" t="n"/>
      <c r="BT858" s="151" t="n"/>
    </row>
    <row r="859">
      <c r="BJ859" s="151" t="n">
        <v>789</v>
      </c>
      <c r="BK859" s="151" t="inlineStr">
        <is>
          <t>BOLSA DE VALORES</t>
        </is>
      </c>
      <c r="BL859" s="151" t="n"/>
      <c r="BM859" s="151" t="n"/>
      <c r="BN859" s="151" t="n"/>
      <c r="BO859" s="151" t="n"/>
      <c r="BP859" s="151" t="n"/>
      <c r="BQ859" s="151" t="n"/>
      <c r="BR859" s="151" t="n"/>
      <c r="BS859" s="151" t="n"/>
      <c r="BT859" s="151" t="n"/>
    </row>
    <row r="860">
      <c r="BJ860" s="151" t="n">
        <v>790</v>
      </c>
      <c r="BK860" s="151" t="inlineStr">
        <is>
          <t>SOCIEDADES DE INVERSION DE CAPITALES</t>
        </is>
      </c>
      <c r="BL860" s="151" t="n"/>
      <c r="BM860" s="151" t="n"/>
      <c r="BN860" s="151" t="n"/>
      <c r="BO860" s="151" t="n"/>
      <c r="BP860" s="151" t="n"/>
      <c r="BQ860" s="151" t="n"/>
      <c r="BR860" s="151" t="n"/>
      <c r="BS860" s="151" t="n"/>
      <c r="BT860" s="151" t="n"/>
    </row>
    <row r="861">
      <c r="BJ861" s="151" t="n">
        <v>791</v>
      </c>
      <c r="BK861" s="151" t="inlineStr">
        <is>
          <t>ASESORIA EN INVERSIONES</t>
        </is>
      </c>
      <c r="BL861" s="151" t="n"/>
      <c r="BM861" s="151" t="n"/>
      <c r="BN861" s="151" t="n"/>
      <c r="BO861" s="151" t="n"/>
      <c r="BP861" s="151" t="n"/>
      <c r="BQ861" s="151" t="n"/>
      <c r="BR861" s="151" t="n"/>
      <c r="BS861" s="151" t="n"/>
      <c r="BT861" s="151" t="n"/>
    </row>
    <row r="862">
      <c r="BJ862" s="151" t="n">
        <v>792</v>
      </c>
      <c r="BK862" s="151" t="inlineStr">
        <is>
          <t>INSTITUCIONES PARA EL DEPOSITO DE VALORES</t>
        </is>
      </c>
      <c r="BL862" s="151" t="n"/>
      <c r="BM862" s="151" t="n"/>
      <c r="BN862" s="151" t="n"/>
      <c r="BO862" s="151" t="n"/>
      <c r="BP862" s="151" t="n"/>
      <c r="BQ862" s="151" t="n"/>
      <c r="BR862" s="151" t="n"/>
      <c r="BS862" s="151" t="n"/>
      <c r="BT862" s="151" t="n"/>
    </row>
    <row r="863">
      <c r="BJ863" s="151" t="n">
        <v>793</v>
      </c>
      <c r="BK863" s="151" t="inlineStr">
        <is>
          <t>COMPA?IAS ESPECIALIZADAS EN SEGUROS DE VIDA</t>
        </is>
      </c>
      <c r="BL863" s="151" t="n"/>
      <c r="BM863" s="151" t="n"/>
      <c r="BN863" s="151" t="n"/>
      <c r="BO863" s="151" t="n"/>
      <c r="BP863" s="151" t="n"/>
      <c r="BQ863" s="151" t="n"/>
      <c r="BR863" s="151" t="n"/>
      <c r="BS863" s="151" t="n"/>
      <c r="BT863" s="151" t="n"/>
    </row>
    <row r="864">
      <c r="BJ864" s="151" t="n">
        <v>794</v>
      </c>
      <c r="BK864" s="151" t="inlineStr">
        <is>
          <t>COMPA?IAS DE SEGUROS NO ESPECIALIZADAS EN SEGUROS DE VIDA</t>
        </is>
      </c>
      <c r="BL864" s="151" t="n"/>
      <c r="BM864" s="151" t="n"/>
      <c r="BN864" s="151" t="n"/>
      <c r="BO864" s="151" t="n"/>
      <c r="BP864" s="151" t="n"/>
      <c r="BQ864" s="151" t="n"/>
      <c r="BR864" s="151" t="n"/>
      <c r="BS864" s="151" t="n"/>
      <c r="BT864" s="151" t="n"/>
    </row>
    <row r="865">
      <c r="BJ865" s="151" t="n">
        <v>795</v>
      </c>
      <c r="BK865" s="151" t="inlineStr">
        <is>
          <t>COMPA?IAS ESPECIALIZADAS EN SEGUROS CONTRA RIESGOS AGROPECUARIOS</t>
        </is>
      </c>
      <c r="BL865" s="151" t="n"/>
      <c r="BM865" s="151" t="n"/>
      <c r="BN865" s="151" t="n"/>
      <c r="BO865" s="151" t="n"/>
      <c r="BP865" s="151" t="n"/>
      <c r="BQ865" s="151" t="n"/>
      <c r="BR865" s="151" t="n"/>
      <c r="BS865" s="151" t="n"/>
      <c r="BT865" s="151" t="n"/>
    </row>
    <row r="866">
      <c r="BJ866" s="151" t="n">
        <v>796</v>
      </c>
      <c r="BK866" s="151" t="inlineStr">
        <is>
          <t>COMPA?IAS AFIANZADORAS</t>
        </is>
      </c>
      <c r="BL866" s="151" t="n"/>
      <c r="BM866" s="151" t="n"/>
      <c r="BN866" s="151" t="n"/>
      <c r="BO866" s="151" t="n"/>
      <c r="BP866" s="151" t="n"/>
      <c r="BQ866" s="151" t="n"/>
      <c r="BR866" s="151" t="n"/>
      <c r="BS866" s="151" t="n"/>
      <c r="BT866" s="151" t="n"/>
    </row>
    <row r="867">
      <c r="BJ867" s="151" t="n">
        <v>797</v>
      </c>
      <c r="BK867" s="151" t="inlineStr">
        <is>
          <t>AGENTES, AJUSTADORES Y GESTORES DE SEGUROS DE VIDA</t>
        </is>
      </c>
      <c r="BL867" s="151" t="n"/>
      <c r="BM867" s="151" t="n"/>
      <c r="BN867" s="151" t="n"/>
      <c r="BO867" s="151" t="n"/>
      <c r="BP867" s="151" t="n"/>
      <c r="BQ867" s="151" t="n"/>
      <c r="BR867" s="151" t="n"/>
      <c r="BS867" s="151" t="n"/>
      <c r="BT867" s="151" t="n"/>
    </row>
    <row r="868">
      <c r="BJ868" s="151" t="n">
        <v>798</v>
      </c>
      <c r="BK868" s="151" t="inlineStr">
        <is>
          <t>AGENTES, AJUSTADORES Y GESTORES DE SEGUROS CONTRA RIESGOS AGROPECUARIOS</t>
        </is>
      </c>
      <c r="BL868" s="151" t="n"/>
      <c r="BM868" s="151" t="n"/>
      <c r="BN868" s="151" t="n"/>
      <c r="BO868" s="151" t="n"/>
      <c r="BP868" s="151" t="n"/>
      <c r="BQ868" s="151" t="n"/>
      <c r="BR868" s="151" t="n"/>
      <c r="BS868" s="151" t="n"/>
      <c r="BT868" s="151" t="n"/>
    </row>
    <row r="869">
      <c r="BJ869" s="151" t="n">
        <v>799</v>
      </c>
      <c r="BK869" s="151" t="inlineStr">
        <is>
          <t>AGENTES, AJUSTADORES Y GESTORES DE OTROS SEGUROS</t>
        </is>
      </c>
      <c r="BL869" s="151" t="n"/>
      <c r="BM869" s="151" t="n"/>
      <c r="BN869" s="151" t="n"/>
      <c r="BO869" s="151" t="n"/>
      <c r="BP869" s="151" t="n"/>
      <c r="BQ869" s="151" t="n"/>
      <c r="BR869" s="151" t="n"/>
      <c r="BS869" s="151" t="n"/>
      <c r="BT869" s="151" t="n"/>
    </row>
    <row r="870">
      <c r="BJ870" s="151" t="n">
        <v>800</v>
      </c>
      <c r="BK870" s="151" t="inlineStr">
        <is>
          <t>INGRESOS DERIVADOS DEL OTORGAMIENTO DE FIANZAS O AVALES</t>
        </is>
      </c>
      <c r="BL870" s="151" t="n"/>
      <c r="BM870" s="151" t="n"/>
      <c r="BN870" s="151" t="n"/>
      <c r="BO870" s="151" t="n"/>
      <c r="BP870" s="151" t="n"/>
      <c r="BQ870" s="151" t="n"/>
      <c r="BR870" s="151" t="n"/>
      <c r="BS870" s="151" t="n"/>
      <c r="BT870" s="151" t="n"/>
    </row>
    <row r="871">
      <c r="BJ871" s="151" t="n">
        <v>801</v>
      </c>
      <c r="BK871" s="151" t="inlineStr">
        <is>
          <t>ADMINISTRACION DE CAJAS DE PENSION Y DE SEGUROS INDEPENDIENTES</t>
        </is>
      </c>
      <c r="BL871" s="151" t="n"/>
      <c r="BM871" s="151" t="n"/>
      <c r="BN871" s="151" t="n"/>
      <c r="BO871" s="151" t="n"/>
      <c r="BP871" s="151" t="n"/>
      <c r="BQ871" s="151" t="n"/>
      <c r="BR871" s="151" t="n"/>
      <c r="BS871" s="151" t="n"/>
      <c r="BT871" s="151" t="n"/>
    </row>
    <row r="872">
      <c r="BJ872" s="151" t="n">
        <v>802</v>
      </c>
      <c r="BK872" s="151" t="inlineStr">
        <is>
          <t>ALQUILER DE VIVIENDAS AMUEBLADAS</t>
        </is>
      </c>
      <c r="BL872" s="151" t="n"/>
      <c r="BM872" s="151" t="n"/>
      <c r="BN872" s="151" t="n"/>
      <c r="BO872" s="151" t="n"/>
      <c r="BP872" s="151" t="n"/>
      <c r="BQ872" s="151" t="n"/>
      <c r="BR872" s="151" t="n"/>
      <c r="BS872" s="151" t="n"/>
      <c r="BT872" s="151" t="n"/>
    </row>
    <row r="873">
      <c r="BJ873" s="151" t="n">
        <v>803</v>
      </c>
      <c r="BK873" s="151" t="inlineStr">
        <is>
          <t>ALQUILER DE VIVIENDAS NO AMUEBLADAS</t>
        </is>
      </c>
      <c r="BL873" s="151" t="n"/>
      <c r="BM873" s="151" t="n"/>
      <c r="BN873" s="151" t="n"/>
      <c r="BO873" s="151" t="n"/>
      <c r="BP873" s="151" t="n"/>
      <c r="BQ873" s="151" t="n"/>
      <c r="BR873" s="151" t="n"/>
      <c r="BS873" s="151" t="n"/>
      <c r="BT873" s="151" t="n"/>
    </row>
    <row r="874">
      <c r="BJ874" s="151" t="n">
        <v>804</v>
      </c>
      <c r="BK874" s="151" t="inlineStr">
        <is>
          <t>ALQUILER DE SALONES PARA FIESTAS Y CONVENCIONES</t>
        </is>
      </c>
      <c r="BL874" s="151" t="n"/>
      <c r="BM874" s="151" t="n"/>
      <c r="BN874" s="151" t="n"/>
      <c r="BO874" s="151" t="n"/>
      <c r="BP874" s="151" t="n"/>
      <c r="BQ874" s="151" t="n"/>
      <c r="BR874" s="151" t="n"/>
      <c r="BS874" s="151" t="n"/>
      <c r="BT874" s="151" t="n"/>
    </row>
    <row r="875">
      <c r="BJ875" s="151" t="n">
        <v>805</v>
      </c>
      <c r="BK875" s="151" t="inlineStr">
        <is>
          <t>ALQUILER DE OFICINAS Y LOCALES COMERCIALES</t>
        </is>
      </c>
      <c r="BL875" s="151" t="n"/>
      <c r="BM875" s="151" t="n"/>
      <c r="BN875" s="151" t="n"/>
      <c r="BO875" s="151" t="n"/>
      <c r="BP875" s="151" t="n"/>
      <c r="BQ875" s="151" t="n"/>
      <c r="BR875" s="151" t="n"/>
      <c r="BS875" s="151" t="n"/>
      <c r="BT875" s="151" t="n"/>
    </row>
    <row r="876">
      <c r="BJ876" s="151" t="n">
        <v>806</v>
      </c>
      <c r="BK876" s="151" t="inlineStr">
        <is>
          <t>ALQUILER DE TEATROS, ESTADIOS, AUDITORIOS Y SIMILARES</t>
        </is>
      </c>
      <c r="BL876" s="151" t="n"/>
      <c r="BM876" s="151" t="n"/>
      <c r="BN876" s="151" t="n"/>
      <c r="BO876" s="151" t="n"/>
      <c r="BP876" s="151" t="n"/>
      <c r="BQ876" s="151" t="n"/>
      <c r="BR876" s="151" t="n"/>
      <c r="BS876" s="151" t="n"/>
      <c r="BT876" s="151" t="n"/>
    </row>
    <row r="877">
      <c r="BJ877" s="151" t="n">
        <v>807</v>
      </c>
      <c r="BK877" s="151" t="inlineStr">
        <is>
          <t>ALQUILER DE FINCAS DESTINADAS A FINES AGRICOLAS O GANADEROS</t>
        </is>
      </c>
      <c r="BL877" s="151" t="n"/>
      <c r="BM877" s="151" t="n"/>
      <c r="BN877" s="151" t="n"/>
      <c r="BO877" s="151" t="n"/>
      <c r="BP877" s="151" t="n"/>
      <c r="BQ877" s="151" t="n"/>
      <c r="BR877" s="151" t="n"/>
      <c r="BS877" s="151" t="n"/>
      <c r="BT877" s="151" t="n"/>
    </row>
    <row r="878">
      <c r="BJ878" s="151" t="n">
        <v>808</v>
      </c>
      <c r="BK878" s="151" t="inlineStr">
        <is>
          <t>ALQUILER DE OTROS INMUEBLES</t>
        </is>
      </c>
      <c r="BL878" s="151" t="n"/>
      <c r="BM878" s="151" t="n"/>
      <c r="BN878" s="151" t="n"/>
      <c r="BO878" s="151" t="n"/>
      <c r="BP878" s="151" t="n"/>
      <c r="BQ878" s="151" t="n"/>
      <c r="BR878" s="151" t="n"/>
      <c r="BS878" s="151" t="n"/>
      <c r="BT878" s="151" t="n"/>
    </row>
    <row r="879">
      <c r="BJ879" s="151" t="n">
        <v>809</v>
      </c>
      <c r="BK879" s="151" t="inlineStr">
        <is>
          <t>INMOBILIARIAS Y CORREDORES DE BIENES RAICES</t>
        </is>
      </c>
      <c r="BL879" s="151" t="n"/>
      <c r="BM879" s="151" t="n"/>
      <c r="BN879" s="151" t="n"/>
      <c r="BO879" s="151" t="n"/>
      <c r="BP879" s="151" t="n"/>
      <c r="BQ879" s="151" t="n"/>
      <c r="BR879" s="151" t="n"/>
      <c r="BS879" s="151" t="n"/>
      <c r="BT879" s="151" t="n"/>
    </row>
    <row r="880">
      <c r="BJ880" s="151" t="n">
        <v>810</v>
      </c>
      <c r="BK880" s="151" t="inlineStr">
        <is>
          <t>CAPTACION, TRATAMIENTO Y SUMINISTRO DE AGUA PARA USO DOMESTICO REALIZADOS POR PARTICULARES</t>
        </is>
      </c>
      <c r="BL880" s="151" t="n"/>
      <c r="BM880" s="151" t="n"/>
      <c r="BN880" s="151" t="n"/>
      <c r="BO880" s="151" t="n"/>
      <c r="BP880" s="151" t="n"/>
      <c r="BQ880" s="151" t="n"/>
      <c r="BR880" s="151" t="n"/>
      <c r="BS880" s="151" t="n"/>
      <c r="BT880" s="151" t="n"/>
    </row>
    <row r="881">
      <c r="BJ881" s="151" t="n">
        <v>811</v>
      </c>
      <c r="BK881" s="151" t="inlineStr">
        <is>
          <t>SERVICIOS DE ADMINISTRACION DE INMUEBLES</t>
        </is>
      </c>
      <c r="BL881" s="151" t="n"/>
      <c r="BM881" s="151" t="n"/>
      <c r="BN881" s="151" t="n"/>
      <c r="BO881" s="151" t="n"/>
      <c r="BP881" s="151" t="n"/>
      <c r="BQ881" s="151" t="n"/>
      <c r="BR881" s="151" t="n"/>
      <c r="BS881" s="151" t="n"/>
      <c r="BT881" s="151" t="n"/>
    </row>
    <row r="882">
      <c r="BJ882" s="151" t="n">
        <v>812</v>
      </c>
      <c r="BK882" s="151" t="inlineStr">
        <is>
          <t>OTROS SERVICIOS RELACIONADOS CON LOS SERVICIOS INMOBILIARIOS</t>
        </is>
      </c>
      <c r="BL882" s="151" t="n"/>
      <c r="BM882" s="151" t="n"/>
      <c r="BN882" s="151" t="n"/>
      <c r="BO882" s="151" t="n"/>
      <c r="BP882" s="151" t="n"/>
      <c r="BQ882" s="151" t="n"/>
      <c r="BR882" s="151" t="n"/>
      <c r="BS882" s="151" t="n"/>
      <c r="BT882" s="151" t="n"/>
    </row>
    <row r="883">
      <c r="BJ883" s="151" t="n">
        <v>813</v>
      </c>
      <c r="BK883" s="151" t="inlineStr">
        <is>
          <t>ADMINISTRACION DE BIEN INMUEBLE DESTINADO A HOSPEDAJE</t>
        </is>
      </c>
      <c r="BL883" s="151" t="n"/>
      <c r="BM883" s="151" t="n"/>
      <c r="BN883" s="151" t="n"/>
      <c r="BO883" s="151" t="n"/>
      <c r="BP883" s="151" t="n"/>
      <c r="BQ883" s="151" t="n"/>
      <c r="BR883" s="151" t="n"/>
      <c r="BS883" s="151" t="n"/>
      <c r="BT883" s="151" t="n"/>
    </row>
    <row r="884">
      <c r="BJ884" s="151" t="n">
        <v>814</v>
      </c>
      <c r="BK884" s="151" t="inlineStr">
        <is>
          <t>ALQUILER DE AUTOMOVILES SIN CHOFER</t>
        </is>
      </c>
      <c r="BL884" s="151" t="n"/>
      <c r="BM884" s="151" t="n"/>
      <c r="BN884" s="151" t="n"/>
      <c r="BO884" s="151" t="n"/>
      <c r="BP884" s="151" t="n"/>
      <c r="BQ884" s="151" t="n"/>
      <c r="BR884" s="151" t="n"/>
      <c r="BS884" s="151" t="n"/>
      <c r="BT884" s="151" t="n"/>
    </row>
    <row r="885">
      <c r="BJ885" s="151" t="n">
        <v>815</v>
      </c>
      <c r="BK885" s="151" t="inlineStr">
        <is>
          <t>ALQUILER DE CAMIONES DE CARGA SIN CHOFER</t>
        </is>
      </c>
      <c r="BL885" s="151" t="n"/>
      <c r="BM885" s="151" t="n"/>
      <c r="BN885" s="151" t="n"/>
      <c r="BO885" s="151" t="n"/>
      <c r="BP885" s="151" t="n"/>
      <c r="BQ885" s="151" t="n"/>
      <c r="BR885" s="151" t="n"/>
      <c r="BS885" s="151" t="n"/>
      <c r="BT885" s="151" t="n"/>
    </row>
    <row r="886">
      <c r="BJ886" s="151" t="n">
        <v>816</v>
      </c>
      <c r="BK886" s="151" t="inlineStr">
        <is>
          <t>ALQUILER DE AUTOBUSES, MINIBUSES Y REMOLQUES SIN CHOFER</t>
        </is>
      </c>
      <c r="BL886" s="151" t="n"/>
      <c r="BM886" s="151" t="n"/>
      <c r="BN886" s="151" t="n"/>
      <c r="BO886" s="151" t="n"/>
      <c r="BP886" s="151" t="n"/>
      <c r="BQ886" s="151" t="n"/>
      <c r="BR886" s="151" t="n"/>
      <c r="BS886" s="151" t="n"/>
      <c r="BT886" s="151" t="n"/>
    </row>
    <row r="887">
      <c r="BJ887" s="151" t="n">
        <v>817</v>
      </c>
      <c r="BK887" s="151" t="inlineStr">
        <is>
          <t>ALQUILER DE APARATOS ELECTRICOS Y ELECTRONICOS PARA EL HOGAR</t>
        </is>
      </c>
      <c r="BL887" s="151" t="n"/>
      <c r="BM887" s="151" t="n"/>
      <c r="BN887" s="151" t="n"/>
      <c r="BO887" s="151" t="n"/>
      <c r="BP887" s="151" t="n"/>
      <c r="BQ887" s="151" t="n"/>
      <c r="BR887" s="151" t="n"/>
      <c r="BS887" s="151" t="n"/>
      <c r="BT887" s="151" t="n"/>
    </row>
    <row r="888">
      <c r="BJ888" s="151" t="n">
        <v>818</v>
      </c>
      <c r="BK888" s="151" t="inlineStr">
        <is>
          <t>ALQUILER DE ROPA</t>
        </is>
      </c>
      <c r="BL888" s="151" t="n"/>
      <c r="BM888" s="151" t="n"/>
      <c r="BN888" s="151" t="n"/>
      <c r="BO888" s="151" t="n"/>
      <c r="BP888" s="151" t="n"/>
      <c r="BQ888" s="151" t="n"/>
      <c r="BR888" s="151" t="n"/>
      <c r="BS888" s="151" t="n"/>
      <c r="BT888" s="151" t="n"/>
    </row>
    <row r="889">
      <c r="BJ889" s="151" t="n">
        <v>819</v>
      </c>
      <c r="BK889" s="151" t="inlineStr">
        <is>
          <t>ALQUILER DE VIDEOCASETES Y DISCOS</t>
        </is>
      </c>
      <c r="BL889" s="151" t="n"/>
      <c r="BM889" s="151" t="n"/>
      <c r="BN889" s="151" t="n"/>
      <c r="BO889" s="151" t="n"/>
      <c r="BP889" s="151" t="n"/>
      <c r="BQ889" s="151" t="n"/>
      <c r="BR889" s="151" t="n"/>
      <c r="BS889" s="151" t="n"/>
      <c r="BT889" s="151" t="n"/>
    </row>
    <row r="890">
      <c r="BJ890" s="151" t="n">
        <v>820</v>
      </c>
      <c r="BK890" s="151" t="inlineStr">
        <is>
          <t>ALQUILER DE MESAS, SILLAS, VAJILLAS Y SIMILARES</t>
        </is>
      </c>
      <c r="BL890" s="151" t="n"/>
      <c r="BM890" s="151" t="n"/>
      <c r="BN890" s="151" t="n"/>
      <c r="BO890" s="151" t="n"/>
      <c r="BP890" s="151" t="n"/>
      <c r="BQ890" s="151" t="n"/>
      <c r="BR890" s="151" t="n"/>
      <c r="BS890" s="151" t="n"/>
      <c r="BT890" s="151" t="n"/>
    </row>
    <row r="891">
      <c r="BJ891" s="151" t="n">
        <v>821</v>
      </c>
      <c r="BK891" s="151" t="inlineStr">
        <is>
          <t>ALQUILER DE INSTRUMENTOS MUSICALES</t>
        </is>
      </c>
      <c r="BL891" s="151" t="n"/>
      <c r="BM891" s="151" t="n"/>
      <c r="BN891" s="151" t="n"/>
      <c r="BO891" s="151" t="n"/>
      <c r="BP891" s="151" t="n"/>
      <c r="BQ891" s="151" t="n"/>
      <c r="BR891" s="151" t="n"/>
      <c r="BS891" s="151" t="n"/>
      <c r="BT891" s="151" t="n"/>
    </row>
    <row r="892">
      <c r="BJ892" s="151" t="n">
        <v>822</v>
      </c>
      <c r="BK892" s="151" t="inlineStr">
        <is>
          <t>ALQUILER DE OTROS ARTICULOS PARA EL HOGAR</t>
        </is>
      </c>
      <c r="BL892" s="151" t="n"/>
      <c r="BM892" s="151" t="n"/>
      <c r="BN892" s="151" t="n"/>
      <c r="BO892" s="151" t="n"/>
      <c r="BP892" s="151" t="n"/>
      <c r="BQ892" s="151" t="n"/>
      <c r="BR892" s="151" t="n"/>
      <c r="BS892" s="151" t="n"/>
      <c r="BT892" s="151" t="n"/>
    </row>
    <row r="893">
      <c r="BJ893" s="151" t="n">
        <v>823</v>
      </c>
      <c r="BK893" s="151" t="inlineStr">
        <is>
          <t>CENTROS GENERALES DE ALQUILER</t>
        </is>
      </c>
      <c r="BL893" s="151" t="n"/>
      <c r="BM893" s="151" t="n"/>
      <c r="BN893" s="151" t="n"/>
      <c r="BO893" s="151" t="n"/>
      <c r="BP893" s="151" t="n"/>
      <c r="BQ893" s="151" t="n"/>
      <c r="BR893" s="151" t="n"/>
      <c r="BS893" s="151" t="n"/>
      <c r="BT893" s="151" t="n"/>
    </row>
    <row r="894">
      <c r="BJ894" s="151" t="n">
        <v>824</v>
      </c>
      <c r="BK894" s="151" t="inlineStr">
        <is>
          <t>ALQUILER DE MAQUINARIA PARA CONSTRUCCION, MINERIA Y ACTIVIDADES FORESTALES</t>
        </is>
      </c>
      <c r="BL894" s="151" t="n"/>
      <c r="BM894" s="151" t="n"/>
      <c r="BN894" s="151" t="n"/>
      <c r="BO894" s="151" t="n"/>
      <c r="BP894" s="151" t="n"/>
      <c r="BQ894" s="151" t="n"/>
      <c r="BR894" s="151" t="n"/>
      <c r="BS894" s="151" t="n"/>
      <c r="BT894" s="151" t="n"/>
    </row>
    <row r="895">
      <c r="BJ895" s="151" t="n">
        <v>825</v>
      </c>
      <c r="BK895" s="151" t="inlineStr">
        <is>
          <t>ALQUILER DE EQUIPO DE TRANSPORTE, EXCEPTO TERRESTRE</t>
        </is>
      </c>
      <c r="BL895" s="151" t="n"/>
      <c r="BM895" s="151" t="n"/>
      <c r="BN895" s="151" t="n"/>
      <c r="BO895" s="151" t="n"/>
      <c r="BP895" s="151" t="n"/>
      <c r="BQ895" s="151" t="n"/>
      <c r="BR895" s="151" t="n"/>
      <c r="BS895" s="151" t="n"/>
      <c r="BT895" s="151" t="n"/>
    </row>
    <row r="896">
      <c r="BJ896" s="151" t="n">
        <v>826</v>
      </c>
      <c r="BK896" s="151" t="inlineStr">
        <is>
          <t>ALQUILER DE EQUIPO DE COMPUTO Y DE OTRAS MAQUINAS Y MOBILIARIO DE OFICINA</t>
        </is>
      </c>
      <c r="BL896" s="151" t="n"/>
      <c r="BM896" s="151" t="n"/>
      <c r="BN896" s="151" t="n"/>
      <c r="BO896" s="151" t="n"/>
      <c r="BP896" s="151" t="n"/>
      <c r="BQ896" s="151" t="n"/>
      <c r="BR896" s="151" t="n"/>
      <c r="BS896" s="151" t="n"/>
      <c r="BT896" s="151" t="n"/>
    </row>
    <row r="897">
      <c r="BJ897" s="151" t="n">
        <v>827</v>
      </c>
      <c r="BK897" s="151" t="inlineStr">
        <is>
          <t>ALQUILER DE MAQUINARIA Y EQUIPO AGROPECUARIO, PESQUERO Y PARA LA INDUSTRIA DE LA TRANSFORMACION</t>
        </is>
      </c>
      <c r="BL897" s="151" t="n"/>
      <c r="BM897" s="151" t="n"/>
      <c r="BN897" s="151" t="n"/>
      <c r="BO897" s="151" t="n"/>
      <c r="BP897" s="151" t="n"/>
      <c r="BQ897" s="151" t="n"/>
      <c r="BR897" s="151" t="n"/>
      <c r="BS897" s="151" t="n"/>
      <c r="BT897" s="151" t="n"/>
    </row>
    <row r="898">
      <c r="BJ898" s="151" t="n">
        <v>828</v>
      </c>
      <c r="BK898" s="151" t="inlineStr">
        <is>
          <t>ALQUILER DE EQUIPO PARA LEVANTAR, MOVER Y ACOMODAR MATERIALES</t>
        </is>
      </c>
      <c r="BL898" s="151" t="n"/>
      <c r="BM898" s="151" t="n"/>
      <c r="BN898" s="151" t="n"/>
      <c r="BO898" s="151" t="n"/>
      <c r="BP898" s="151" t="n"/>
      <c r="BQ898" s="151" t="n"/>
      <c r="BR898" s="151" t="n"/>
      <c r="BS898" s="151" t="n"/>
      <c r="BT898" s="151" t="n"/>
    </row>
    <row r="899">
      <c r="BJ899" s="151" t="n">
        <v>829</v>
      </c>
      <c r="BK899" s="151" t="inlineStr">
        <is>
          <t>ALQUILER DE EQUIPO PARA EL COMERCIO Y LOS SERVICIOS</t>
        </is>
      </c>
      <c r="BL899" s="151" t="n"/>
      <c r="BM899" s="151" t="n"/>
      <c r="BN899" s="151" t="n"/>
      <c r="BO899" s="151" t="n"/>
      <c r="BP899" s="151" t="n"/>
      <c r="BQ899" s="151" t="n"/>
      <c r="BR899" s="151" t="n"/>
      <c r="BS899" s="151" t="n"/>
      <c r="BT899" s="151" t="n"/>
    </row>
    <row r="900">
      <c r="BJ900" s="151" t="n">
        <v>830</v>
      </c>
      <c r="BK900" s="151" t="inlineStr">
        <is>
          <t>REGALIAS POR USO O GOCE TEMPORAL DE PATENTES Y FRANQUICIAS</t>
        </is>
      </c>
      <c r="BL900" s="151" t="n"/>
      <c r="BM900" s="151" t="n"/>
      <c r="BN900" s="151" t="n"/>
      <c r="BO900" s="151" t="n"/>
      <c r="BP900" s="151" t="n"/>
      <c r="BQ900" s="151" t="n"/>
      <c r="BR900" s="151" t="n"/>
      <c r="BS900" s="151" t="n"/>
      <c r="BT900" s="151" t="n"/>
    </row>
    <row r="901">
      <c r="BJ901" s="151" t="n">
        <v>831</v>
      </c>
      <c r="BK901" s="151" t="inlineStr">
        <is>
          <t>BUFETES JURIDICOS</t>
        </is>
      </c>
      <c r="BL901" s="151" t="n"/>
      <c r="BM901" s="151" t="n"/>
      <c r="BN901" s="151" t="n"/>
      <c r="BO901" s="151" t="n"/>
      <c r="BP901" s="151" t="n"/>
      <c r="BQ901" s="151" t="n"/>
      <c r="BR901" s="151" t="n"/>
      <c r="BS901" s="151" t="n"/>
      <c r="BT901" s="151" t="n"/>
    </row>
    <row r="902">
      <c r="BJ902" s="151" t="n">
        <v>832</v>
      </c>
      <c r="BK902" s="151" t="inlineStr">
        <is>
          <t>NOTARIAS PUBLICAS</t>
        </is>
      </c>
      <c r="BL902" s="151" t="n"/>
      <c r="BM902" s="151" t="n"/>
      <c r="BN902" s="151" t="n"/>
      <c r="BO902" s="151" t="n"/>
      <c r="BP902" s="151" t="n"/>
      <c r="BQ902" s="151" t="n"/>
      <c r="BR902" s="151" t="n"/>
      <c r="BS902" s="151" t="n"/>
      <c r="BT902" s="151" t="n"/>
    </row>
    <row r="903">
      <c r="BJ903" s="151" t="n">
        <v>833</v>
      </c>
      <c r="BK903" s="151" t="inlineStr">
        <is>
          <t>SERVICIOS DE APOYO PARA EFECTUAR TRAMITES LEGALES</t>
        </is>
      </c>
      <c r="BL903" s="151" t="n"/>
      <c r="BM903" s="151" t="n"/>
      <c r="BN903" s="151" t="n"/>
      <c r="BO903" s="151" t="n"/>
      <c r="BP903" s="151" t="n"/>
      <c r="BQ903" s="151" t="n"/>
      <c r="BR903" s="151" t="n"/>
      <c r="BS903" s="151" t="n"/>
      <c r="BT903" s="151" t="n"/>
    </row>
    <row r="904">
      <c r="BJ904" s="151" t="n">
        <v>834</v>
      </c>
      <c r="BK904" s="151" t="inlineStr">
        <is>
          <t>SERVICIOS DE CONTABILIDAD Y AUDITORIA</t>
        </is>
      </c>
      <c r="BL904" s="151" t="n"/>
      <c r="BM904" s="151" t="n"/>
      <c r="BN904" s="151" t="n"/>
      <c r="BO904" s="151" t="n"/>
      <c r="BP904" s="151" t="n"/>
      <c r="BQ904" s="151" t="n"/>
      <c r="BR904" s="151" t="n"/>
      <c r="BS904" s="151" t="n"/>
      <c r="BT904" s="151" t="n"/>
    </row>
    <row r="905">
      <c r="BJ905" s="151" t="n">
        <v>835</v>
      </c>
      <c r="BK905" s="151" t="inlineStr">
        <is>
          <t>OTROS SERVICIOS RELACIONADOS CON LA CONTABILIDAD</t>
        </is>
      </c>
      <c r="BL905" s="151" t="n"/>
      <c r="BM905" s="151" t="n"/>
      <c r="BN905" s="151" t="n"/>
      <c r="BO905" s="151" t="n"/>
      <c r="BP905" s="151" t="n"/>
      <c r="BQ905" s="151" t="n"/>
      <c r="BR905" s="151" t="n"/>
      <c r="BS905" s="151" t="n"/>
      <c r="BT905" s="151" t="n"/>
    </row>
    <row r="906">
      <c r="BJ906" s="151" t="n">
        <v>836</v>
      </c>
      <c r="BK906" s="151" t="inlineStr">
        <is>
          <t>SERVICIOS DE ARQUITECTURA</t>
        </is>
      </c>
      <c r="BL906" s="151" t="n"/>
      <c r="BM906" s="151" t="n"/>
      <c r="BN906" s="151" t="n"/>
      <c r="BO906" s="151" t="n"/>
      <c r="BP906" s="151" t="n"/>
      <c r="BQ906" s="151" t="n"/>
      <c r="BR906" s="151" t="n"/>
      <c r="BS906" s="151" t="n"/>
      <c r="BT906" s="151" t="n"/>
    </row>
    <row r="907">
      <c r="BJ907" s="151" t="n">
        <v>837</v>
      </c>
      <c r="BK907" s="151" t="inlineStr">
        <is>
          <t>SERVICIOS DE ARQUITECTURA DE PAISAJE Y URBANISMO</t>
        </is>
      </c>
      <c r="BL907" s="151" t="n"/>
      <c r="BM907" s="151" t="n"/>
      <c r="BN907" s="151" t="n"/>
      <c r="BO907" s="151" t="n"/>
      <c r="BP907" s="151" t="n"/>
      <c r="BQ907" s="151" t="n"/>
      <c r="BR907" s="151" t="n"/>
      <c r="BS907" s="151" t="n"/>
      <c r="BT907" s="151" t="n"/>
    </row>
    <row r="908">
      <c r="BJ908" s="151" t="n">
        <v>838</v>
      </c>
      <c r="BK908" s="151" t="inlineStr">
        <is>
          <t>SERVICIOS DE INGENIERIA</t>
        </is>
      </c>
      <c r="BL908" s="151" t="n"/>
      <c r="BM908" s="151" t="n"/>
      <c r="BN908" s="151" t="n"/>
      <c r="BO908" s="151" t="n"/>
      <c r="BP908" s="151" t="n"/>
      <c r="BQ908" s="151" t="n"/>
      <c r="BR908" s="151" t="n"/>
      <c r="BS908" s="151" t="n"/>
      <c r="BT908" s="151" t="n"/>
    </row>
    <row r="909">
      <c r="BJ909" s="151" t="n">
        <v>839</v>
      </c>
      <c r="BK909" s="151" t="inlineStr">
        <is>
          <t>SERVICIOS DE DIBUJO</t>
        </is>
      </c>
      <c r="BL909" s="151" t="n"/>
      <c r="BM909" s="151" t="n"/>
      <c r="BN909" s="151" t="n"/>
      <c r="BO909" s="151" t="n"/>
      <c r="BP909" s="151" t="n"/>
      <c r="BQ909" s="151" t="n"/>
      <c r="BR909" s="151" t="n"/>
      <c r="BS909" s="151" t="n"/>
      <c r="BT909" s="151" t="n"/>
    </row>
    <row r="910">
      <c r="BJ910" s="151" t="n">
        <v>840</v>
      </c>
      <c r="BK910" s="151" t="inlineStr">
        <is>
          <t>SERVICIOS DE INSPECCION DE EDIFICIOS</t>
        </is>
      </c>
      <c r="BL910" s="151" t="n"/>
      <c r="BM910" s="151" t="n"/>
      <c r="BN910" s="151" t="n"/>
      <c r="BO910" s="151" t="n"/>
      <c r="BP910" s="151" t="n"/>
      <c r="BQ910" s="151" t="n"/>
      <c r="BR910" s="151" t="n"/>
      <c r="BS910" s="151" t="n"/>
      <c r="BT910" s="151" t="n"/>
    </row>
    <row r="911">
      <c r="BJ911" s="151" t="n">
        <v>841</v>
      </c>
      <c r="BK911" s="151" t="inlineStr">
        <is>
          <t>SERVICIOS DE LEVANTAMIENTO GEOFISICO</t>
        </is>
      </c>
      <c r="BL911" s="151" t="n"/>
      <c r="BM911" s="151" t="n"/>
      <c r="BN911" s="151" t="n"/>
      <c r="BO911" s="151" t="n"/>
      <c r="BP911" s="151" t="n"/>
      <c r="BQ911" s="151" t="n"/>
      <c r="BR911" s="151" t="n"/>
      <c r="BS911" s="151" t="n"/>
      <c r="BT911" s="151" t="n"/>
    </row>
    <row r="912">
      <c r="BJ912" s="151" t="n">
        <v>842</v>
      </c>
      <c r="BK912" s="151" t="inlineStr">
        <is>
          <t>SERVICIOS DE ELABORACION DE MAPAS</t>
        </is>
      </c>
      <c r="BL912" s="151" t="n"/>
      <c r="BM912" s="151" t="n"/>
      <c r="BN912" s="151" t="n"/>
      <c r="BO912" s="151" t="n"/>
      <c r="BP912" s="151" t="n"/>
      <c r="BQ912" s="151" t="n"/>
      <c r="BR912" s="151" t="n"/>
      <c r="BS912" s="151" t="n"/>
      <c r="BT912" s="151" t="n"/>
    </row>
    <row r="913">
      <c r="BJ913" s="151" t="n">
        <v>843</v>
      </c>
      <c r="BK913" s="151" t="inlineStr">
        <is>
          <t>LABORATORIOS DE PRUEBAS</t>
        </is>
      </c>
      <c r="BL913" s="151" t="n"/>
      <c r="BM913" s="151" t="n"/>
      <c r="BN913" s="151" t="n"/>
      <c r="BO913" s="151" t="n"/>
      <c r="BP913" s="151" t="n"/>
      <c r="BQ913" s="151" t="n"/>
      <c r="BR913" s="151" t="n"/>
      <c r="BS913" s="151" t="n"/>
      <c r="BT913" s="151" t="n"/>
    </row>
    <row r="914">
      <c r="BJ914" s="151" t="n">
        <v>844</v>
      </c>
      <c r="BK914" s="151" t="inlineStr">
        <is>
          <t>DISE?O Y DECORACION DE INTERIORES</t>
        </is>
      </c>
      <c r="BL914" s="151" t="n"/>
      <c r="BM914" s="151" t="n"/>
      <c r="BN914" s="151" t="n"/>
      <c r="BO914" s="151" t="n"/>
      <c r="BP914" s="151" t="n"/>
      <c r="BQ914" s="151" t="n"/>
      <c r="BR914" s="151" t="n"/>
      <c r="BS914" s="151" t="n"/>
      <c r="BT914" s="151" t="n"/>
    </row>
    <row r="915">
      <c r="BJ915" s="151" t="n">
        <v>845</v>
      </c>
      <c r="BK915" s="151" t="inlineStr">
        <is>
          <t>DISE?O INDUSTRIAL</t>
        </is>
      </c>
      <c r="BL915" s="151" t="n"/>
      <c r="BM915" s="151" t="n"/>
      <c r="BN915" s="151" t="n"/>
      <c r="BO915" s="151" t="n"/>
      <c r="BP915" s="151" t="n"/>
      <c r="BQ915" s="151" t="n"/>
      <c r="BR915" s="151" t="n"/>
      <c r="BS915" s="151" t="n"/>
      <c r="BT915" s="151" t="n"/>
    </row>
    <row r="916">
      <c r="BJ916" s="151" t="n">
        <v>846</v>
      </c>
      <c r="BK916" s="151" t="inlineStr">
        <is>
          <t>DISE?O GRAFICO</t>
        </is>
      </c>
      <c r="BL916" s="151" t="n"/>
      <c r="BM916" s="151" t="n"/>
      <c r="BN916" s="151" t="n"/>
      <c r="BO916" s="151" t="n"/>
      <c r="BP916" s="151" t="n"/>
      <c r="BQ916" s="151" t="n"/>
      <c r="BR916" s="151" t="n"/>
      <c r="BS916" s="151" t="n"/>
      <c r="BT916" s="151" t="n"/>
    </row>
    <row r="917">
      <c r="BJ917" s="151" t="n">
        <v>847</v>
      </c>
      <c r="BK917" s="151" t="inlineStr">
        <is>
          <t>DISE?O DE MODAS Y OTROS DISE?OS ESPECIALIZADOS</t>
        </is>
      </c>
      <c r="BL917" s="151" t="n"/>
      <c r="BM917" s="151" t="n"/>
      <c r="BN917" s="151" t="n"/>
      <c r="BO917" s="151" t="n"/>
      <c r="BP917" s="151" t="n"/>
      <c r="BQ917" s="151" t="n"/>
      <c r="BR917" s="151" t="n"/>
      <c r="BS917" s="151" t="n"/>
      <c r="BT917" s="151" t="n"/>
    </row>
    <row r="918">
      <c r="BJ918" s="151" t="n">
        <v>848</v>
      </c>
      <c r="BK918" s="151" t="inlineStr">
        <is>
          <t>SERVICIOS DE CONSULTORIA EN COMPUTACION</t>
        </is>
      </c>
      <c r="BL918" s="151" t="n"/>
      <c r="BM918" s="151" t="n"/>
      <c r="BN918" s="151" t="n"/>
      <c r="BO918" s="151" t="n"/>
      <c r="BP918" s="151" t="n"/>
      <c r="BQ918" s="151" t="n"/>
      <c r="BR918" s="151" t="n"/>
      <c r="BS918" s="151" t="n"/>
      <c r="BT918" s="151" t="n"/>
    </row>
    <row r="919">
      <c r="BJ919" s="151" t="n">
        <v>849</v>
      </c>
      <c r="BK919" s="151" t="inlineStr">
        <is>
          <t>SERVICIOS DE CONSULTORIA EN ADMINISTRACION</t>
        </is>
      </c>
      <c r="BL919" s="151" t="n"/>
      <c r="BM919" s="151" t="n"/>
      <c r="BN919" s="151" t="n"/>
      <c r="BO919" s="151" t="n"/>
      <c r="BP919" s="151" t="n"/>
      <c r="BQ919" s="151" t="n"/>
      <c r="BR919" s="151" t="n"/>
      <c r="BS919" s="151" t="n"/>
      <c r="BT919" s="151" t="n"/>
    </row>
    <row r="920">
      <c r="BJ920" s="151" t="n">
        <v>850</v>
      </c>
      <c r="BK920" s="151" t="inlineStr">
        <is>
          <t>SERVICIOS DE CONSULTORIA EN MEDIO AMBIENTE</t>
        </is>
      </c>
      <c r="BL920" s="151" t="n"/>
      <c r="BM920" s="151" t="n"/>
      <c r="BN920" s="151" t="n"/>
      <c r="BO920" s="151" t="n"/>
      <c r="BP920" s="151" t="n"/>
      <c r="BQ920" s="151" t="n"/>
      <c r="BR920" s="151" t="n"/>
      <c r="BS920" s="151" t="n"/>
      <c r="BT920" s="151" t="n"/>
    </row>
    <row r="921">
      <c r="BJ921" s="151" t="n">
        <v>851</v>
      </c>
      <c r="BK921" s="151" t="inlineStr">
        <is>
          <t>OTROS SERVICIOS DE CONSULTORIA CIENTIFICA Y TECNICA</t>
        </is>
      </c>
      <c r="BL921" s="151" t="n"/>
      <c r="BM921" s="151" t="n"/>
      <c r="BN921" s="151" t="n"/>
      <c r="BO921" s="151" t="n"/>
      <c r="BP921" s="151" t="n"/>
      <c r="BQ921" s="151" t="n"/>
      <c r="BR921" s="151" t="n"/>
      <c r="BS921" s="151" t="n"/>
      <c r="BT921" s="151" t="n"/>
    </row>
    <row r="922">
      <c r="BJ922" s="151" t="n">
        <v>852</v>
      </c>
      <c r="BK922" s="151" t="inlineStr">
        <is>
          <t>SERVICIOS DE INVESTIGACION Y DESARROLLO EN CIENCIAS FISICAS, DE LA VIDA E INGENIERIA PRESTADOS POR EL SECTOR PRIVADO</t>
        </is>
      </c>
      <c r="BL922" s="151" t="n"/>
      <c r="BM922" s="151" t="n"/>
      <c r="BN922" s="151" t="n"/>
      <c r="BO922" s="151" t="n"/>
      <c r="BP922" s="151" t="n"/>
      <c r="BQ922" s="151" t="n"/>
      <c r="BR922" s="151" t="n"/>
      <c r="BS922" s="151" t="n"/>
      <c r="BT922" s="151" t="n"/>
    </row>
    <row r="923">
      <c r="BJ923" s="151" t="n">
        <v>853</v>
      </c>
      <c r="BK923" s="151" t="inlineStr">
        <is>
          <t>SERVICIOS DE INVESTIGACION Y DESARROLLO EN CIENCIAS FISICAS, DE LA VIDA E INGENIERIA PRESTADOS POR EL SECTOR PUBLICO</t>
        </is>
      </c>
      <c r="BL923" s="151" t="n"/>
      <c r="BM923" s="151" t="n"/>
      <c r="BN923" s="151" t="n"/>
      <c r="BO923" s="151" t="n"/>
      <c r="BP923" s="151" t="n"/>
      <c r="BQ923" s="151" t="n"/>
      <c r="BR923" s="151" t="n"/>
      <c r="BS923" s="151" t="n"/>
      <c r="BT923" s="151" t="n"/>
    </row>
    <row r="924">
      <c r="BJ924" s="151" t="n">
        <v>854</v>
      </c>
      <c r="BK924" s="151" t="inlineStr">
        <is>
          <t>SERVICIOS DE INVESTIGACION Y DESARROLLO EN CIENCIAS SOCIALES Y HUMANIDADES PRESTADOS POR EL SECTOR PRIVADO</t>
        </is>
      </c>
      <c r="BL924" s="151" t="n"/>
      <c r="BM924" s="151" t="n"/>
      <c r="BN924" s="151" t="n"/>
      <c r="BO924" s="151" t="n"/>
      <c r="BP924" s="151" t="n"/>
      <c r="BQ924" s="151" t="n"/>
      <c r="BR924" s="151" t="n"/>
      <c r="BS924" s="151" t="n"/>
      <c r="BT924" s="151" t="n"/>
    </row>
    <row r="925">
      <c r="BJ925" s="151" t="n">
        <v>855</v>
      </c>
      <c r="BK925" s="151" t="inlineStr">
        <is>
          <t>SERVICIOS DE INVESTIGACION Y DESARROLLO EN CIENCIAS SOCIALES Y HUMANIDADES PRESTADOS POR EL SECTOR PUBLICO</t>
        </is>
      </c>
      <c r="BL925" s="151" t="n"/>
      <c r="BM925" s="151" t="n"/>
      <c r="BN925" s="151" t="n"/>
      <c r="BO925" s="151" t="n"/>
      <c r="BP925" s="151" t="n"/>
      <c r="BQ925" s="151" t="n"/>
      <c r="BR925" s="151" t="n"/>
      <c r="BS925" s="151" t="n"/>
      <c r="BT925" s="151" t="n"/>
    </row>
    <row r="926">
      <c r="BJ926" s="151" t="n">
        <v>856</v>
      </c>
      <c r="BK926" s="151" t="inlineStr">
        <is>
          <t>AGENCIAS DE PUBLICIDAD</t>
        </is>
      </c>
      <c r="BL926" s="151" t="n"/>
      <c r="BM926" s="151" t="n"/>
      <c r="BN926" s="151" t="n"/>
      <c r="BO926" s="151" t="n"/>
      <c r="BP926" s="151" t="n"/>
      <c r="BQ926" s="151" t="n"/>
      <c r="BR926" s="151" t="n"/>
      <c r="BS926" s="151" t="n"/>
      <c r="BT926" s="151" t="n"/>
    </row>
    <row r="927">
      <c r="BJ927" s="151" t="n">
        <v>857</v>
      </c>
      <c r="BK927" s="151" t="inlineStr">
        <is>
          <t>AGENCIAS DE RELACIONES PUBLICAS</t>
        </is>
      </c>
      <c r="BL927" s="151" t="n"/>
      <c r="BM927" s="151" t="n"/>
      <c r="BN927" s="151" t="n"/>
      <c r="BO927" s="151" t="n"/>
      <c r="BP927" s="151" t="n"/>
      <c r="BQ927" s="151" t="n"/>
      <c r="BR927" s="151" t="n"/>
      <c r="BS927" s="151" t="n"/>
      <c r="BT927" s="151" t="n"/>
    </row>
    <row r="928">
      <c r="BJ928" s="151" t="n">
        <v>858</v>
      </c>
      <c r="BK928" s="151" t="inlineStr">
        <is>
          <t>AGENCIAS DE COMPRA DE MEDIOS A PETICION DEL CLIENTE</t>
        </is>
      </c>
      <c r="BL928" s="151" t="n"/>
      <c r="BM928" s="151" t="n"/>
      <c r="BN928" s="151" t="n"/>
      <c r="BO928" s="151" t="n"/>
      <c r="BP928" s="151" t="n"/>
      <c r="BQ928" s="151" t="n"/>
      <c r="BR928" s="151" t="n"/>
      <c r="BS928" s="151" t="n"/>
      <c r="BT928" s="151" t="n"/>
    </row>
    <row r="929">
      <c r="BJ929" s="151" t="n">
        <v>859</v>
      </c>
      <c r="BK929" s="151" t="inlineStr">
        <is>
          <t>AGENCIAS DE REPRESENTACION DE MEDIOS</t>
        </is>
      </c>
      <c r="BL929" s="151" t="n"/>
      <c r="BM929" s="151" t="n"/>
      <c r="BN929" s="151" t="n"/>
      <c r="BO929" s="151" t="n"/>
      <c r="BP929" s="151" t="n"/>
      <c r="BQ929" s="151" t="n"/>
      <c r="BR929" s="151" t="n"/>
      <c r="BS929" s="151" t="n"/>
      <c r="BT929" s="151" t="n"/>
    </row>
    <row r="930">
      <c r="BJ930" s="151" t="n">
        <v>860</v>
      </c>
      <c r="BK930" s="151" t="inlineStr">
        <is>
          <t>AGENCIAS DE ANUNCIOS PUBLICITARIOS</t>
        </is>
      </c>
      <c r="BL930" s="151" t="n"/>
      <c r="BM930" s="151" t="n"/>
      <c r="BN930" s="151" t="n"/>
      <c r="BO930" s="151" t="n"/>
      <c r="BP930" s="151" t="n"/>
      <c r="BQ930" s="151" t="n"/>
      <c r="BR930" s="151" t="n"/>
      <c r="BS930" s="151" t="n"/>
      <c r="BT930" s="151" t="n"/>
    </row>
    <row r="931">
      <c r="BJ931" s="151" t="n">
        <v>861</v>
      </c>
      <c r="BK931" s="151" t="inlineStr">
        <is>
          <t>AGENCIAS DE PUBLICIDAD QUE OPERAN POR CORREO DIRECTO</t>
        </is>
      </c>
      <c r="BL931" s="151" t="n"/>
      <c r="BM931" s="151" t="n"/>
      <c r="BN931" s="151" t="n"/>
      <c r="BO931" s="151" t="n"/>
      <c r="BP931" s="151" t="n"/>
      <c r="BQ931" s="151" t="n"/>
      <c r="BR931" s="151" t="n"/>
      <c r="BS931" s="151" t="n"/>
      <c r="BT931" s="151" t="n"/>
    </row>
    <row r="932">
      <c r="BJ932" s="151" t="n">
        <v>862</v>
      </c>
      <c r="BK932" s="151" t="inlineStr">
        <is>
          <t>DISTRIBUCION DE MATERIAL PUBLICITARIO</t>
        </is>
      </c>
      <c r="BL932" s="151" t="n"/>
      <c r="BM932" s="151" t="n"/>
      <c r="BN932" s="151" t="n"/>
      <c r="BO932" s="151" t="n"/>
      <c r="BP932" s="151" t="n"/>
      <c r="BQ932" s="151" t="n"/>
      <c r="BR932" s="151" t="n"/>
      <c r="BS932" s="151" t="n"/>
      <c r="BT932" s="151" t="n"/>
    </row>
    <row r="933">
      <c r="BJ933" s="151" t="n">
        <v>863</v>
      </c>
      <c r="BK933" s="151" t="inlineStr">
        <is>
          <t>OTROS SERVICIOS DE PUBLICIDAD</t>
        </is>
      </c>
      <c r="BL933" s="151" t="n"/>
      <c r="BM933" s="151" t="n"/>
      <c r="BN933" s="151" t="n"/>
      <c r="BO933" s="151" t="n"/>
      <c r="BP933" s="151" t="n"/>
      <c r="BQ933" s="151" t="n"/>
      <c r="BR933" s="151" t="n"/>
      <c r="BS933" s="151" t="n"/>
      <c r="BT933" s="151" t="n"/>
    </row>
    <row r="934">
      <c r="BJ934" s="151" t="n">
        <v>864</v>
      </c>
      <c r="BK934" s="151" t="inlineStr">
        <is>
          <t>SERVICIOS DE INVESTIGACION DE MERCADOS Y ENCUESTAS DE OPINION PUBLICA</t>
        </is>
      </c>
      <c r="BL934" s="151" t="n"/>
      <c r="BM934" s="151" t="n"/>
      <c r="BN934" s="151" t="n"/>
      <c r="BO934" s="151" t="n"/>
      <c r="BP934" s="151" t="n"/>
      <c r="BQ934" s="151" t="n"/>
      <c r="BR934" s="151" t="n"/>
      <c r="BS934" s="151" t="n"/>
      <c r="BT934" s="151" t="n"/>
    </row>
    <row r="935">
      <c r="BJ935" s="151" t="n">
        <v>865</v>
      </c>
      <c r="BK935" s="151" t="inlineStr">
        <is>
          <t>SERVICIOS DE ESTUDIO FOTOGRAFICO</t>
        </is>
      </c>
      <c r="BL935" s="151" t="n"/>
      <c r="BM935" s="151" t="n"/>
      <c r="BN935" s="151" t="n"/>
      <c r="BO935" s="151" t="n"/>
      <c r="BP935" s="151" t="n"/>
      <c r="BQ935" s="151" t="n"/>
      <c r="BR935" s="151" t="n"/>
      <c r="BS935" s="151" t="n"/>
      <c r="BT935" s="151" t="n"/>
    </row>
    <row r="936">
      <c r="BJ936" s="151" t="n">
        <v>866</v>
      </c>
      <c r="BK936" s="151" t="inlineStr">
        <is>
          <t>SERVICIOS DE TRADUCCION E INTERPRETACION</t>
        </is>
      </c>
      <c r="BL936" s="151" t="n"/>
      <c r="BM936" s="151" t="n"/>
      <c r="BN936" s="151" t="n"/>
      <c r="BO936" s="151" t="n"/>
      <c r="BP936" s="151" t="n"/>
      <c r="BQ936" s="151" t="n"/>
      <c r="BR936" s="151" t="n"/>
      <c r="BS936" s="151" t="n"/>
      <c r="BT936" s="151" t="n"/>
    </row>
    <row r="937">
      <c r="BJ937" s="151" t="n">
        <v>867</v>
      </c>
      <c r="BK937" s="151" t="inlineStr">
        <is>
          <t>SERVICIOS VETERINARIOS PARA MASCOTAS PRESTADOS POR EL SECTOR PRIVADO QUE REQUIERAN DE TITULO DE MEDICO CONFORME A LAS LEYES</t>
        </is>
      </c>
      <c r="BL937" s="151" t="n"/>
      <c r="BM937" s="151" t="n"/>
      <c r="BN937" s="151" t="n"/>
      <c r="BO937" s="151" t="n"/>
      <c r="BP937" s="151" t="n"/>
      <c r="BQ937" s="151" t="n"/>
      <c r="BR937" s="151" t="n"/>
      <c r="BS937" s="151" t="n"/>
      <c r="BT937" s="151" t="n"/>
    </row>
    <row r="938">
      <c r="BJ938" s="151" t="n">
        <v>868</v>
      </c>
      <c r="BK938" s="151" t="inlineStr">
        <is>
          <t>SERVICIOS VETERINARIOS PARA MASCOTAS PRESTADOS POR EL SECTOR PUBLICO</t>
        </is>
      </c>
      <c r="BL938" s="151" t="n"/>
      <c r="BM938" s="151" t="n"/>
      <c r="BN938" s="151" t="n"/>
      <c r="BO938" s="151" t="n"/>
      <c r="BP938" s="151" t="n"/>
      <c r="BQ938" s="151" t="n"/>
      <c r="BR938" s="151" t="n"/>
      <c r="BS938" s="151" t="n"/>
      <c r="BT938" s="151" t="n"/>
    </row>
    <row r="939">
      <c r="BJ939" s="151" t="n">
        <v>869</v>
      </c>
      <c r="BK939" s="151" t="inlineStr">
        <is>
          <t>SERVICIOS VETERINARIOS PARA LA GANADERIA PRESTADOS POR EL SECTOR PRIVADO QUE REQUIERAN DE TITULO DE MEDICO CONFORME A LAS LEYES</t>
        </is>
      </c>
      <c r="BL939" s="151" t="n"/>
      <c r="BM939" s="151" t="n"/>
      <c r="BN939" s="151" t="n"/>
      <c r="BO939" s="151" t="n"/>
      <c r="BP939" s="151" t="n"/>
      <c r="BQ939" s="151" t="n"/>
      <c r="BR939" s="151" t="n"/>
      <c r="BS939" s="151" t="n"/>
      <c r="BT939" s="151" t="n"/>
    </row>
    <row r="940">
      <c r="BJ940" s="151" t="n">
        <v>870</v>
      </c>
      <c r="BK940" s="151" t="inlineStr">
        <is>
          <t>SERVICIOS VETERINARIOS PARA LA GANADERIA PRESTADOS POR EL SECTOR PUBLICO</t>
        </is>
      </c>
      <c r="BL940" s="151" t="n"/>
      <c r="BM940" s="151" t="n"/>
      <c r="BN940" s="151" t="n"/>
      <c r="BO940" s="151" t="n"/>
      <c r="BP940" s="151" t="n"/>
      <c r="BQ940" s="151" t="n"/>
      <c r="BR940" s="151" t="n"/>
      <c r="BS940" s="151" t="n"/>
      <c r="BT940" s="151" t="n"/>
    </row>
    <row r="941">
      <c r="BJ941" s="151" t="n">
        <v>871</v>
      </c>
      <c r="BK941" s="151" t="inlineStr">
        <is>
          <t>OTROS SERVICIOS PROFESIONALES, CIENTIFICOS Y TECNICOS</t>
        </is>
      </c>
      <c r="BL941" s="151" t="n"/>
      <c r="BM941" s="151" t="n"/>
      <c r="BN941" s="151" t="n"/>
      <c r="BO941" s="151" t="n"/>
      <c r="BP941" s="151" t="n"/>
      <c r="BQ941" s="151" t="n"/>
      <c r="BR941" s="151" t="n"/>
      <c r="BS941" s="151" t="n"/>
      <c r="BT941" s="151" t="n"/>
    </row>
    <row r="942">
      <c r="BJ942" s="151" t="n">
        <v>872</v>
      </c>
      <c r="BK942" s="151" t="inlineStr">
        <is>
          <t>DIRECCION DE CORPORATIVOS Y EMPRESAS FINANCIERAS</t>
        </is>
      </c>
      <c r="BL942" s="151" t="n"/>
      <c r="BM942" s="151" t="n"/>
      <c r="BN942" s="151" t="n"/>
      <c r="BO942" s="151" t="n"/>
      <c r="BP942" s="151" t="n"/>
      <c r="BQ942" s="151" t="n"/>
      <c r="BR942" s="151" t="n"/>
      <c r="BS942" s="151" t="n"/>
      <c r="BT942" s="151" t="n"/>
    </row>
    <row r="943">
      <c r="BJ943" s="151" t="n">
        <v>873</v>
      </c>
      <c r="BK943" s="151" t="inlineStr">
        <is>
          <t>DIRECCION DE CORPORATIVOS Y EMPRESAS NO FINANCIERAS</t>
        </is>
      </c>
      <c r="BL943" s="151" t="n"/>
      <c r="BM943" s="151" t="n"/>
      <c r="BN943" s="151" t="n"/>
      <c r="BO943" s="151" t="n"/>
      <c r="BP943" s="151" t="n"/>
      <c r="BQ943" s="151" t="n"/>
      <c r="BR943" s="151" t="n"/>
      <c r="BS943" s="151" t="n"/>
      <c r="BT943" s="151" t="n"/>
    </row>
    <row r="944">
      <c r="BJ944" s="151" t="n">
        <v>874</v>
      </c>
      <c r="BK944" s="151" t="inlineStr">
        <is>
          <t>SERVICIOS DE ADMINISTRACION DE NEGOCIOS</t>
        </is>
      </c>
      <c r="BL944" s="151" t="n"/>
      <c r="BM944" s="151" t="n"/>
      <c r="BN944" s="151" t="n"/>
      <c r="BO944" s="151" t="n"/>
      <c r="BP944" s="151" t="n"/>
      <c r="BQ944" s="151" t="n"/>
      <c r="BR944" s="151" t="n"/>
      <c r="BS944" s="151" t="n"/>
      <c r="BT944" s="151" t="n"/>
    </row>
    <row r="945">
      <c r="BJ945" s="151" t="n">
        <v>875</v>
      </c>
      <c r="BK945" s="151" t="inlineStr">
        <is>
          <t>OPERACIONES FINANCIERAS DERIVADAS EN EL MERCADO MEXICANO DE DERIVADOS</t>
        </is>
      </c>
      <c r="BL945" s="151" t="n"/>
      <c r="BM945" s="151" t="n"/>
      <c r="BN945" s="151" t="n"/>
      <c r="BO945" s="151" t="n"/>
      <c r="BP945" s="151" t="n"/>
      <c r="BQ945" s="151" t="n"/>
      <c r="BR945" s="151" t="n"/>
      <c r="BS945" s="151" t="n"/>
      <c r="BT945" s="151" t="n"/>
    </row>
    <row r="946">
      <c r="BJ946" s="151" t="n">
        <v>876</v>
      </c>
      <c r="BK946" s="151" t="inlineStr">
        <is>
          <t>INTERESES POR INVERSIONES O DEPOSITOS EN SISTEMA FINANCIERO</t>
        </is>
      </c>
      <c r="BL946" s="151" t="n"/>
      <c r="BM946" s="151" t="n"/>
      <c r="BN946" s="151" t="n"/>
      <c r="BO946" s="151" t="n"/>
      <c r="BP946" s="151" t="n"/>
      <c r="BQ946" s="151" t="n"/>
      <c r="BR946" s="151" t="n"/>
      <c r="BS946" s="151" t="n"/>
      <c r="BT946" s="151" t="n"/>
    </row>
    <row r="947">
      <c r="BJ947" s="151" t="n">
        <v>877</v>
      </c>
      <c r="BK947" s="151" t="inlineStr">
        <is>
          <t>INVERSIONES REALIZADAS EN SOCIEDADES RESIDENTES EN EL EXTRANJERO SIN ESTABLECIMIENTO EN EL PAIS</t>
        </is>
      </c>
      <c r="BL947" s="151" t="n"/>
      <c r="BM947" s="151" t="n"/>
      <c r="BN947" s="151" t="n"/>
      <c r="BO947" s="151" t="n"/>
      <c r="BP947" s="151" t="n"/>
      <c r="BQ947" s="151" t="n"/>
      <c r="BR947" s="151" t="n"/>
      <c r="BS947" s="151" t="n"/>
      <c r="BT947" s="151" t="n"/>
    </row>
    <row r="948">
      <c r="BJ948" s="151" t="n">
        <v>878</v>
      </c>
      <c r="BK948" s="151" t="inlineStr">
        <is>
          <t>GANANCIA CAMBIARIA Y LOS INTERESES OBTENIDOS POR OTROS CREDITOS, OPERACIONES O PRESTAMOS OTORGADOS</t>
        </is>
      </c>
      <c r="BL948" s="151" t="n"/>
      <c r="BM948" s="151" t="n"/>
      <c r="BN948" s="151" t="n"/>
      <c r="BO948" s="151" t="n"/>
      <c r="BP948" s="151" t="n"/>
      <c r="BQ948" s="151" t="n"/>
      <c r="BR948" s="151" t="n"/>
      <c r="BS948" s="151" t="n"/>
      <c r="BT948" s="151" t="n"/>
    </row>
    <row r="949">
      <c r="BJ949" s="151" t="n">
        <v>879</v>
      </c>
      <c r="BK949" s="151" t="inlineStr">
        <is>
          <t>GANANCIA CAMBIARIA Y LOS INTERESES OBTENIDOS POR OTROS CREDITOS, OPERACIONES O PRESTAMOS OTORGADOS A RESIDENTES EN EL EXTRANJERO</t>
        </is>
      </c>
      <c r="BL949" s="151" t="n"/>
      <c r="BM949" s="151" t="n"/>
      <c r="BN949" s="151" t="n"/>
      <c r="BO949" s="151" t="n"/>
      <c r="BP949" s="151" t="n"/>
      <c r="BQ949" s="151" t="n"/>
      <c r="BR949" s="151" t="n"/>
      <c r="BS949" s="151" t="n"/>
      <c r="BT949" s="151" t="n"/>
    </row>
    <row r="950">
      <c r="BJ950" s="151" t="n">
        <v>880</v>
      </c>
      <c r="BK950" s="151" t="inlineStr">
        <is>
          <t>DIVIDENDOS O UTILIDADES DISTRIBUIDOS POR SOCIEDADES RESIDENTES EN EL EXTRANJERO</t>
        </is>
      </c>
      <c r="BL950" s="151" t="n"/>
      <c r="BM950" s="151" t="n"/>
      <c r="BN950" s="151" t="n"/>
      <c r="BO950" s="151" t="n"/>
      <c r="BP950" s="151" t="n"/>
      <c r="BQ950" s="151" t="n"/>
      <c r="BR950" s="151" t="n"/>
      <c r="BS950" s="151" t="n"/>
      <c r="BT950" s="151" t="n"/>
    </row>
    <row r="951">
      <c r="BJ951" s="151" t="n">
        <v>881</v>
      </c>
      <c r="BK951" s="151" t="inlineStr">
        <is>
          <t>REMANENTE DISTRIBUIBLE PROVENIENTE DE PERSONAS MORALES CON FINES NO LUCRATIVOS DEL IMPUESTO SOBRE LA RENTA</t>
        </is>
      </c>
      <c r="BL951" s="151" t="n"/>
      <c r="BM951" s="151" t="n"/>
      <c r="BN951" s="151" t="n"/>
      <c r="BO951" s="151" t="n"/>
      <c r="BP951" s="151" t="n"/>
      <c r="BQ951" s="151" t="n"/>
      <c r="BR951" s="151" t="n"/>
      <c r="BS951" s="151" t="n"/>
      <c r="BT951" s="151" t="n"/>
    </row>
    <row r="952">
      <c r="BJ952" s="151" t="n">
        <v>882</v>
      </c>
      <c r="BK952" s="151" t="inlineStr">
        <is>
          <t>INTERESES DEL EXTRANJERO</t>
        </is>
      </c>
      <c r="BL952" s="151" t="n"/>
      <c r="BM952" s="151" t="n"/>
      <c r="BN952" s="151" t="n"/>
      <c r="BO952" s="151" t="n"/>
      <c r="BP952" s="151" t="n"/>
      <c r="BQ952" s="151" t="n"/>
      <c r="BR952" s="151" t="n"/>
      <c r="BS952" s="151" t="n"/>
      <c r="BT952" s="151" t="n"/>
    </row>
    <row r="953">
      <c r="BJ953" s="151" t="n">
        <v>883</v>
      </c>
      <c r="BK953" s="151" t="inlineStr">
        <is>
          <t>INTERESES POR PRESTAMOS EN EL PAIS</t>
        </is>
      </c>
      <c r="BL953" s="151" t="n"/>
      <c r="BM953" s="151" t="n"/>
      <c r="BN953" s="151" t="n"/>
      <c r="BO953" s="151" t="n"/>
      <c r="BP953" s="151" t="n"/>
      <c r="BQ953" s="151" t="n"/>
      <c r="BR953" s="151" t="n"/>
      <c r="BS953" s="151" t="n"/>
      <c r="BT953" s="151" t="n"/>
    </row>
    <row r="954">
      <c r="BJ954" s="151" t="n">
        <v>884</v>
      </c>
      <c r="BK954" s="151" t="inlineStr">
        <is>
          <t>SERVICIOS COMBINADOS DE APOYO EN INSTALACIONES</t>
        </is>
      </c>
      <c r="BL954" s="151" t="n"/>
      <c r="BM954" s="151" t="n"/>
      <c r="BN954" s="151" t="n"/>
      <c r="BO954" s="151" t="n"/>
      <c r="BP954" s="151" t="n"/>
      <c r="BQ954" s="151" t="n"/>
      <c r="BR954" s="151" t="n"/>
      <c r="BS954" s="151" t="n"/>
      <c r="BT954" s="151" t="n"/>
    </row>
    <row r="955">
      <c r="BJ955" s="151" t="n">
        <v>885</v>
      </c>
      <c r="BK955" s="151" t="inlineStr">
        <is>
          <t>AGENCIAS DE COLOCACION</t>
        </is>
      </c>
      <c r="BL955" s="151" t="n"/>
      <c r="BM955" s="151" t="n"/>
      <c r="BN955" s="151" t="n"/>
      <c r="BO955" s="151" t="n"/>
      <c r="BP955" s="151" t="n"/>
      <c r="BQ955" s="151" t="n"/>
      <c r="BR955" s="151" t="n"/>
      <c r="BS955" s="151" t="n"/>
      <c r="BT955" s="151" t="n"/>
    </row>
    <row r="956">
      <c r="BJ956" s="151" t="n">
        <v>886</v>
      </c>
      <c r="BK956" s="151" t="inlineStr">
        <is>
          <t>AGENCIAS DE EMPLEO TEMPORAL</t>
        </is>
      </c>
      <c r="BL956" s="151" t="n"/>
      <c r="BM956" s="151" t="n"/>
      <c r="BN956" s="151" t="n"/>
      <c r="BO956" s="151" t="n"/>
      <c r="BP956" s="151" t="n"/>
      <c r="BQ956" s="151" t="n"/>
      <c r="BR956" s="151" t="n"/>
      <c r="BS956" s="151" t="n"/>
      <c r="BT956" s="151" t="n"/>
    </row>
    <row r="957">
      <c r="BJ957" s="151" t="n">
        <v>887</v>
      </c>
      <c r="BK957" s="151" t="inlineStr">
        <is>
          <t>SUMINISTRO DE PERSONAL PERMANENTE</t>
        </is>
      </c>
      <c r="BL957" s="151" t="n"/>
      <c r="BM957" s="151" t="n"/>
      <c r="BN957" s="151" t="n"/>
      <c r="BO957" s="151" t="n"/>
      <c r="BP957" s="151" t="n"/>
      <c r="BQ957" s="151" t="n"/>
      <c r="BR957" s="151" t="n"/>
      <c r="BS957" s="151" t="n"/>
      <c r="BT957" s="151" t="n"/>
    </row>
    <row r="958">
      <c r="BJ958" s="151" t="n">
        <v>888</v>
      </c>
      <c r="BK958" s="151" t="inlineStr">
        <is>
          <t>SERVICIOS DE PREPARACION DE DOCUMENTOS</t>
        </is>
      </c>
      <c r="BL958" s="151" t="n"/>
      <c r="BM958" s="151" t="n"/>
      <c r="BN958" s="151" t="n"/>
      <c r="BO958" s="151" t="n"/>
      <c r="BP958" s="151" t="n"/>
      <c r="BQ958" s="151" t="n"/>
      <c r="BR958" s="151" t="n"/>
      <c r="BS958" s="151" t="n"/>
      <c r="BT958" s="151" t="n"/>
    </row>
    <row r="959">
      <c r="BJ959" s="151" t="n">
        <v>889</v>
      </c>
      <c r="BK959" s="151" t="inlineStr">
        <is>
          <t>SERVICIOS DE CASETAS TELEFONICAS.</t>
        </is>
      </c>
      <c r="BL959" s="151" t="n"/>
      <c r="BM959" s="151" t="n"/>
      <c r="BN959" s="151" t="n"/>
      <c r="BO959" s="151" t="n"/>
      <c r="BP959" s="151" t="n"/>
      <c r="BQ959" s="151" t="n"/>
      <c r="BR959" s="151" t="n"/>
      <c r="BS959" s="151" t="n"/>
      <c r="BT959" s="151" t="n"/>
    </row>
    <row r="960">
      <c r="BJ960" s="151" t="n">
        <v>890</v>
      </c>
      <c r="BK960" s="151" t="inlineStr">
        <is>
          <t>SERVICIOS DE RECEPCION DE LLAMADAS TELEFONICAS Y PROMOCION POR TELEFONO</t>
        </is>
      </c>
      <c r="BL960" s="151" t="n"/>
      <c r="BM960" s="151" t="n"/>
      <c r="BN960" s="151" t="n"/>
      <c r="BO960" s="151" t="n"/>
      <c r="BP960" s="151" t="n"/>
      <c r="BQ960" s="151" t="n"/>
      <c r="BR960" s="151" t="n"/>
      <c r="BS960" s="151" t="n"/>
      <c r="BT960" s="151" t="n"/>
    </row>
    <row r="961">
      <c r="BJ961" s="151" t="n">
        <v>891</v>
      </c>
      <c r="BK961" s="151" t="inlineStr">
        <is>
          <t>SERVICIOS DE FOTOCOPIADO, FAX Y AFINES</t>
        </is>
      </c>
      <c r="BL961" s="151" t="n"/>
      <c r="BM961" s="151" t="n"/>
      <c r="BN961" s="151" t="n"/>
      <c r="BO961" s="151" t="n"/>
      <c r="BP961" s="151" t="n"/>
      <c r="BQ961" s="151" t="n"/>
      <c r="BR961" s="151" t="n"/>
      <c r="BS961" s="151" t="n"/>
      <c r="BT961" s="151" t="n"/>
    </row>
    <row r="962">
      <c r="BJ962" s="151" t="n">
        <v>892</v>
      </c>
      <c r="BK962" s="151" t="inlineStr">
        <is>
          <t>AGENCIAS DE COBRANZA</t>
        </is>
      </c>
      <c r="BL962" s="151" t="n"/>
      <c r="BM962" s="151" t="n"/>
      <c r="BN962" s="151" t="n"/>
      <c r="BO962" s="151" t="n"/>
      <c r="BP962" s="151" t="n"/>
      <c r="BQ962" s="151" t="n"/>
      <c r="BR962" s="151" t="n"/>
      <c r="BS962" s="151" t="n"/>
      <c r="BT962" s="151" t="n"/>
    </row>
    <row r="963">
      <c r="BJ963" s="151" t="n">
        <v>893</v>
      </c>
      <c r="BK963" s="151" t="inlineStr">
        <is>
          <t>DESPACHOS DE INVESTIGACION DE SOLVENCIA FINANCIERA</t>
        </is>
      </c>
      <c r="BL963" s="151" t="n"/>
      <c r="BM963" s="151" t="n"/>
      <c r="BN963" s="151" t="n"/>
      <c r="BO963" s="151" t="n"/>
      <c r="BP963" s="151" t="n"/>
      <c r="BQ963" s="151" t="n"/>
      <c r="BR963" s="151" t="n"/>
      <c r="BS963" s="151" t="n"/>
      <c r="BT963" s="151" t="n"/>
    </row>
    <row r="964">
      <c r="BJ964" s="151" t="n">
        <v>894</v>
      </c>
      <c r="BK964" s="151" t="inlineStr">
        <is>
          <t>OTROS SERVICIOS DE APOYO SECRETARIAL Y SIMILARES</t>
        </is>
      </c>
      <c r="BL964" s="151" t="n"/>
      <c r="BM964" s="151" t="n"/>
      <c r="BN964" s="151" t="n"/>
      <c r="BO964" s="151" t="n"/>
      <c r="BP964" s="151" t="n"/>
      <c r="BQ964" s="151" t="n"/>
      <c r="BR964" s="151" t="n"/>
      <c r="BS964" s="151" t="n"/>
      <c r="BT964" s="151" t="n"/>
    </row>
    <row r="965">
      <c r="BJ965" s="151" t="n">
        <v>895</v>
      </c>
      <c r="BK965" s="151" t="inlineStr">
        <is>
          <t>AGENCIAS DE VIAJES</t>
        </is>
      </c>
      <c r="BL965" s="151" t="n"/>
      <c r="BM965" s="151" t="n"/>
      <c r="BN965" s="151" t="n"/>
      <c r="BO965" s="151" t="n"/>
      <c r="BP965" s="151" t="n"/>
      <c r="BQ965" s="151" t="n"/>
      <c r="BR965" s="151" t="n"/>
      <c r="BS965" s="151" t="n"/>
      <c r="BT965" s="151" t="n"/>
    </row>
    <row r="966">
      <c r="BJ966" s="151" t="n">
        <v>896</v>
      </c>
      <c r="BK966" s="151" t="inlineStr">
        <is>
          <t>ORGANIZACION DE EXCURSIONES Y PAQUETES TURISTICOS PARA AGENCIAS DE VIAJES</t>
        </is>
      </c>
      <c r="BL966" s="151" t="n"/>
      <c r="BM966" s="151" t="n"/>
      <c r="BN966" s="151" t="n"/>
      <c r="BO966" s="151" t="n"/>
      <c r="BP966" s="151" t="n"/>
      <c r="BQ966" s="151" t="n"/>
      <c r="BR966" s="151" t="n"/>
      <c r="BS966" s="151" t="n"/>
      <c r="BT966" s="151" t="n"/>
    </row>
    <row r="967">
      <c r="BJ967" s="151" t="n">
        <v>897</v>
      </c>
      <c r="BK967" s="151" t="inlineStr">
        <is>
          <t>OTROS SERVICIOS DE RESERVACIONES</t>
        </is>
      </c>
      <c r="BL967" s="151" t="n"/>
      <c r="BM967" s="151" t="n"/>
      <c r="BN967" s="151" t="n"/>
      <c r="BO967" s="151" t="n"/>
      <c r="BP967" s="151" t="n"/>
      <c r="BQ967" s="151" t="n"/>
      <c r="BR967" s="151" t="n"/>
      <c r="BS967" s="151" t="n"/>
      <c r="BT967" s="151" t="n"/>
    </row>
    <row r="968">
      <c r="BJ968" s="151" t="n">
        <v>898</v>
      </c>
      <c r="BK968" s="151" t="inlineStr">
        <is>
          <t>SERVICIOS DE INVESTIGACION Y DE PROTECCION Y CUSTODIA, EXCEPTO MEDIANTE MONITOREO</t>
        </is>
      </c>
      <c r="BL968" s="151" t="n"/>
      <c r="BM968" s="151" t="n"/>
      <c r="BN968" s="151" t="n"/>
      <c r="BO968" s="151" t="n"/>
      <c r="BP968" s="151" t="n"/>
      <c r="BQ968" s="151" t="n"/>
      <c r="BR968" s="151" t="n"/>
      <c r="BS968" s="151" t="n"/>
      <c r="BT968" s="151" t="n"/>
    </row>
    <row r="969">
      <c r="BJ969" s="151" t="n">
        <v>899</v>
      </c>
      <c r="BK969" s="151" t="inlineStr">
        <is>
          <t>SERVICIOS DE PROTECCION Y CUSTODIA MEDIANTE EL MONITOREO DE SISTEMAS DE SEGURIDAD</t>
        </is>
      </c>
      <c r="BL969" s="151" t="n"/>
      <c r="BM969" s="151" t="n"/>
      <c r="BN969" s="151" t="n"/>
      <c r="BO969" s="151" t="n"/>
      <c r="BP969" s="151" t="n"/>
      <c r="BQ969" s="151" t="n"/>
      <c r="BR969" s="151" t="n"/>
      <c r="BS969" s="151" t="n"/>
      <c r="BT969" s="151" t="n"/>
    </row>
    <row r="970">
      <c r="BJ970" s="151" t="n">
        <v>900</v>
      </c>
      <c r="BK970" s="151" t="inlineStr">
        <is>
          <t>SERVICIOS DE CONTROL Y EXTERMINACION DE PLAGAS</t>
        </is>
      </c>
      <c r="BL970" s="151" t="n"/>
      <c r="BM970" s="151" t="n"/>
      <c r="BN970" s="151" t="n"/>
      <c r="BO970" s="151" t="n"/>
      <c r="BP970" s="151" t="n"/>
      <c r="BQ970" s="151" t="n"/>
      <c r="BR970" s="151" t="n"/>
      <c r="BS970" s="151" t="n"/>
      <c r="BT970" s="151" t="n"/>
    </row>
    <row r="971">
      <c r="BJ971" s="151" t="n">
        <v>901</v>
      </c>
      <c r="BK971" s="151" t="inlineStr">
        <is>
          <t>SERVICIOS DE LIMPIEZA DE INMUEBLES</t>
        </is>
      </c>
      <c r="BL971" s="151" t="n"/>
      <c r="BM971" s="151" t="n"/>
      <c r="BN971" s="151" t="n"/>
      <c r="BO971" s="151" t="n"/>
      <c r="BP971" s="151" t="n"/>
      <c r="BQ971" s="151" t="n"/>
      <c r="BR971" s="151" t="n"/>
      <c r="BS971" s="151" t="n"/>
      <c r="BT971" s="151" t="n"/>
    </row>
    <row r="972">
      <c r="BJ972" s="151" t="n">
        <v>902</v>
      </c>
      <c r="BK972" s="151" t="inlineStr">
        <is>
          <t>SERVICIOS DE INSTALACION Y MANTENIMIENTO DE AREAS VERDES</t>
        </is>
      </c>
      <c r="BL972" s="151" t="n"/>
      <c r="BM972" s="151" t="n"/>
      <c r="BN972" s="151" t="n"/>
      <c r="BO972" s="151" t="n"/>
      <c r="BP972" s="151" t="n"/>
      <c r="BQ972" s="151" t="n"/>
      <c r="BR972" s="151" t="n"/>
      <c r="BS972" s="151" t="n"/>
      <c r="BT972" s="151" t="n"/>
    </row>
    <row r="973">
      <c r="BJ973" s="151" t="n">
        <v>903</v>
      </c>
      <c r="BK973" s="151" t="inlineStr">
        <is>
          <t>SERVICIOS DE LIMPIEZA DE TAPICERIA, ALFOMBRAS Y MUEBLES</t>
        </is>
      </c>
      <c r="BL973" s="151" t="n"/>
      <c r="BM973" s="151" t="n"/>
      <c r="BN973" s="151" t="n"/>
      <c r="BO973" s="151" t="n"/>
      <c r="BP973" s="151" t="n"/>
      <c r="BQ973" s="151" t="n"/>
      <c r="BR973" s="151" t="n"/>
      <c r="BS973" s="151" t="n"/>
      <c r="BT973" s="151" t="n"/>
    </row>
    <row r="974">
      <c r="BJ974" s="151" t="n">
        <v>904</v>
      </c>
      <c r="BK974" s="151" t="inlineStr">
        <is>
          <t>OTROS SERVICIOS DE LIMPIEZA</t>
        </is>
      </c>
      <c r="BL974" s="151" t="n"/>
      <c r="BM974" s="151" t="n"/>
      <c r="BN974" s="151" t="n"/>
      <c r="BO974" s="151" t="n"/>
      <c r="BP974" s="151" t="n"/>
      <c r="BQ974" s="151" t="n"/>
      <c r="BR974" s="151" t="n"/>
      <c r="BS974" s="151" t="n"/>
      <c r="BT974" s="151" t="n"/>
    </row>
    <row r="975">
      <c r="BJ975" s="151" t="n">
        <v>905</v>
      </c>
      <c r="BK975" s="151" t="inlineStr">
        <is>
          <t>SERVICIOS DE EMPACADO Y ETIQUETADO</t>
        </is>
      </c>
      <c r="BL975" s="151" t="n"/>
      <c r="BM975" s="151" t="n"/>
      <c r="BN975" s="151" t="n"/>
      <c r="BO975" s="151" t="n"/>
      <c r="BP975" s="151" t="n"/>
      <c r="BQ975" s="151" t="n"/>
      <c r="BR975" s="151" t="n"/>
      <c r="BS975" s="151" t="n"/>
      <c r="BT975" s="151" t="n"/>
    </row>
    <row r="976">
      <c r="BJ976" s="151" t="n">
        <v>906</v>
      </c>
      <c r="BK976" s="151" t="inlineStr">
        <is>
          <t>ORGANIZADORES DE CONVENCIONES Y FERIAS COMERCIALES E INDUSTRIALES</t>
        </is>
      </c>
      <c r="BL976" s="151" t="n"/>
      <c r="BM976" s="151" t="n"/>
      <c r="BN976" s="151" t="n"/>
      <c r="BO976" s="151" t="n"/>
      <c r="BP976" s="151" t="n"/>
      <c r="BQ976" s="151" t="n"/>
      <c r="BR976" s="151" t="n"/>
      <c r="BS976" s="151" t="n"/>
      <c r="BT976" s="151" t="n"/>
    </row>
    <row r="977">
      <c r="BJ977" s="151" t="n">
        <v>907</v>
      </c>
      <c r="BK977" s="151" t="inlineStr">
        <is>
          <t>OTROS SERVICIOS DE APOYO A LOS NEGOCIOS</t>
        </is>
      </c>
      <c r="BL977" s="151" t="n"/>
      <c r="BM977" s="151" t="n"/>
      <c r="BN977" s="151" t="n"/>
      <c r="BO977" s="151" t="n"/>
      <c r="BP977" s="151" t="n"/>
      <c r="BQ977" s="151" t="n"/>
      <c r="BR977" s="151" t="n"/>
      <c r="BS977" s="151" t="n"/>
      <c r="BT977" s="151" t="n"/>
    </row>
    <row r="978">
      <c r="BJ978" s="151" t="n">
        <v>908</v>
      </c>
      <c r="BK978" s="151" t="inlineStr">
        <is>
          <t>MANEJO DE DESECHOS PELIGROSOS Y SERVICIOS DE REMEDIACION A ZONAS DA?ADAS POR DESECHOS PELIGROSOS</t>
        </is>
      </c>
      <c r="BL978" s="151" t="n"/>
      <c r="BM978" s="151" t="n"/>
      <c r="BN978" s="151" t="n"/>
      <c r="BO978" s="151" t="n"/>
      <c r="BP978" s="151" t="n"/>
      <c r="BQ978" s="151" t="n"/>
      <c r="BR978" s="151" t="n"/>
      <c r="BS978" s="151" t="n"/>
      <c r="BT978" s="151" t="n"/>
    </row>
    <row r="979">
      <c r="BJ979" s="151" t="n">
        <v>909</v>
      </c>
      <c r="BK979" s="151" t="inlineStr">
        <is>
          <t>MANEJO DE DESECHOS NO PELIGROSOS Y SERVICIOS DE REMEDIACION A ZONAS DA?ADAS POR DESECHOS NO PELIGROSOS</t>
        </is>
      </c>
      <c r="BL979" s="151" t="n"/>
      <c r="BM979" s="151" t="n"/>
      <c r="BN979" s="151" t="n"/>
      <c r="BO979" s="151" t="n"/>
      <c r="BP979" s="151" t="n"/>
      <c r="BQ979" s="151" t="n"/>
      <c r="BR979" s="151" t="n"/>
      <c r="BS979" s="151" t="n"/>
      <c r="BT979" s="151" t="n"/>
    </row>
    <row r="980">
      <c r="BJ980" s="151" t="n">
        <v>910</v>
      </c>
      <c r="BK980" s="151" t="inlineStr">
        <is>
          <t>ESCUELAS DE EDUCACION PREESCOLAR PERTENECIENTES AL SECTOR PRIVADO</t>
        </is>
      </c>
      <c r="BL980" s="151" t="n"/>
      <c r="BM980" s="151" t="n"/>
      <c r="BN980" s="151" t="n"/>
      <c r="BO980" s="151" t="n"/>
      <c r="BP980" s="151" t="n"/>
      <c r="BQ980" s="151" t="n"/>
      <c r="BR980" s="151" t="n"/>
      <c r="BS980" s="151" t="n"/>
      <c r="BT980" s="151" t="n"/>
    </row>
    <row r="981">
      <c r="BJ981" s="151" t="n">
        <v>911</v>
      </c>
      <c r="BK981" s="151" t="inlineStr">
        <is>
          <t>ESCUELAS DE EDUCACION PREESCOLAR PERTENECIENTES AL SECTOR PUBLICO</t>
        </is>
      </c>
      <c r="BL981" s="151" t="n"/>
      <c r="BM981" s="151" t="n"/>
      <c r="BN981" s="151" t="n"/>
      <c r="BO981" s="151" t="n"/>
      <c r="BP981" s="151" t="n"/>
      <c r="BQ981" s="151" t="n"/>
      <c r="BR981" s="151" t="n"/>
      <c r="BS981" s="151" t="n"/>
      <c r="BT981" s="151" t="n"/>
    </row>
    <row r="982">
      <c r="BJ982" s="151" t="n">
        <v>912</v>
      </c>
      <c r="BK982" s="151" t="inlineStr">
        <is>
          <t>ESCUELAS DE EDUCACION PRIMARIA PERTENECIENTES AL SECTOR PRIVADO, QUE TENGAN AUTORIZACION O RECONOCIMIENTO DE VALIDEZ OFICIAL DE ESTUDIOS, EN LOS TERMINOS DE LA LEY GENERAL DE EDUCACION</t>
        </is>
      </c>
      <c r="BL982" s="151" t="n"/>
      <c r="BM982" s="151" t="n"/>
      <c r="BN982" s="151" t="n"/>
      <c r="BO982" s="151" t="n"/>
      <c r="BP982" s="151" t="n"/>
      <c r="BQ982" s="151" t="n"/>
      <c r="BR982" s="151" t="n"/>
      <c r="BS982" s="151" t="n"/>
      <c r="BT982" s="151" t="n"/>
    </row>
    <row r="983">
      <c r="BJ983" s="151" t="n">
        <v>913</v>
      </c>
      <c r="BK983" s="151" t="inlineStr">
        <is>
          <t>ESCUELAS DE EDUCACION PRIMARIA PERTENECIENTES AL SECTOR PUBLICO</t>
        </is>
      </c>
      <c r="BL983" s="151" t="n"/>
      <c r="BM983" s="151" t="n"/>
      <c r="BN983" s="151" t="n"/>
      <c r="BO983" s="151" t="n"/>
      <c r="BP983" s="151" t="n"/>
      <c r="BQ983" s="151" t="n"/>
      <c r="BR983" s="151" t="n"/>
      <c r="BS983" s="151" t="n"/>
      <c r="BT983" s="151" t="n"/>
    </row>
    <row r="984">
      <c r="BJ984" s="151" t="n">
        <v>914</v>
      </c>
      <c r="BK984" s="151" t="inlineStr">
        <is>
          <t>ESCUELAS DE EDUCACION SECUNDARIA GENERAL PERTENECIENTES AL SECTOR PRIVADO, QUE TENGAN AUTORIZACION O RECONOCIMIENTO DE VALIDEZ OFICIAL DE ESTUDIOS, EN LOS TERMINOS DE LA LEY GENERAL DE EDUCACION</t>
        </is>
      </c>
      <c r="BL984" s="151" t="n"/>
      <c r="BM984" s="151" t="n"/>
      <c r="BN984" s="151" t="n"/>
      <c r="BO984" s="151" t="n"/>
      <c r="BP984" s="151" t="n"/>
      <c r="BQ984" s="151" t="n"/>
      <c r="BR984" s="151" t="n"/>
      <c r="BS984" s="151" t="n"/>
      <c r="BT984" s="151" t="n"/>
    </row>
    <row r="985">
      <c r="BJ985" s="151" t="n">
        <v>915</v>
      </c>
      <c r="BK985" s="151" t="inlineStr">
        <is>
          <t>ESCUELAS DE EDUCACION SECUNDARIA GENERAL PERTENECIENTES AL SECTOR PUBLICO</t>
        </is>
      </c>
      <c r="BL985" s="151" t="n"/>
      <c r="BM985" s="151" t="n"/>
      <c r="BN985" s="151" t="n"/>
      <c r="BO985" s="151" t="n"/>
      <c r="BP985" s="151" t="n"/>
      <c r="BQ985" s="151" t="n"/>
      <c r="BR985" s="151" t="n"/>
      <c r="BS985" s="151" t="n"/>
      <c r="BT985" s="151" t="n"/>
    </row>
    <row r="986">
      <c r="BJ986" s="151" t="n">
        <v>916</v>
      </c>
      <c r="BK986" s="151" t="inlineStr">
        <is>
          <t>ESCUELAS DE EDUCACION SECUNDARIA TECNICA PERTENECIENTES AL SECTOR PRIVADO, QUE TENGAN AUTORIZACION O RECONOCIMIENTO DE VALIDEZ OFICIAL DE ESTUDIOS, EN LOS TERMINOS DE LA LEY GENERAL DE EDUCACION</t>
        </is>
      </c>
      <c r="BL986" s="151" t="n"/>
      <c r="BM986" s="151" t="n"/>
      <c r="BN986" s="151" t="n"/>
      <c r="BO986" s="151" t="n"/>
      <c r="BP986" s="151" t="n"/>
      <c r="BQ986" s="151" t="n"/>
      <c r="BR986" s="151" t="n"/>
      <c r="BS986" s="151" t="n"/>
      <c r="BT986" s="151" t="n"/>
    </row>
    <row r="987">
      <c r="BJ987" s="151" t="n">
        <v>917</v>
      </c>
      <c r="BK987" s="151" t="inlineStr">
        <is>
          <t>ESCUELAS DE EDUCACION SECUNDARIA TECNICA PERTENECIENTES AL SECTOR PUBLICO</t>
        </is>
      </c>
      <c r="BL987" s="151" t="n"/>
      <c r="BM987" s="151" t="n"/>
      <c r="BN987" s="151" t="n"/>
      <c r="BO987" s="151" t="n"/>
      <c r="BP987" s="151" t="n"/>
      <c r="BQ987" s="151" t="n"/>
      <c r="BR987" s="151" t="n"/>
      <c r="BS987" s="151" t="n"/>
      <c r="BT987" s="151" t="n"/>
    </row>
    <row r="988">
      <c r="BJ988" s="151" t="n">
        <v>918</v>
      </c>
      <c r="BK988" s="151" t="inlineStr">
        <is>
          <t>ESCUELAS DE EDUCACION MEDIA TECNICA TERMINAL PERTENECIENTES AL SECTOR PRIVADO, QUE TENGAN AUTORIZACION O RECONOCIMIENTO DE VALIDEZ OFICIAL DE ESTUDIOS, EN LOS TERMINOS DE LA LEY GENERAL DE EDUCACION</t>
        </is>
      </c>
      <c r="BL988" s="151" t="n"/>
      <c r="BM988" s="151" t="n"/>
      <c r="BN988" s="151" t="n"/>
      <c r="BO988" s="151" t="n"/>
      <c r="BP988" s="151" t="n"/>
      <c r="BQ988" s="151" t="n"/>
      <c r="BR988" s="151" t="n"/>
      <c r="BS988" s="151" t="n"/>
      <c r="BT988" s="151" t="n"/>
    </row>
    <row r="989">
      <c r="BJ989" s="151" t="n">
        <v>919</v>
      </c>
      <c r="BK989" s="151" t="inlineStr">
        <is>
          <t>ESCUELAS DE EDUCACION MEDIA TECNICA TERMINAL PERTENECIENTES AL SECTOR PUBLICO</t>
        </is>
      </c>
      <c r="BL989" s="151" t="n"/>
      <c r="BM989" s="151" t="n"/>
      <c r="BN989" s="151" t="n"/>
      <c r="BO989" s="151" t="n"/>
      <c r="BP989" s="151" t="n"/>
      <c r="BQ989" s="151" t="n"/>
      <c r="BR989" s="151" t="n"/>
      <c r="BS989" s="151" t="n"/>
      <c r="BT989" s="151" t="n"/>
    </row>
    <row r="990">
      <c r="BJ990" s="151" t="n">
        <v>920</v>
      </c>
      <c r="BK990" s="151" t="inlineStr">
        <is>
          <t>ESCUELAS DE EDUCACION MEDIA SUPERIOR PERTENECIENTES AL SECTOR PRIVADO, QUE TENGAN AUTORIZACION O RECONOCIMIENTO DE VALIDEZ OFICIAL DE ESTUDIOS, EN LOS TERMINOS DE LA LEY GENERAL DE EDUCACION</t>
        </is>
      </c>
      <c r="BL990" s="151" t="n"/>
      <c r="BM990" s="151" t="n"/>
      <c r="BN990" s="151" t="n"/>
      <c r="BO990" s="151" t="n"/>
      <c r="BP990" s="151" t="n"/>
      <c r="BQ990" s="151" t="n"/>
      <c r="BR990" s="151" t="n"/>
      <c r="BS990" s="151" t="n"/>
      <c r="BT990" s="151" t="n"/>
    </row>
    <row r="991">
      <c r="BJ991" s="151" t="n">
        <v>921</v>
      </c>
      <c r="BK991" s="151" t="inlineStr">
        <is>
          <t>ESCUELAS DE EDUCACION MEDIA SUPERIOR PERTENECIENTES AL SECTOR PUBLICO</t>
        </is>
      </c>
      <c r="BL991" s="151" t="n"/>
      <c r="BM991" s="151" t="n"/>
      <c r="BN991" s="151" t="n"/>
      <c r="BO991" s="151" t="n"/>
      <c r="BP991" s="151" t="n"/>
      <c r="BQ991" s="151" t="n"/>
      <c r="BR991" s="151" t="n"/>
      <c r="BS991" s="151" t="n"/>
      <c r="BT991" s="151" t="n"/>
    </row>
    <row r="992">
      <c r="BJ992" s="151" t="n">
        <v>922</v>
      </c>
      <c r="BK992" s="151" t="inlineStr">
        <is>
          <t>ESCUELAS DEL SECTOR PRIVADO QUE COMBINAN DIVERSOS NIVELES DE EDUCACION, QUE TENGAN AUTORIZACION O RECONOCIMIENTO DE VALIDEZ OFICIAL DE ESTUDIOS, EN LOS TERMINOS DE LA LEY GENERAL DE EDUCACION</t>
        </is>
      </c>
      <c r="BL992" s="151" t="n"/>
      <c r="BM992" s="151" t="n"/>
      <c r="BN992" s="151" t="n"/>
      <c r="BO992" s="151" t="n"/>
      <c r="BP992" s="151" t="n"/>
      <c r="BQ992" s="151" t="n"/>
      <c r="BR992" s="151" t="n"/>
      <c r="BS992" s="151" t="n"/>
      <c r="BT992" s="151" t="n"/>
    </row>
    <row r="993">
      <c r="BJ993" s="151" t="n">
        <v>923</v>
      </c>
      <c r="BK993" s="151" t="inlineStr">
        <is>
          <t>ESCUELAS DEL SECTOR PUBLICO QUE COMBINAN DIVERSOS NIVELES DE EDUCACION</t>
        </is>
      </c>
      <c r="BL993" s="151" t="n"/>
      <c r="BM993" s="151" t="n"/>
      <c r="BN993" s="151" t="n"/>
      <c r="BO993" s="151" t="n"/>
      <c r="BP993" s="151" t="n"/>
      <c r="BQ993" s="151" t="n"/>
      <c r="BR993" s="151" t="n"/>
      <c r="BS993" s="151" t="n"/>
      <c r="BT993" s="151" t="n"/>
    </row>
    <row r="994">
      <c r="BJ994" s="151" t="n">
        <v>924</v>
      </c>
      <c r="BK994" s="151" t="inlineStr">
        <is>
          <t>ESCUELAS DE EDUCACION ESPECIAL PERTENECIENTES AL SECTOR PRIVADO, QUE TENGAN AUTORIZACION O RECONOCIMIENTO DE VALIDEZ OFICIAL DE ESTUDIOS, EN LOS TERMINOS DE LA LEY GENERAL DE EDUCACION</t>
        </is>
      </c>
      <c r="BL994" s="151" t="n"/>
      <c r="BM994" s="151" t="n"/>
      <c r="BN994" s="151" t="n"/>
      <c r="BO994" s="151" t="n"/>
      <c r="BP994" s="151" t="n"/>
      <c r="BQ994" s="151" t="n"/>
      <c r="BR994" s="151" t="n"/>
      <c r="BS994" s="151" t="n"/>
      <c r="BT994" s="151" t="n"/>
    </row>
    <row r="995">
      <c r="BJ995" s="151" t="n">
        <v>925</v>
      </c>
      <c r="BK995" s="151" t="inlineStr">
        <is>
          <t>ESCUELAS DE EDUCACION ESPECIAL PERTENECIENTES AL SECTOR PUBLICO</t>
        </is>
      </c>
      <c r="BL995" s="151" t="n"/>
      <c r="BM995" s="151" t="n"/>
      <c r="BN995" s="151" t="n"/>
      <c r="BO995" s="151" t="n"/>
      <c r="BP995" s="151" t="n"/>
      <c r="BQ995" s="151" t="n"/>
      <c r="BR995" s="151" t="n"/>
      <c r="BS995" s="151" t="n"/>
      <c r="BT995" s="151" t="n"/>
    </row>
    <row r="996">
      <c r="BJ996" s="151" t="n">
        <v>926</v>
      </c>
      <c r="BK996" s="151" t="inlineStr">
        <is>
          <t>ESCUELAS DE EDUCACION POSTBACHILLERATO NO UNIVERSITARIA PERTENECIENTES AL SECTOR PRIVADO, QUE TENGAN AUTORIZACION O RECONOCIMIENTO DE VALIDEZ OFICIAL DE ESTUDIOS, EN LOS TERMINOS DE LA LEY GENERAL DE EDUCACION</t>
        </is>
      </c>
      <c r="BL996" s="151" t="n"/>
      <c r="BM996" s="151" t="n"/>
      <c r="BN996" s="151" t="n"/>
      <c r="BO996" s="151" t="n"/>
      <c r="BP996" s="151" t="n"/>
      <c r="BQ996" s="151" t="n"/>
      <c r="BR996" s="151" t="n"/>
      <c r="BS996" s="151" t="n"/>
      <c r="BT996" s="151" t="n"/>
    </row>
    <row r="997">
      <c r="BJ997" s="151" t="n">
        <v>927</v>
      </c>
      <c r="BK997" s="151" t="inlineStr">
        <is>
          <t>ESCUELAS DE EDUCACION POSTBACHILLERATO NO UNIVERSITARIA PERTENECIENTES AL SECTOR PUBLICO</t>
        </is>
      </c>
      <c r="BL997" s="151" t="n"/>
      <c r="BM997" s="151" t="n"/>
      <c r="BN997" s="151" t="n"/>
      <c r="BO997" s="151" t="n"/>
      <c r="BP997" s="151" t="n"/>
      <c r="BQ997" s="151" t="n"/>
      <c r="BR997" s="151" t="n"/>
      <c r="BS997" s="151" t="n"/>
      <c r="BT997" s="151" t="n"/>
    </row>
    <row r="998">
      <c r="BJ998" s="151" t="n">
        <v>928</v>
      </c>
      <c r="BK998" s="151" t="inlineStr">
        <is>
          <t>ESCUELAS DE EDUCACION SUPERIOR PERTENECIENTES AL SECTOR PRIVADO, QUE TENGAN AUTORIZACION O RECONOCIMIENTO DE VALIDEZ OFICIAL DE ESTUDIOS, EN LOS TERMINOS DE LA LEY GENERAL DE EDUCACION</t>
        </is>
      </c>
      <c r="BL998" s="151" t="n"/>
      <c r="BM998" s="151" t="n"/>
      <c r="BN998" s="151" t="n"/>
      <c r="BO998" s="151" t="n"/>
      <c r="BP998" s="151" t="n"/>
      <c r="BQ998" s="151" t="n"/>
      <c r="BR998" s="151" t="n"/>
      <c r="BS998" s="151" t="n"/>
      <c r="BT998" s="151" t="n"/>
    </row>
    <row r="999">
      <c r="BJ999" s="151" t="n">
        <v>929</v>
      </c>
      <c r="BK999" s="151" t="inlineStr">
        <is>
          <t>ESCUELAS DE EDUCACION SUPERIOR PERTENECIENTES AL SECTOR PUBLICO</t>
        </is>
      </c>
      <c r="BL999" s="151" t="n"/>
      <c r="BM999" s="151" t="n"/>
      <c r="BN999" s="151" t="n"/>
      <c r="BO999" s="151" t="n"/>
      <c r="BP999" s="151" t="n"/>
      <c r="BQ999" s="151" t="n"/>
      <c r="BR999" s="151" t="n"/>
      <c r="BS999" s="151" t="n"/>
      <c r="BT999" s="151" t="n"/>
    </row>
    <row r="1000">
      <c r="BJ1000" s="151" t="n">
        <v>930</v>
      </c>
      <c r="BK1000" s="151" t="inlineStr">
        <is>
          <t>ESCUELAS COMERCIALES Y SECRETARIALES DEL SECTOR PRIVADO, QUE TENGAN AUTORIZACION O RECONOCIMIENTO DE VALIDEZ OFICIAL DE ESTUDIOS, EN LOS TERMINOS DE LA LEY GENERAL DE EDUCACION</t>
        </is>
      </c>
      <c r="BL1000" s="151" t="n"/>
      <c r="BM1000" s="151" t="n"/>
      <c r="BN1000" s="151" t="n"/>
      <c r="BO1000" s="151" t="n"/>
      <c r="BP1000" s="151" t="n"/>
      <c r="BQ1000" s="151" t="n"/>
      <c r="BR1000" s="151" t="n"/>
      <c r="BS1000" s="151" t="n"/>
      <c r="BT1000" s="151" t="n"/>
    </row>
    <row r="1001">
      <c r="BJ1001" s="151" t="n">
        <v>931</v>
      </c>
      <c r="BK1001" s="151" t="inlineStr">
        <is>
          <t>ESCUELAS COMERCIALES Y SECRETARIALES DEL SECTOR PUBLICO</t>
        </is>
      </c>
      <c r="BL1001" s="151" t="n"/>
      <c r="BM1001" s="151" t="n"/>
      <c r="BN1001" s="151" t="n"/>
      <c r="BO1001" s="151" t="n"/>
      <c r="BP1001" s="151" t="n"/>
      <c r="BQ1001" s="151" t="n"/>
      <c r="BR1001" s="151" t="n"/>
      <c r="BS1001" s="151" t="n"/>
      <c r="BT1001" s="151" t="n"/>
    </row>
    <row r="1002">
      <c r="BJ1002" s="151" t="n">
        <v>932</v>
      </c>
      <c r="BK1002" s="151" t="inlineStr">
        <is>
          <t>ESCUELAS DE COMPUTACION PERTENECIENTES AL SECTOR PRIVADO, QUE TENGAN AUTORIZACION O RECONOCIMIENTO DE VALIDEZ OFICIAL DE ESTUDIOS, EN LOS TERMINOS DE LA LEY GENERAL DE EDUCACION</t>
        </is>
      </c>
      <c r="BL1002" s="151" t="n"/>
      <c r="BM1002" s="151" t="n"/>
      <c r="BN1002" s="151" t="n"/>
      <c r="BO1002" s="151" t="n"/>
      <c r="BP1002" s="151" t="n"/>
      <c r="BQ1002" s="151" t="n"/>
      <c r="BR1002" s="151" t="n"/>
      <c r="BS1002" s="151" t="n"/>
      <c r="BT1002" s="151" t="n"/>
    </row>
    <row r="1003">
      <c r="BJ1003" s="151" t="n">
        <v>933</v>
      </c>
      <c r="BK1003" s="151" t="inlineStr">
        <is>
          <t>ESCUELAS DE COMPUTACION PERTENECIENTES AL SECTOR PUBLICO</t>
        </is>
      </c>
      <c r="BL1003" s="151" t="n"/>
      <c r="BM1003" s="151" t="n"/>
      <c r="BN1003" s="151" t="n"/>
      <c r="BO1003" s="151" t="n"/>
      <c r="BP1003" s="151" t="n"/>
      <c r="BQ1003" s="151" t="n"/>
      <c r="BR1003" s="151" t="n"/>
      <c r="BS1003" s="151" t="n"/>
      <c r="BT1003" s="151" t="n"/>
    </row>
    <row r="1004">
      <c r="BJ1004" s="151" t="n">
        <v>934</v>
      </c>
      <c r="BK1004" s="151" t="inlineStr">
        <is>
          <t>ESCUELAS DEL SECTOR PRIVADO PARA LA CAPACITACION DE EJECUTIVOS, QUE TENGAN AUTORIZACION O RECONOCIMIENTO DE VALIDEZ OFICIAL DE ESTUDIOS, EN LOS TERMINOS DE LA LEY GENERAL DE EDUCACION</t>
        </is>
      </c>
      <c r="BL1004" s="151" t="n"/>
      <c r="BM1004" s="151" t="n"/>
      <c r="BN1004" s="151" t="n"/>
      <c r="BO1004" s="151" t="n"/>
      <c r="BP1004" s="151" t="n"/>
      <c r="BQ1004" s="151" t="n"/>
      <c r="BR1004" s="151" t="n"/>
      <c r="BS1004" s="151" t="n"/>
      <c r="BT1004" s="151" t="n"/>
    </row>
    <row r="1005">
      <c r="BJ1005" s="151" t="n">
        <v>935</v>
      </c>
      <c r="BK1005" s="151" t="inlineStr">
        <is>
          <t>ESCUELAS DEL SECTOR PUBLICO PARA LA CAPACITACION DE EJECUTIVOS</t>
        </is>
      </c>
      <c r="BL1005" s="151" t="n"/>
      <c r="BM1005" s="151" t="n"/>
      <c r="BN1005" s="151" t="n"/>
      <c r="BO1005" s="151" t="n"/>
      <c r="BP1005" s="151" t="n"/>
      <c r="BQ1005" s="151" t="n"/>
      <c r="BR1005" s="151" t="n"/>
      <c r="BS1005" s="151" t="n"/>
      <c r="BT1005" s="151" t="n"/>
    </row>
    <row r="1006">
      <c r="BJ1006" s="151" t="n">
        <v>936</v>
      </c>
      <c r="BK1006" s="151" t="inlineStr">
        <is>
          <t>ESCUELAS DEL SECTOR PRIVADO DEDICADAS A LA ENSE?ANZA DE OFICIOS, QUE TENGAN AUTORIZACION O RECONOCIMIENTO DE VALIDEZ OFICIAL DE ESTUDIOS, EN LOS TERMINOS DE LA LEY GENERAL DE EDUCACION</t>
        </is>
      </c>
      <c r="BL1006" s="151" t="n"/>
      <c r="BM1006" s="151" t="n"/>
      <c r="BN1006" s="151" t="n"/>
      <c r="BO1006" s="151" t="n"/>
      <c r="BP1006" s="151" t="n"/>
      <c r="BQ1006" s="151" t="n"/>
      <c r="BR1006" s="151" t="n"/>
      <c r="BS1006" s="151" t="n"/>
      <c r="BT1006" s="151" t="n"/>
    </row>
    <row r="1007">
      <c r="BJ1007" s="151" t="n">
        <v>937</v>
      </c>
      <c r="BK1007" s="151" t="inlineStr">
        <is>
          <t>ESCUELAS DEL SECTOR PUBLICO DEDICADAS A LA ENSE?ANZA DE OFICIOS</t>
        </is>
      </c>
      <c r="BL1007" s="151" t="n"/>
      <c r="BM1007" s="151" t="n"/>
      <c r="BN1007" s="151" t="n"/>
      <c r="BO1007" s="151" t="n"/>
      <c r="BP1007" s="151" t="n"/>
      <c r="BQ1007" s="151" t="n"/>
      <c r="BR1007" s="151" t="n"/>
      <c r="BS1007" s="151" t="n"/>
      <c r="BT1007" s="151" t="n"/>
    </row>
    <row r="1008">
      <c r="BJ1008" s="151" t="n">
        <v>938</v>
      </c>
      <c r="BK1008" s="151" t="inlineStr">
        <is>
          <t>ESCUELAS DE ARTE PERTENECIENTES AL SECTOR PRIVADO, QUE TENGAN AUTORIZACION O RECONOCIMIENTO DE VALIDEZ OFICIAL DE ESTUDIOS, EN LOS TERMINOS DE LA LEY GENERAL DE EDUCACION</t>
        </is>
      </c>
      <c r="BL1008" s="151" t="n"/>
      <c r="BM1008" s="151" t="n"/>
      <c r="BN1008" s="151" t="n"/>
      <c r="BO1008" s="151" t="n"/>
      <c r="BP1008" s="151" t="n"/>
      <c r="BQ1008" s="151" t="n"/>
      <c r="BR1008" s="151" t="n"/>
      <c r="BS1008" s="151" t="n"/>
      <c r="BT1008" s="151" t="n"/>
    </row>
    <row r="1009">
      <c r="BJ1009" s="151" t="n">
        <v>939</v>
      </c>
      <c r="BK1009" s="151" t="inlineStr">
        <is>
          <t>ESCUELAS DE ARTE PERTENECIENTES AL SECTOR PUBLICO</t>
        </is>
      </c>
      <c r="BL1009" s="151" t="n"/>
      <c r="BM1009" s="151" t="n"/>
      <c r="BN1009" s="151" t="n"/>
      <c r="BO1009" s="151" t="n"/>
      <c r="BP1009" s="151" t="n"/>
      <c r="BQ1009" s="151" t="n"/>
      <c r="BR1009" s="151" t="n"/>
      <c r="BS1009" s="151" t="n"/>
      <c r="BT1009" s="151" t="n"/>
    </row>
    <row r="1010">
      <c r="BJ1010" s="151" t="n">
        <v>940</v>
      </c>
      <c r="BK1010" s="151" t="inlineStr">
        <is>
          <t>ESCUELAS DE DEPORTE PERTENECIENTES AL SECTOR PRIVADO, QUE TENGAN AUTORIZACION O RECONOCIMIENTO DE VALIDEZ OFICIAL DE ESTUDIOS, EN LOS TERMINOS DE LA LEY GENERAL DE EDUCACION</t>
        </is>
      </c>
      <c r="BL1010" s="151" t="n"/>
      <c r="BM1010" s="151" t="n"/>
      <c r="BN1010" s="151" t="n"/>
      <c r="BO1010" s="151" t="n"/>
      <c r="BP1010" s="151" t="n"/>
      <c r="BQ1010" s="151" t="n"/>
      <c r="BR1010" s="151" t="n"/>
      <c r="BS1010" s="151" t="n"/>
      <c r="BT1010" s="151" t="n"/>
    </row>
    <row r="1011">
      <c r="BJ1011" s="151" t="n">
        <v>941</v>
      </c>
      <c r="BK1011" s="151" t="inlineStr">
        <is>
          <t>ESCUELAS DE DEPORTE PERTENECIENTES AL SECTOR PUBLICO</t>
        </is>
      </c>
      <c r="BL1011" s="151" t="n"/>
      <c r="BM1011" s="151" t="n"/>
      <c r="BN1011" s="151" t="n"/>
      <c r="BO1011" s="151" t="n"/>
      <c r="BP1011" s="151" t="n"/>
      <c r="BQ1011" s="151" t="n"/>
      <c r="BR1011" s="151" t="n"/>
      <c r="BS1011" s="151" t="n"/>
      <c r="BT1011" s="151" t="n"/>
    </row>
    <row r="1012">
      <c r="BJ1012" s="151" t="n">
        <v>942</v>
      </c>
      <c r="BK1012" s="151" t="inlineStr">
        <is>
          <t>ESCUELAS DEL SECTOR PRIVADO DEDICADAS A LA ENSE?ANZA DE IDIOMAS, QUE TENGAN AUTORIZACION O RECONOCIMIENTO DE VALIDEZ OFICIAL DE ESTUDIOS, EN LOS TERMINOS DE LA LEY GENERAL DE EDUCACION</t>
        </is>
      </c>
      <c r="BL1012" s="151" t="n"/>
      <c r="BM1012" s="151" t="n"/>
      <c r="BN1012" s="151" t="n"/>
      <c r="BO1012" s="151" t="n"/>
      <c r="BP1012" s="151" t="n"/>
      <c r="BQ1012" s="151" t="n"/>
      <c r="BR1012" s="151" t="n"/>
      <c r="BS1012" s="151" t="n"/>
      <c r="BT1012" s="151" t="n"/>
    </row>
    <row r="1013">
      <c r="BJ1013" s="151" t="n">
        <v>943</v>
      </c>
      <c r="BK1013" s="151" t="inlineStr">
        <is>
          <t>ESCUELAS DEL SECTOR PRIVADO, QUE NO CUENTEN CON AUTORIZACION O RECONOCIMIENTO DE VALIDEZ OFICIAL DE ESTUDIOS, EN LOS TERMINOS DE LA LEY GENERAL DE EDUCACION</t>
        </is>
      </c>
      <c r="BL1013" s="151" t="n"/>
      <c r="BM1013" s="151" t="n"/>
      <c r="BN1013" s="151" t="n"/>
      <c r="BO1013" s="151" t="n"/>
      <c r="BP1013" s="151" t="n"/>
      <c r="BQ1013" s="151" t="n"/>
      <c r="BR1013" s="151" t="n"/>
      <c r="BS1013" s="151" t="n"/>
      <c r="BT1013" s="151" t="n"/>
    </row>
    <row r="1014">
      <c r="BJ1014" s="151" t="n">
        <v>944</v>
      </c>
      <c r="BK1014" s="151" t="inlineStr">
        <is>
          <t>ESCUELAS DEL SECTOR PUBLICO DEDICADAS A LA ENSE?ANZA DE IDIOMAS</t>
        </is>
      </c>
      <c r="BL1014" s="151" t="n"/>
      <c r="BM1014" s="151" t="n"/>
      <c r="BN1014" s="151" t="n"/>
      <c r="BO1014" s="151" t="n"/>
      <c r="BP1014" s="151" t="n"/>
      <c r="BQ1014" s="151" t="n"/>
      <c r="BR1014" s="151" t="n"/>
      <c r="BS1014" s="151" t="n"/>
      <c r="BT1014" s="151" t="n"/>
    </row>
    <row r="1015">
      <c r="BJ1015" s="151" t="n">
        <v>945</v>
      </c>
      <c r="BK1015" s="151" t="inlineStr">
        <is>
          <t>SERVICIOS DE PROFESORES PARTICULARES</t>
        </is>
      </c>
      <c r="BL1015" s="151" t="n"/>
      <c r="BM1015" s="151" t="n"/>
      <c r="BN1015" s="151" t="n"/>
      <c r="BO1015" s="151" t="n"/>
      <c r="BP1015" s="151" t="n"/>
      <c r="BQ1015" s="151" t="n"/>
      <c r="BR1015" s="151" t="n"/>
      <c r="BS1015" s="151" t="n"/>
      <c r="BT1015" s="151" t="n"/>
    </row>
    <row r="1016">
      <c r="BJ1016" s="151" t="n">
        <v>946</v>
      </c>
      <c r="BK1016" s="151" t="inlineStr">
        <is>
          <t>OTROS SERVICIOS EDUCATIVOS PROPORCIONADOS POR EL SECTOR PRIVADO</t>
        </is>
      </c>
      <c r="BL1016" s="151" t="n"/>
      <c r="BM1016" s="151" t="n"/>
      <c r="BN1016" s="151" t="n"/>
      <c r="BO1016" s="151" t="n"/>
      <c r="BP1016" s="151" t="n"/>
      <c r="BQ1016" s="151" t="n"/>
      <c r="BR1016" s="151" t="n"/>
      <c r="BS1016" s="151" t="n"/>
      <c r="BT1016" s="151" t="n"/>
    </row>
    <row r="1017">
      <c r="BJ1017" s="151" t="n">
        <v>947</v>
      </c>
      <c r="BK1017" s="151" t="inlineStr">
        <is>
          <t>OTROS SERVICIOS EDUCATIVOS PROPORCIONADOS POR EL SECTOR PUBLICO</t>
        </is>
      </c>
      <c r="BL1017" s="151" t="n"/>
      <c r="BM1017" s="151" t="n"/>
      <c r="BN1017" s="151" t="n"/>
      <c r="BO1017" s="151" t="n"/>
      <c r="BP1017" s="151" t="n"/>
      <c r="BQ1017" s="151" t="n"/>
      <c r="BR1017" s="151" t="n"/>
      <c r="BS1017" s="151" t="n"/>
      <c r="BT1017" s="151" t="n"/>
    </row>
    <row r="1018">
      <c r="BJ1018" s="151" t="n">
        <v>948</v>
      </c>
      <c r="BK1018" s="151" t="inlineStr">
        <is>
          <t>SERVICIOS DE APOYO A LA EDUCACION</t>
        </is>
      </c>
      <c r="BL1018" s="151" t="n"/>
      <c r="BM1018" s="151" t="n"/>
      <c r="BN1018" s="151" t="n"/>
      <c r="BO1018" s="151" t="n"/>
      <c r="BP1018" s="151" t="n"/>
      <c r="BQ1018" s="151" t="n"/>
      <c r="BR1018" s="151" t="n"/>
      <c r="BS1018" s="151" t="n"/>
      <c r="BT1018" s="151" t="n"/>
    </row>
    <row r="1019">
      <c r="BJ1019" s="151" t="n">
        <v>949</v>
      </c>
      <c r="BK1019" s="151" t="inlineStr">
        <is>
          <t>CONSULTORIOS DE MEDICINA GENERAL PERTENECIENTES AL SECTOR PRIVADO QUE CUENTEN CON TITULO DE MEDICO CONFORME A LAS LEYES</t>
        </is>
      </c>
      <c r="BL1019" s="151" t="n"/>
      <c r="BM1019" s="151" t="n"/>
      <c r="BN1019" s="151" t="n"/>
      <c r="BO1019" s="151" t="n"/>
      <c r="BP1019" s="151" t="n"/>
      <c r="BQ1019" s="151" t="n"/>
      <c r="BR1019" s="151" t="n"/>
      <c r="BS1019" s="151" t="n"/>
      <c r="BT1019" s="151" t="n"/>
    </row>
    <row r="1020">
      <c r="BJ1020" s="151" t="n">
        <v>950</v>
      </c>
      <c r="BK1020" s="151" t="inlineStr">
        <is>
          <t>CONSULTORIOS DE MEDICINA GENERAL PERTENECIENTES AL SECTOR PUBLICO</t>
        </is>
      </c>
      <c r="BL1020" s="151" t="n"/>
      <c r="BM1020" s="151" t="n"/>
      <c r="BN1020" s="151" t="n"/>
      <c r="BO1020" s="151" t="n"/>
      <c r="BP1020" s="151" t="n"/>
      <c r="BQ1020" s="151" t="n"/>
      <c r="BR1020" s="151" t="n"/>
      <c r="BS1020" s="151" t="n"/>
      <c r="BT1020" s="151" t="n"/>
    </row>
    <row r="1021">
      <c r="BJ1021" s="151" t="n">
        <v>951</v>
      </c>
      <c r="BK1021" s="151" t="inlineStr">
        <is>
          <t>CONSULTORIOS DE MEDICINA ESPECIALIZADA PERTENECIENTES AL SECTOR PRIVADO QUE CUENTEN CON TITULO DE MEDICO CONFORME A LAS LEYES</t>
        </is>
      </c>
      <c r="BL1021" s="151" t="n"/>
      <c r="BM1021" s="151" t="n"/>
      <c r="BN1021" s="151" t="n"/>
      <c r="BO1021" s="151" t="n"/>
      <c r="BP1021" s="151" t="n"/>
      <c r="BQ1021" s="151" t="n"/>
      <c r="BR1021" s="151" t="n"/>
      <c r="BS1021" s="151" t="n"/>
      <c r="BT1021" s="151" t="n"/>
    </row>
    <row r="1022">
      <c r="BJ1022" s="151" t="n">
        <v>952</v>
      </c>
      <c r="BK1022" s="151" t="inlineStr">
        <is>
          <t>CONSULTORIOS DE MEDICINA ESPECIALIZADA PERTENECIENTES AL SECTOR PUBLICO</t>
        </is>
      </c>
      <c r="BL1022" s="151" t="n"/>
      <c r="BM1022" s="151" t="n"/>
      <c r="BN1022" s="151" t="n"/>
      <c r="BO1022" s="151" t="n"/>
      <c r="BP1022" s="151" t="n"/>
      <c r="BQ1022" s="151" t="n"/>
      <c r="BR1022" s="151" t="n"/>
      <c r="BS1022" s="151" t="n"/>
      <c r="BT1022" s="151" t="n"/>
    </row>
    <row r="1023">
      <c r="BJ1023" s="151" t="n">
        <v>953</v>
      </c>
      <c r="BK1023" s="151" t="inlineStr">
        <is>
          <t>CONSULTORIOS DENTALES DEL SECTOR PRIVADO QUE CUENTEN CON TITULO DE MEDICO CONFORME A LAS LEYES</t>
        </is>
      </c>
      <c r="BL1023" s="151" t="n"/>
      <c r="BM1023" s="151" t="n"/>
      <c r="BN1023" s="151" t="n"/>
      <c r="BO1023" s="151" t="n"/>
      <c r="BP1023" s="151" t="n"/>
      <c r="BQ1023" s="151" t="n"/>
      <c r="BR1023" s="151" t="n"/>
      <c r="BS1023" s="151" t="n"/>
      <c r="BT1023" s="151" t="n"/>
    </row>
    <row r="1024">
      <c r="BJ1024" s="151" t="n">
        <v>954</v>
      </c>
      <c r="BK1024" s="151" t="inlineStr">
        <is>
          <t>CONSULTORIOS DENTALES DEL SECTOR PUBLICO</t>
        </is>
      </c>
      <c r="BL1024" s="151" t="n"/>
      <c r="BM1024" s="151" t="n"/>
      <c r="BN1024" s="151" t="n"/>
      <c r="BO1024" s="151" t="n"/>
      <c r="BP1024" s="151" t="n"/>
      <c r="BQ1024" s="151" t="n"/>
      <c r="BR1024" s="151" t="n"/>
      <c r="BS1024" s="151" t="n"/>
      <c r="BT1024" s="151" t="n"/>
    </row>
    <row r="1025">
      <c r="BJ1025" s="151" t="n">
        <v>955</v>
      </c>
      <c r="BK1025" s="151" t="inlineStr">
        <is>
          <t>CONSULTORIOS DE QUIROPRACTICA PERTENECIENTES AL SECTOR PRIVADO</t>
        </is>
      </c>
      <c r="BL1025" s="151" t="n"/>
      <c r="BM1025" s="151" t="n"/>
      <c r="BN1025" s="151" t="n"/>
      <c r="BO1025" s="151" t="n"/>
      <c r="BP1025" s="151" t="n"/>
      <c r="BQ1025" s="151" t="n"/>
      <c r="BR1025" s="151" t="n"/>
      <c r="BS1025" s="151" t="n"/>
      <c r="BT1025" s="151" t="n"/>
    </row>
    <row r="1026">
      <c r="BJ1026" s="151" t="n">
        <v>956</v>
      </c>
      <c r="BK1026" s="151" t="inlineStr">
        <is>
          <t>CONSULTORIOS DE QUIROPRACTICA PERTENECIENTES AL SECTOR PUBLICO</t>
        </is>
      </c>
      <c r="BL1026" s="151" t="n"/>
      <c r="BM1026" s="151" t="n"/>
      <c r="BN1026" s="151" t="n"/>
      <c r="BO1026" s="151" t="n"/>
      <c r="BP1026" s="151" t="n"/>
      <c r="BQ1026" s="151" t="n"/>
      <c r="BR1026" s="151" t="n"/>
      <c r="BS1026" s="151" t="n"/>
      <c r="BT1026" s="151" t="n"/>
    </row>
    <row r="1027">
      <c r="BJ1027" s="151" t="n">
        <v>957</v>
      </c>
      <c r="BK1027" s="151" t="inlineStr">
        <is>
          <t>CONSULTORIOS DE OPTOMETRIA</t>
        </is>
      </c>
      <c r="BL1027" s="151" t="n"/>
      <c r="BM1027" s="151" t="n"/>
      <c r="BN1027" s="151" t="n"/>
      <c r="BO1027" s="151" t="n"/>
      <c r="BP1027" s="151" t="n"/>
      <c r="BQ1027" s="151" t="n"/>
      <c r="BR1027" s="151" t="n"/>
      <c r="BS1027" s="151" t="n"/>
      <c r="BT1027" s="151" t="n"/>
    </row>
    <row r="1028">
      <c r="BJ1028" s="151" t="n">
        <v>958</v>
      </c>
      <c r="BK1028" s="151" t="inlineStr">
        <is>
          <t>CONSULTORIOS DE PSICOLOGIA PERTENECIENTES AL SECTOR PRIVADO</t>
        </is>
      </c>
      <c r="BL1028" s="151" t="n"/>
      <c r="BM1028" s="151" t="n"/>
      <c r="BN1028" s="151" t="n"/>
      <c r="BO1028" s="151" t="n"/>
      <c r="BP1028" s="151" t="n"/>
      <c r="BQ1028" s="151" t="n"/>
      <c r="BR1028" s="151" t="n"/>
      <c r="BS1028" s="151" t="n"/>
      <c r="BT1028" s="151" t="n"/>
    </row>
    <row r="1029">
      <c r="BJ1029" s="151" t="n">
        <v>959</v>
      </c>
      <c r="BK1029" s="151" t="inlineStr">
        <is>
          <t>CONSULTORIOS DE PSICOLOGIA PERTENECIENTES AL SECTOR PUBLICO</t>
        </is>
      </c>
      <c r="BL1029" s="151" t="n"/>
      <c r="BM1029" s="151" t="n"/>
      <c r="BN1029" s="151" t="n"/>
      <c r="BO1029" s="151" t="n"/>
      <c r="BP1029" s="151" t="n"/>
      <c r="BQ1029" s="151" t="n"/>
      <c r="BR1029" s="151" t="n"/>
      <c r="BS1029" s="151" t="n"/>
      <c r="BT1029" s="151" t="n"/>
    </row>
    <row r="1030">
      <c r="BJ1030" s="151" t="n">
        <v>960</v>
      </c>
      <c r="BK1030" s="151" t="inlineStr">
        <is>
          <t>CONSULTORIOS DE AUDIOLOGIA Y DE TERAPIA OCUPACIONAL, FISICA Y DEL LENGUAJE PERTENECIENTES AL SECTOR PRIVADO</t>
        </is>
      </c>
      <c r="BL1030" s="151" t="n"/>
      <c r="BM1030" s="151" t="n"/>
      <c r="BN1030" s="151" t="n"/>
      <c r="BO1030" s="151" t="n"/>
      <c r="BP1030" s="151" t="n"/>
      <c r="BQ1030" s="151" t="n"/>
      <c r="BR1030" s="151" t="n"/>
      <c r="BS1030" s="151" t="n"/>
      <c r="BT1030" s="151" t="n"/>
    </row>
    <row r="1031">
      <c r="BJ1031" s="151" t="n">
        <v>962</v>
      </c>
      <c r="BK1031" s="151" t="inlineStr">
        <is>
          <t>CONSULTORIOS DE AUDIOLOGIA Y DE TERAPIA OCUPACIONAL, FISICA Y DEL LENGUAJE PERTENECIENTE AL SECTOR PUBLICO</t>
        </is>
      </c>
      <c r="BL1031" s="151" t="n"/>
      <c r="BM1031" s="151" t="n"/>
      <c r="BN1031" s="151" t="n"/>
      <c r="BO1031" s="151" t="n"/>
      <c r="BP1031" s="151" t="n"/>
      <c r="BQ1031" s="151" t="n"/>
      <c r="BR1031" s="151" t="n"/>
      <c r="BS1031" s="151" t="n"/>
      <c r="BT1031" s="151" t="n"/>
    </row>
    <row r="1032">
      <c r="BJ1032" s="151" t="n">
        <v>964</v>
      </c>
      <c r="BK1032" s="151" t="inlineStr">
        <is>
          <t>CONSULTORIOS DEL SECTOR PRIVADO DE NUTRIOLOGOS Y DIETISTAS</t>
        </is>
      </c>
      <c r="BL1032" s="151" t="n"/>
      <c r="BM1032" s="151" t="n"/>
      <c r="BN1032" s="151" t="n"/>
      <c r="BO1032" s="151" t="n"/>
      <c r="BP1032" s="151" t="n"/>
      <c r="BQ1032" s="151" t="n"/>
      <c r="BR1032" s="151" t="n"/>
      <c r="BS1032" s="151" t="n"/>
      <c r="BT1032" s="151" t="n"/>
    </row>
    <row r="1033">
      <c r="BJ1033" s="151" t="n">
        <v>965</v>
      </c>
      <c r="BK1033" s="151" t="inlineStr">
        <is>
          <t>CONSULTORIOS DEL SECTOR PUBLICO DE NUTRIOLOGOS Y DIETISTAS</t>
        </is>
      </c>
      <c r="BL1033" s="151" t="n"/>
      <c r="BM1033" s="151" t="n"/>
      <c r="BN1033" s="151" t="n"/>
      <c r="BO1033" s="151" t="n"/>
      <c r="BP1033" s="151" t="n"/>
      <c r="BQ1033" s="151" t="n"/>
      <c r="BR1033" s="151" t="n"/>
      <c r="BS1033" s="151" t="n"/>
      <c r="BT1033" s="151" t="n"/>
    </row>
    <row r="1034">
      <c r="BJ1034" s="151" t="n">
        <v>966</v>
      </c>
      <c r="BK1034" s="151" t="inlineStr">
        <is>
          <t>OTROS CONSULTORIOS DEL SECTOR PRIVADO PARA EL CUIDADO DE LA SALUD</t>
        </is>
      </c>
      <c r="BL1034" s="151" t="n"/>
      <c r="BM1034" s="151" t="n"/>
      <c r="BN1034" s="151" t="n"/>
      <c r="BO1034" s="151" t="n"/>
      <c r="BP1034" s="151" t="n"/>
      <c r="BQ1034" s="151" t="n"/>
      <c r="BR1034" s="151" t="n"/>
      <c r="BS1034" s="151" t="n"/>
      <c r="BT1034" s="151" t="n"/>
    </row>
    <row r="1035">
      <c r="BJ1035" s="151" t="n">
        <v>968</v>
      </c>
      <c r="BK1035" s="151" t="inlineStr">
        <is>
          <t>OTROS CONSULTORIOS DEL SECTOR PUBLICO PARA EL CUIDADO DE LA SALUD</t>
        </is>
      </c>
      <c r="BL1035" s="151" t="n"/>
      <c r="BM1035" s="151" t="n"/>
      <c r="BN1035" s="151" t="n"/>
      <c r="BO1035" s="151" t="n"/>
      <c r="BP1035" s="151" t="n"/>
      <c r="BQ1035" s="151" t="n"/>
      <c r="BR1035" s="151" t="n"/>
      <c r="BS1035" s="151" t="n"/>
      <c r="BT1035" s="151" t="n"/>
    </row>
    <row r="1036">
      <c r="BJ1036" s="151" t="n">
        <v>969</v>
      </c>
      <c r="BK1036" s="151" t="inlineStr">
        <is>
          <t>CENTROS DE PLANIFICACION FAMILIAR PERTENECIENTES AL SECTOR PRIVADO</t>
        </is>
      </c>
      <c r="BL1036" s="151" t="n"/>
      <c r="BM1036" s="151" t="n"/>
      <c r="BN1036" s="151" t="n"/>
      <c r="BO1036" s="151" t="n"/>
      <c r="BP1036" s="151" t="n"/>
      <c r="BQ1036" s="151" t="n"/>
      <c r="BR1036" s="151" t="n"/>
      <c r="BS1036" s="151" t="n"/>
      <c r="BT1036" s="151" t="n"/>
    </row>
    <row r="1037">
      <c r="BJ1037" s="151" t="n">
        <v>970</v>
      </c>
      <c r="BK1037" s="151" t="inlineStr">
        <is>
          <t>CENTROS DE PLANIFICACION FAMILIAR PERTENECIENTES AL SECTOR PUBLICO</t>
        </is>
      </c>
      <c r="BL1037" s="151" t="n"/>
      <c r="BM1037" s="151" t="n"/>
      <c r="BN1037" s="151" t="n"/>
      <c r="BO1037" s="151" t="n"/>
      <c r="BP1037" s="151" t="n"/>
      <c r="BQ1037" s="151" t="n"/>
      <c r="BR1037" s="151" t="n"/>
      <c r="BS1037" s="151" t="n"/>
      <c r="BT1037" s="151" t="n"/>
    </row>
    <row r="1038">
      <c r="BJ1038" s="151" t="n">
        <v>971</v>
      </c>
      <c r="BK1038" s="151" t="inlineStr">
        <is>
          <t>CENTROS DEL SECTOR PRIVADO DEDICADOS A LA ATENCION MEDICA EXTERNA DE ENFERMOS MENTALES Y ADICTOS</t>
        </is>
      </c>
      <c r="BL1038" s="151" t="n"/>
      <c r="BM1038" s="151" t="n"/>
      <c r="BN1038" s="151" t="n"/>
      <c r="BO1038" s="151" t="n"/>
      <c r="BP1038" s="151" t="n"/>
      <c r="BQ1038" s="151" t="n"/>
      <c r="BR1038" s="151" t="n"/>
      <c r="BS1038" s="151" t="n"/>
      <c r="BT1038" s="151" t="n"/>
    </row>
    <row r="1039">
      <c r="BJ1039" s="151" t="n">
        <v>972</v>
      </c>
      <c r="BK1039" s="151" t="inlineStr">
        <is>
          <t>CENTROS DEL SECTOR PUBLICO DEDICADOS A LA ATENCION MEDICA EXTERNA DE ENFERMOS MENTALES Y ADICTOS</t>
        </is>
      </c>
      <c r="BL1039" s="151" t="n"/>
      <c r="BM1039" s="151" t="n"/>
      <c r="BN1039" s="151" t="n"/>
      <c r="BO1039" s="151" t="n"/>
      <c r="BP1039" s="151" t="n"/>
      <c r="BQ1039" s="151" t="n"/>
      <c r="BR1039" s="151" t="n"/>
      <c r="BS1039" s="151" t="n"/>
      <c r="BT1039" s="151" t="n"/>
    </row>
    <row r="1040">
      <c r="BJ1040" s="151" t="n">
        <v>973</v>
      </c>
      <c r="BK1040" s="151" t="inlineStr">
        <is>
          <t>OTROS CENTROS DEL SECTOR PRIVADO PARA LA ATENCION DE PACIENTES QUE NO REQUIEREN HOSPITALIZACION</t>
        </is>
      </c>
      <c r="BL1040" s="151" t="n"/>
      <c r="BM1040" s="151" t="n"/>
      <c r="BN1040" s="151" t="n"/>
      <c r="BO1040" s="151" t="n"/>
      <c r="BP1040" s="151" t="n"/>
      <c r="BQ1040" s="151" t="n"/>
      <c r="BR1040" s="151" t="n"/>
      <c r="BS1040" s="151" t="n"/>
      <c r="BT1040" s="151" t="n"/>
    </row>
    <row r="1041">
      <c r="BJ1041" s="151" t="n">
        <v>974</v>
      </c>
      <c r="BK1041" s="151" t="inlineStr">
        <is>
          <t>OTROS CENTROS DEL SECTOR PUBLICO PARA LA ATENCION DE PACIENTES QUE NO REQUIEREN HOSPITALIZACION</t>
        </is>
      </c>
      <c r="BL1041" s="151" t="n"/>
      <c r="BM1041" s="151" t="n"/>
      <c r="BN1041" s="151" t="n"/>
      <c r="BO1041" s="151" t="n"/>
      <c r="BP1041" s="151" t="n"/>
      <c r="BQ1041" s="151" t="n"/>
      <c r="BR1041" s="151" t="n"/>
      <c r="BS1041" s="151" t="n"/>
      <c r="BT1041" s="151" t="n"/>
    </row>
    <row r="1042">
      <c r="BJ1042" s="151" t="n">
        <v>975</v>
      </c>
      <c r="BK1042" s="151" t="inlineStr">
        <is>
          <t>LABORATORIOS MEDICOS Y DE DIAGNOSTICO PERTENECIENTES AL SECTOR PRIVADO</t>
        </is>
      </c>
      <c r="BL1042" s="151" t="n"/>
      <c r="BM1042" s="151" t="n"/>
      <c r="BN1042" s="151" t="n"/>
      <c r="BO1042" s="151" t="n"/>
      <c r="BP1042" s="151" t="n"/>
      <c r="BQ1042" s="151" t="n"/>
      <c r="BR1042" s="151" t="n"/>
      <c r="BS1042" s="151" t="n"/>
      <c r="BT1042" s="151" t="n"/>
    </row>
    <row r="1043">
      <c r="BJ1043" s="151" t="n">
        <v>976</v>
      </c>
      <c r="BK1043" s="151" t="inlineStr">
        <is>
          <t>LABORATORIOS MEDICOS Y DE DIAGNOSTICO PERTENECIENTES AL SECTOR PUBLICO</t>
        </is>
      </c>
      <c r="BL1043" s="151" t="n"/>
      <c r="BM1043" s="151" t="n"/>
      <c r="BN1043" s="151" t="n"/>
      <c r="BO1043" s="151" t="n"/>
      <c r="BP1043" s="151" t="n"/>
      <c r="BQ1043" s="151" t="n"/>
      <c r="BR1043" s="151" t="n"/>
      <c r="BS1043" s="151" t="n"/>
      <c r="BT1043" s="151" t="n"/>
    </row>
    <row r="1044">
      <c r="BJ1044" s="151" t="n">
        <v>977</v>
      </c>
      <c r="BK1044" s="151" t="inlineStr">
        <is>
          <t>SERVICIOS DE ENFERMERIA A DOMICILIO</t>
        </is>
      </c>
      <c r="BL1044" s="151" t="n"/>
      <c r="BM1044" s="151" t="n"/>
      <c r="BN1044" s="151" t="n"/>
      <c r="BO1044" s="151" t="n"/>
      <c r="BP1044" s="151" t="n"/>
      <c r="BQ1044" s="151" t="n"/>
      <c r="BR1044" s="151" t="n"/>
      <c r="BS1044" s="151" t="n"/>
      <c r="BT1044" s="151" t="n"/>
    </row>
    <row r="1045">
      <c r="BJ1045" s="151" t="n">
        <v>978</v>
      </c>
      <c r="BK1045" s="151" t="inlineStr">
        <is>
          <t>SERVICIOS DE AMBULANCIAS</t>
        </is>
      </c>
      <c r="BL1045" s="151" t="n"/>
      <c r="BM1045" s="151" t="n"/>
      <c r="BN1045" s="151" t="n"/>
      <c r="BO1045" s="151" t="n"/>
      <c r="BP1045" s="151" t="n"/>
      <c r="BQ1045" s="151" t="n"/>
      <c r="BR1045" s="151" t="n"/>
      <c r="BS1045" s="151" t="n"/>
      <c r="BT1045" s="151" t="n"/>
    </row>
    <row r="1046">
      <c r="BJ1046" s="151" t="n">
        <v>979</v>
      </c>
      <c r="BK1046" s="151" t="inlineStr">
        <is>
          <t>SERVICIOS DE BANCOS DE ORGANOS, DE BANCOS DE SANGRE Y OTROS SERVICIOS AUXILIARES AL TRATAMIENTO MEDICO PRESTADOS POR EL SECTOR PRIVADO</t>
        </is>
      </c>
      <c r="BL1046" s="151" t="n"/>
      <c r="BM1046" s="151" t="n"/>
      <c r="BN1046" s="151" t="n"/>
      <c r="BO1046" s="151" t="n"/>
      <c r="BP1046" s="151" t="n"/>
      <c r="BQ1046" s="151" t="n"/>
      <c r="BR1046" s="151" t="n"/>
      <c r="BS1046" s="151" t="n"/>
      <c r="BT1046" s="151" t="n"/>
    </row>
    <row r="1047">
      <c r="BJ1047" s="151" t="n">
        <v>980</v>
      </c>
      <c r="BK1047" s="151" t="inlineStr">
        <is>
          <t>SERVICIOS DE BANCOS DE ORGANOS, DE BANCOS DE SANGRE Y OTROS SERVICIOS AUXILIARES AL TRATAMIENTO MEDICO PRESTADOS POR EL SECTOR PUBLICO</t>
        </is>
      </c>
      <c r="BL1047" s="151" t="n"/>
      <c r="BM1047" s="151" t="n"/>
      <c r="BN1047" s="151" t="n"/>
      <c r="BO1047" s="151" t="n"/>
      <c r="BP1047" s="151" t="n"/>
      <c r="BQ1047" s="151" t="n"/>
      <c r="BR1047" s="151" t="n"/>
      <c r="BS1047" s="151" t="n"/>
      <c r="BT1047" s="151" t="n"/>
    </row>
    <row r="1048">
      <c r="BJ1048" s="151" t="n">
        <v>981</v>
      </c>
      <c r="BK1048" s="151" t="inlineStr">
        <is>
          <t>HOSPITALES GENERALES DEL SECTOR PRIVADO QUE REQUIERAN DE TITULO DE MEDICO CONFORME A LAS LEYES</t>
        </is>
      </c>
      <c r="BL1048" s="151" t="n"/>
      <c r="BM1048" s="151" t="n"/>
      <c r="BN1048" s="151" t="n"/>
      <c r="BO1048" s="151" t="n"/>
      <c r="BP1048" s="151" t="n"/>
      <c r="BQ1048" s="151" t="n"/>
      <c r="BR1048" s="151" t="n"/>
      <c r="BS1048" s="151" t="n"/>
      <c r="BT1048" s="151" t="n"/>
    </row>
    <row r="1049">
      <c r="BJ1049" s="151" t="n">
        <v>982</v>
      </c>
      <c r="BK1049" s="151" t="inlineStr">
        <is>
          <t>HOSPITALES GENERALES DEL SECTOR PUBLICO</t>
        </is>
      </c>
      <c r="BL1049" s="151" t="n"/>
      <c r="BM1049" s="151" t="n"/>
      <c r="BN1049" s="151" t="n"/>
      <c r="BO1049" s="151" t="n"/>
      <c r="BP1049" s="151" t="n"/>
      <c r="BQ1049" s="151" t="n"/>
      <c r="BR1049" s="151" t="n"/>
      <c r="BS1049" s="151" t="n"/>
      <c r="BT1049" s="151" t="n"/>
    </row>
    <row r="1050">
      <c r="BJ1050" s="151" t="n">
        <v>983</v>
      </c>
      <c r="BK1050" s="151" t="inlineStr">
        <is>
          <t>HOSPITALES DEL SECTOR PRIVADO PSIQUIATRICOS Y PARA EL TRATAMIENTO POR ABUSO DE SUBSTANCIAS</t>
        </is>
      </c>
      <c r="BL1050" s="151" t="n"/>
      <c r="BM1050" s="151" t="n"/>
      <c r="BN1050" s="151" t="n"/>
      <c r="BO1050" s="151" t="n"/>
      <c r="BP1050" s="151" t="n"/>
      <c r="BQ1050" s="151" t="n"/>
      <c r="BR1050" s="151" t="n"/>
      <c r="BS1050" s="151" t="n"/>
      <c r="BT1050" s="151" t="n"/>
    </row>
    <row r="1051">
      <c r="BJ1051" s="151" t="n">
        <v>984</v>
      </c>
      <c r="BK1051" s="151" t="inlineStr">
        <is>
          <t>HOSPITALES DEL SECTOR PUBLICO PSIQUIATRICOS Y PARA EL TRATAMIENTO POR ABUSO DE SUBSTANCIAS</t>
        </is>
      </c>
      <c r="BL1051" s="151" t="n"/>
      <c r="BM1051" s="151" t="n"/>
      <c r="BN1051" s="151" t="n"/>
      <c r="BO1051" s="151" t="n"/>
      <c r="BP1051" s="151" t="n"/>
      <c r="BQ1051" s="151" t="n"/>
      <c r="BR1051" s="151" t="n"/>
      <c r="BS1051" s="151" t="n"/>
      <c r="BT1051" s="151" t="n"/>
    </row>
    <row r="1052">
      <c r="BJ1052" s="151" t="n">
        <v>985</v>
      </c>
      <c r="BK1052" s="151" t="inlineStr">
        <is>
          <t>HOSPITALES DEL SECTOR PRIVADO DEDICADOS A OTRAS ESPECIALIDADES MEDICAS QUE REQUIERAN DE TITULO DE MEDICO CONFORME A LAS LEYES</t>
        </is>
      </c>
      <c r="BL1052" s="151" t="n"/>
      <c r="BM1052" s="151" t="n"/>
      <c r="BN1052" s="151" t="n"/>
      <c r="BO1052" s="151" t="n"/>
      <c r="BP1052" s="151" t="n"/>
      <c r="BQ1052" s="151" t="n"/>
      <c r="BR1052" s="151" t="n"/>
      <c r="BS1052" s="151" t="n"/>
      <c r="BT1052" s="151" t="n"/>
    </row>
    <row r="1053">
      <c r="BJ1053" s="151" t="n">
        <v>986</v>
      </c>
      <c r="BK1053" s="151" t="inlineStr">
        <is>
          <t>HOSPITALES DEL SECTOR PUBLICO DEDICADOS A OTRAS ESPECIALIDADES MEDICAS</t>
        </is>
      </c>
      <c r="BL1053" s="151" t="n"/>
      <c r="BM1053" s="151" t="n"/>
      <c r="BN1053" s="151" t="n"/>
      <c r="BO1053" s="151" t="n"/>
      <c r="BP1053" s="151" t="n"/>
      <c r="BQ1053" s="151" t="n"/>
      <c r="BR1053" s="151" t="n"/>
      <c r="BS1053" s="151" t="n"/>
      <c r="BT1053" s="151" t="n"/>
    </row>
    <row r="1054">
      <c r="BJ1054" s="151" t="n">
        <v>987</v>
      </c>
      <c r="BK1054" s="151" t="inlineStr">
        <is>
          <t>RESIDENCIAS DEL SECTOR PRIVADO CON CUIDADOS DE ENFERMERAS PARA ENFERMOS CONVALECIENTES, EN REHABILITACION, INCURABLES Y TERMINALES</t>
        </is>
      </c>
      <c r="BL1054" s="151" t="n"/>
      <c r="BM1054" s="151" t="n"/>
      <c r="BN1054" s="151" t="n"/>
      <c r="BO1054" s="151" t="n"/>
      <c r="BP1054" s="151" t="n"/>
      <c r="BQ1054" s="151" t="n"/>
      <c r="BR1054" s="151" t="n"/>
      <c r="BS1054" s="151" t="n"/>
      <c r="BT1054" s="151" t="n"/>
    </row>
    <row r="1055">
      <c r="BJ1055" s="151" t="n">
        <v>988</v>
      </c>
      <c r="BK1055" s="151" t="inlineStr">
        <is>
          <t>RESIDENCIAS DEL SECTOR PUBLICO CON CUIDADOS DE ENFERMERAS PARA ENFERMOS CONVALECIENTES, EN REHABILITACION, INCURABLES Y TERMINALES</t>
        </is>
      </c>
      <c r="BL1055" s="151" t="n"/>
      <c r="BM1055" s="151" t="n"/>
      <c r="BN1055" s="151" t="n"/>
      <c r="BO1055" s="151" t="n"/>
      <c r="BP1055" s="151" t="n"/>
      <c r="BQ1055" s="151" t="n"/>
      <c r="BR1055" s="151" t="n"/>
      <c r="BS1055" s="151" t="n"/>
      <c r="BT1055" s="151" t="n"/>
    </row>
    <row r="1056">
      <c r="BJ1056" s="151" t="n">
        <v>989</v>
      </c>
      <c r="BK1056" s="151" t="inlineStr">
        <is>
          <t>RESIDENCIAS DEL SECTOR PRIVADO PARA EL CUIDADO DE PERSONAS CON PROBLEMAS DE RETARDO MENTAL</t>
        </is>
      </c>
      <c r="BL1056" s="151" t="n"/>
      <c r="BM1056" s="151" t="n"/>
      <c r="BN1056" s="151" t="n"/>
      <c r="BO1056" s="151" t="n"/>
      <c r="BP1056" s="151" t="n"/>
      <c r="BQ1056" s="151" t="n"/>
      <c r="BR1056" s="151" t="n"/>
      <c r="BS1056" s="151" t="n"/>
      <c r="BT1056" s="151" t="n"/>
    </row>
    <row r="1057">
      <c r="BJ1057" s="151" t="n">
        <v>990</v>
      </c>
      <c r="BK1057" s="151" t="inlineStr">
        <is>
          <t>RESIDENCIAS DEL SECTOR PUBLICO PARA EL CUIDADO DE PERSONAS CON PROBLEMAS DE RETARDO MENTAL</t>
        </is>
      </c>
      <c r="BL1057" s="151" t="n"/>
      <c r="BM1057" s="151" t="n"/>
      <c r="BN1057" s="151" t="n"/>
      <c r="BO1057" s="151" t="n"/>
      <c r="BP1057" s="151" t="n"/>
      <c r="BQ1057" s="151" t="n"/>
      <c r="BR1057" s="151" t="n"/>
      <c r="BS1057" s="151" t="n"/>
      <c r="BT1057" s="151" t="n"/>
    </row>
    <row r="1058">
      <c r="BJ1058" s="151" t="n">
        <v>991</v>
      </c>
      <c r="BK1058" s="151" t="inlineStr">
        <is>
          <t>RESIDENCIAS DEL SECTOR PRIVADO PARA EL CUIDADO DE PERSONAS CON PROBLEMAS DE SALUD MENTAL Y ABUSO DE SUBSTANCIAS</t>
        </is>
      </c>
      <c r="BL1058" s="151" t="n"/>
      <c r="BM1058" s="151" t="n"/>
      <c r="BN1058" s="151" t="n"/>
      <c r="BO1058" s="151" t="n"/>
      <c r="BP1058" s="151" t="n"/>
      <c r="BQ1058" s="151" t="n"/>
      <c r="BR1058" s="151" t="n"/>
      <c r="BS1058" s="151" t="n"/>
      <c r="BT1058" s="151" t="n"/>
    </row>
    <row r="1059">
      <c r="BJ1059" s="151" t="n">
        <v>992</v>
      </c>
      <c r="BK1059" s="151" t="inlineStr">
        <is>
          <t>RESIDENCIAS DEL SECTOR PUBLICO PARA EL CUIDADO DE PERSONAS CON PROBLEMAS DE SALUD MENTAL Y ABUSO DE SUBSTANCIAS</t>
        </is>
      </c>
      <c r="BL1059" s="151" t="n"/>
      <c r="BM1059" s="151" t="n"/>
      <c r="BN1059" s="151" t="n"/>
      <c r="BO1059" s="151" t="n"/>
      <c r="BP1059" s="151" t="n"/>
      <c r="BQ1059" s="151" t="n"/>
      <c r="BR1059" s="151" t="n"/>
      <c r="BS1059" s="151" t="n"/>
      <c r="BT1059" s="151" t="n"/>
    </row>
    <row r="1060">
      <c r="BJ1060" s="151" t="n">
        <v>993</v>
      </c>
      <c r="BK1060" s="151" t="inlineStr">
        <is>
          <t>ASILOS Y OTRAS RESIDENCIAS DEL SECTOR PRIVADO PARA EL CUIDADO DE ANCIANOS Y DISCAPACITADOS</t>
        </is>
      </c>
      <c r="BL1060" s="151" t="n"/>
      <c r="BM1060" s="151" t="n"/>
      <c r="BN1060" s="151" t="n"/>
      <c r="BO1060" s="151" t="n"/>
      <c r="BP1060" s="151" t="n"/>
      <c r="BQ1060" s="151" t="n"/>
      <c r="BR1060" s="151" t="n"/>
      <c r="BS1060" s="151" t="n"/>
      <c r="BT1060" s="151" t="n"/>
    </row>
    <row r="1061">
      <c r="BJ1061" s="151" t="n">
        <v>994</v>
      </c>
      <c r="BK1061" s="151" t="inlineStr">
        <is>
          <t>ASILOS Y OTRAS RESIDENCIAS DEL SECTOR PUBLICO PARA EL CUIDADO DE ANCIANOS Y DISCAPACITADOS</t>
        </is>
      </c>
      <c r="BL1061" s="151" t="n"/>
      <c r="BM1061" s="151" t="n"/>
      <c r="BN1061" s="151" t="n"/>
      <c r="BO1061" s="151" t="n"/>
      <c r="BP1061" s="151" t="n"/>
      <c r="BQ1061" s="151" t="n"/>
      <c r="BR1061" s="151" t="n"/>
      <c r="BS1061" s="151" t="n"/>
      <c r="BT1061" s="151" t="n"/>
    </row>
    <row r="1062">
      <c r="BJ1062" s="151" t="n">
        <v>995</v>
      </c>
      <c r="BK1062" s="151" t="inlineStr">
        <is>
          <t>ORFANATOS Y OTRAS RESIDENCIAS DE ASISTENCIA SOCIAL PERTENECIENTES AL SECTOR PRIVADO</t>
        </is>
      </c>
      <c r="BL1062" s="151" t="n"/>
      <c r="BM1062" s="151" t="n"/>
      <c r="BN1062" s="151" t="n"/>
      <c r="BO1062" s="151" t="n"/>
      <c r="BP1062" s="151" t="n"/>
      <c r="BQ1062" s="151" t="n"/>
      <c r="BR1062" s="151" t="n"/>
      <c r="BS1062" s="151" t="n"/>
      <c r="BT1062" s="151" t="n"/>
    </row>
    <row r="1063">
      <c r="BJ1063" s="151" t="n">
        <v>996</v>
      </c>
      <c r="BK1063" s="151" t="inlineStr">
        <is>
          <t>ORFANATOS Y OTRAS RESIDENCIAS DE ASISTENCIA SOCIAL PERTENECIENTES AL SECTOR PUBLICO</t>
        </is>
      </c>
      <c r="BL1063" s="151" t="n"/>
      <c r="BM1063" s="151" t="n"/>
      <c r="BN1063" s="151" t="n"/>
      <c r="BO1063" s="151" t="n"/>
      <c r="BP1063" s="151" t="n"/>
      <c r="BQ1063" s="151" t="n"/>
      <c r="BR1063" s="151" t="n"/>
      <c r="BS1063" s="151" t="n"/>
      <c r="BT1063" s="151" t="n"/>
    </row>
    <row r="1064">
      <c r="BJ1064" s="151" t="n">
        <v>997</v>
      </c>
      <c r="BK1064" s="151" t="inlineStr">
        <is>
          <t>SERVICIOS DE ORIENTACION Y TRABAJO SOCIAL PARA LA NI?EZ Y LA JUVENTUD PRESTADOS POR EL SECTOR PRIVADO</t>
        </is>
      </c>
      <c r="BL1064" s="151" t="n"/>
      <c r="BM1064" s="151" t="n"/>
      <c r="BN1064" s="151" t="n"/>
      <c r="BO1064" s="151" t="n"/>
      <c r="BP1064" s="151" t="n"/>
      <c r="BQ1064" s="151" t="n"/>
      <c r="BR1064" s="151" t="n"/>
      <c r="BS1064" s="151" t="n"/>
      <c r="BT1064" s="151" t="n"/>
    </row>
    <row r="1065">
      <c r="BJ1065" s="151" t="n">
        <v>998</v>
      </c>
      <c r="BK1065" s="151" t="inlineStr">
        <is>
          <t>SERVICIOS DE ORIENTACION Y TRABAJO SOCIAL PARA LA NI?EZ Y LA JUVENTUD PRESTADOS POR EL SECTOR PUBLICO</t>
        </is>
      </c>
      <c r="BL1065" s="151" t="n"/>
      <c r="BM1065" s="151" t="n"/>
      <c r="BN1065" s="151" t="n"/>
      <c r="BO1065" s="151" t="n"/>
      <c r="BP1065" s="151" t="n"/>
      <c r="BQ1065" s="151" t="n"/>
      <c r="BR1065" s="151" t="n"/>
      <c r="BS1065" s="151" t="n"/>
      <c r="BT1065" s="151" t="n"/>
    </row>
    <row r="1066">
      <c r="BJ1066" s="151" t="n">
        <v>999</v>
      </c>
      <c r="BK1066" s="151" t="inlineStr">
        <is>
          <t>CENTROS DEL SECTOR PRIVADO DEDICADOS A LA ATENCION Y CUIDADO DIURNO DE ANCIANOS Y DISCAPACITADOS</t>
        </is>
      </c>
      <c r="BL1066" s="151" t="n"/>
      <c r="BM1066" s="151" t="n"/>
      <c r="BN1066" s="151" t="n"/>
      <c r="BO1066" s="151" t="n"/>
      <c r="BP1066" s="151" t="n"/>
      <c r="BQ1066" s="151" t="n"/>
      <c r="BR1066" s="151" t="n"/>
      <c r="BS1066" s="151" t="n"/>
      <c r="BT1066" s="151" t="n"/>
    </row>
    <row r="1067">
      <c r="BJ1067" s="151" t="n">
        <v>1000</v>
      </c>
      <c r="BK1067" s="151" t="inlineStr">
        <is>
          <t>CENTROS DEL SECTOR PUBLICO DEDICADOS A LA ATENCION Y CUIDADO DIURNO DE ANCIANOS Y DISCAPACITADOS</t>
        </is>
      </c>
      <c r="BL1067" s="151" t="n"/>
      <c r="BM1067" s="151" t="n"/>
      <c r="BN1067" s="151" t="n"/>
      <c r="BO1067" s="151" t="n"/>
      <c r="BP1067" s="151" t="n"/>
      <c r="BQ1067" s="151" t="n"/>
      <c r="BR1067" s="151" t="n"/>
      <c r="BS1067" s="151" t="n"/>
      <c r="BT1067" s="151" t="n"/>
    </row>
    <row r="1068">
      <c r="BJ1068" s="151" t="n">
        <v>1001</v>
      </c>
      <c r="BK1068" s="151" t="inlineStr">
        <is>
          <t>ASISTENCIA SOCIAL DE AYUDA MUTUA PARA LA PREVENCION O COMBATE DE ENFERMEDADES COMO EL ALCOHOLISMO, LA NEUROSIS, LA DROGADICCION</t>
        </is>
      </c>
      <c r="BL1068" s="151" t="n"/>
      <c r="BM1068" s="151" t="n"/>
      <c r="BN1068" s="151" t="n"/>
      <c r="BO1068" s="151" t="n"/>
      <c r="BP1068" s="151" t="n"/>
      <c r="BQ1068" s="151" t="n"/>
      <c r="BR1068" s="151" t="n"/>
      <c r="BS1068" s="151" t="n"/>
      <c r="BT1068" s="151" t="n"/>
    </row>
    <row r="1069">
      <c r="BJ1069" s="151" t="n">
        <v>1002</v>
      </c>
      <c r="BK1069" s="151" t="inlineStr">
        <is>
          <t>OTROS SERVICIOS DE ORIENTACION Y TRABAJO SOCIAL PRESTADOS POR EL SECTOR PRIVADO</t>
        </is>
      </c>
      <c r="BL1069" s="151" t="n"/>
      <c r="BM1069" s="151" t="n"/>
      <c r="BN1069" s="151" t="n"/>
      <c r="BO1069" s="151" t="n"/>
      <c r="BP1069" s="151" t="n"/>
      <c r="BQ1069" s="151" t="n"/>
      <c r="BR1069" s="151" t="n"/>
      <c r="BS1069" s="151" t="n"/>
      <c r="BT1069" s="151" t="n"/>
    </row>
    <row r="1070">
      <c r="BJ1070" s="151" t="n">
        <v>1003</v>
      </c>
      <c r="BK1070" s="151" t="inlineStr">
        <is>
          <t>OTROS SERVICIOS DE ORIENTACION Y TRABAJO SOCIAL PRESTADOS POR EL SECTOR PUBLICO</t>
        </is>
      </c>
      <c r="BL1070" s="151" t="n"/>
      <c r="BM1070" s="151" t="n"/>
      <c r="BN1070" s="151" t="n"/>
      <c r="BO1070" s="151" t="n"/>
      <c r="BP1070" s="151" t="n"/>
      <c r="BQ1070" s="151" t="n"/>
      <c r="BR1070" s="151" t="n"/>
      <c r="BS1070" s="151" t="n"/>
      <c r="BT1070" s="151" t="n"/>
    </row>
    <row r="1071">
      <c r="BJ1071" s="151" t="n">
        <v>1004</v>
      </c>
      <c r="BK1071" s="151" t="inlineStr">
        <is>
          <t>SERVICIOS COMUNITARIOS DE ALIMENTACION, VESTIDO O VIVIENDA,PRESTADOS POR EL SECTOR PRIVADO</t>
        </is>
      </c>
      <c r="BL1071" s="151" t="n"/>
      <c r="BM1071" s="151" t="n"/>
      <c r="BN1071" s="151" t="n"/>
      <c r="BO1071" s="151" t="n"/>
      <c r="BP1071" s="151" t="n"/>
      <c r="BQ1071" s="151" t="n"/>
      <c r="BR1071" s="151" t="n"/>
      <c r="BS1071" s="151" t="n"/>
      <c r="BT1071" s="151" t="n"/>
    </row>
    <row r="1072">
      <c r="BJ1072" s="151" t="n">
        <v>1005</v>
      </c>
      <c r="BK1072" s="151" t="inlineStr">
        <is>
          <t>SERVICIOS COMUNITARIOS DE ALIMENTACION, VESTIDO O VIVIENDA,PRESTADOS POR EL SECTOR PUBLICO</t>
        </is>
      </c>
      <c r="BL1072" s="151" t="n"/>
      <c r="BM1072" s="151" t="n"/>
      <c r="BN1072" s="151" t="n"/>
      <c r="BO1072" s="151" t="n"/>
      <c r="BP1072" s="151" t="n"/>
      <c r="BQ1072" s="151" t="n"/>
      <c r="BR1072" s="151" t="n"/>
      <c r="BS1072" s="151" t="n"/>
      <c r="BT1072" s="151" t="n"/>
    </row>
    <row r="1073">
      <c r="BJ1073" s="151" t="n">
        <v>1006</v>
      </c>
      <c r="BK1073" s="151" t="inlineStr">
        <is>
          <t>REFUGIOS TEMPORALES COMUNITARIOS PERTENECIENTES AL SECTOR PRIVADO</t>
        </is>
      </c>
      <c r="BL1073" s="151" t="n"/>
      <c r="BM1073" s="151" t="n"/>
      <c r="BN1073" s="151" t="n"/>
      <c r="BO1073" s="151" t="n"/>
      <c r="BP1073" s="151" t="n"/>
      <c r="BQ1073" s="151" t="n"/>
      <c r="BR1073" s="151" t="n"/>
      <c r="BS1073" s="151" t="n"/>
      <c r="BT1073" s="151" t="n"/>
    </row>
    <row r="1074">
      <c r="BJ1074" s="151" t="n">
        <v>1007</v>
      </c>
      <c r="BK1074" s="151" t="inlineStr">
        <is>
          <t>REFUGIOS TEMPORALES COMUNITARIOS PERTENECIENTES AL SECTOR PUBLICO</t>
        </is>
      </c>
      <c r="BL1074" s="151" t="n"/>
      <c r="BM1074" s="151" t="n"/>
      <c r="BN1074" s="151" t="n"/>
      <c r="BO1074" s="151" t="n"/>
      <c r="BP1074" s="151" t="n"/>
      <c r="BQ1074" s="151" t="n"/>
      <c r="BR1074" s="151" t="n"/>
      <c r="BS1074" s="151" t="n"/>
      <c r="BT1074" s="151" t="n"/>
    </row>
    <row r="1075">
      <c r="BJ1075" s="151" t="n">
        <v>1008</v>
      </c>
      <c r="BK1075" s="151" t="inlineStr">
        <is>
          <t>SERVICIOS DE EMERGENCIA COMUNITARIOS PRESTADOS POR EL SECTOR PRIVADO</t>
        </is>
      </c>
      <c r="BL1075" s="151" t="n"/>
      <c r="BM1075" s="151" t="n"/>
      <c r="BN1075" s="151" t="n"/>
      <c r="BO1075" s="151" t="n"/>
      <c r="BP1075" s="151" t="n"/>
      <c r="BQ1075" s="151" t="n"/>
      <c r="BR1075" s="151" t="n"/>
      <c r="BS1075" s="151" t="n"/>
      <c r="BT1075" s="151" t="n"/>
    </row>
    <row r="1076">
      <c r="BJ1076" s="151" t="n">
        <v>1009</v>
      </c>
      <c r="BK1076" s="151" t="inlineStr">
        <is>
          <t>SERVICIOS DE EMERGENCIA COMUNITARIOS PRESTADOS POR EL SECTOR PUBLICO</t>
        </is>
      </c>
      <c r="BL1076" s="151" t="n"/>
      <c r="BM1076" s="151" t="n"/>
      <c r="BN1076" s="151" t="n"/>
      <c r="BO1076" s="151" t="n"/>
      <c r="BP1076" s="151" t="n"/>
      <c r="BQ1076" s="151" t="n"/>
      <c r="BR1076" s="151" t="n"/>
      <c r="BS1076" s="151" t="n"/>
      <c r="BT1076" s="151" t="n"/>
    </row>
    <row r="1077">
      <c r="BJ1077" s="151" t="n">
        <v>1010</v>
      </c>
      <c r="BK1077" s="151" t="inlineStr">
        <is>
          <t>SERVICIOS DE ORIENTACION SOCIAL, EDUCACION O CAPACITACION PARA EL TRABAJO PRESTADOS POR EL SECTOR PRIVADO A PERSONAS DESEMPLEADAS, SUBEMPLEADAS O DISCAPACITADAS</t>
        </is>
      </c>
      <c r="BL1077" s="151" t="n"/>
      <c r="BM1077" s="151" t="n"/>
      <c r="BN1077" s="151" t="n"/>
      <c r="BO1077" s="151" t="n"/>
      <c r="BP1077" s="151" t="n"/>
      <c r="BQ1077" s="151" t="n"/>
      <c r="BR1077" s="151" t="n"/>
      <c r="BS1077" s="151" t="n"/>
      <c r="BT1077" s="151" t="n"/>
    </row>
    <row r="1078">
      <c r="BJ1078" s="151" t="n">
        <v>1011</v>
      </c>
      <c r="BK1078" s="151" t="inlineStr">
        <is>
          <t>SERVICIOS DE ORIENTACION SOCIAL, EDUCACION O CAPACITACION PARA EL TRABAJO PRESTADOS POR EL SECTOR PUBLICO A PERSONAS DESEMPLEADAS, SUBEMPLEADAS O DISCAPACITADAS</t>
        </is>
      </c>
      <c r="BL1078" s="151" t="n"/>
      <c r="BM1078" s="151" t="n"/>
      <c r="BN1078" s="151" t="n"/>
      <c r="BO1078" s="151" t="n"/>
      <c r="BP1078" s="151" t="n"/>
      <c r="BQ1078" s="151" t="n"/>
      <c r="BR1078" s="151" t="n"/>
      <c r="BS1078" s="151" t="n"/>
      <c r="BT1078" s="151" t="n"/>
    </row>
    <row r="1079">
      <c r="BJ1079" s="151" t="n">
        <v>1012</v>
      </c>
      <c r="BK1079" s="151" t="inlineStr">
        <is>
          <t>GUARDERIAS DEL SECTOR PRIVADO.</t>
        </is>
      </c>
      <c r="BL1079" s="151" t="n"/>
      <c r="BM1079" s="151" t="n"/>
      <c r="BN1079" s="151" t="n"/>
      <c r="BO1079" s="151" t="n"/>
      <c r="BP1079" s="151" t="n"/>
      <c r="BQ1079" s="151" t="n"/>
      <c r="BR1079" s="151" t="n"/>
      <c r="BS1079" s="151" t="n"/>
      <c r="BT1079" s="151" t="n"/>
    </row>
    <row r="1080">
      <c r="BJ1080" s="151" t="n">
        <v>1013</v>
      </c>
      <c r="BK1080" s="151" t="inlineStr">
        <is>
          <t>GUARDERIAS DEL SECTOR PUBLICO</t>
        </is>
      </c>
      <c r="BL1080" s="151" t="n"/>
      <c r="BM1080" s="151" t="n"/>
      <c r="BN1080" s="151" t="n"/>
      <c r="BO1080" s="151" t="n"/>
      <c r="BP1080" s="151" t="n"/>
      <c r="BQ1080" s="151" t="n"/>
      <c r="BR1080" s="151" t="n"/>
      <c r="BS1080" s="151" t="n"/>
      <c r="BT1080" s="151" t="n"/>
    </row>
    <row r="1081">
      <c r="BJ1081" s="151" t="n">
        <v>1014</v>
      </c>
      <c r="BK1081" s="151" t="inlineStr">
        <is>
          <t>COMPA?IAS DE TEATRO DEL SECTOR PRIVADO</t>
        </is>
      </c>
      <c r="BL1081" s="151" t="n"/>
      <c r="BM1081" s="151" t="n"/>
      <c r="BN1081" s="151" t="n"/>
      <c r="BO1081" s="151" t="n"/>
      <c r="BP1081" s="151" t="n"/>
      <c r="BQ1081" s="151" t="n"/>
      <c r="BR1081" s="151" t="n"/>
      <c r="BS1081" s="151" t="n"/>
      <c r="BT1081" s="151" t="n"/>
    </row>
    <row r="1082">
      <c r="BJ1082" s="151" t="n">
        <v>1015</v>
      </c>
      <c r="BK1082" s="151" t="inlineStr">
        <is>
          <t>COMPA?IAS DE TEATRO DEL SECTOR PUBLICO</t>
        </is>
      </c>
      <c r="BL1082" s="151" t="n"/>
      <c r="BM1082" s="151" t="n"/>
      <c r="BN1082" s="151" t="n"/>
      <c r="BO1082" s="151" t="n"/>
      <c r="BP1082" s="151" t="n"/>
      <c r="BQ1082" s="151" t="n"/>
      <c r="BR1082" s="151" t="n"/>
      <c r="BS1082" s="151" t="n"/>
      <c r="BT1082" s="151" t="n"/>
    </row>
    <row r="1083">
      <c r="BJ1083" s="151" t="n">
        <v>1016</v>
      </c>
      <c r="BK1083" s="151" t="inlineStr">
        <is>
          <t>COMPA?IAS DE DANZA DEL SECTOR PRIVADO</t>
        </is>
      </c>
      <c r="BL1083" s="151" t="n"/>
      <c r="BM1083" s="151" t="n"/>
      <c r="BN1083" s="151" t="n"/>
      <c r="BO1083" s="151" t="n"/>
      <c r="BP1083" s="151" t="n"/>
      <c r="BQ1083" s="151" t="n"/>
      <c r="BR1083" s="151" t="n"/>
      <c r="BS1083" s="151" t="n"/>
      <c r="BT1083" s="151" t="n"/>
    </row>
    <row r="1084">
      <c r="BJ1084" s="151" t="n">
        <v>1017</v>
      </c>
      <c r="BK1084" s="151" t="inlineStr">
        <is>
          <t>COMPA?IAS DE DANZA DEL SECTOR PUBLICO</t>
        </is>
      </c>
      <c r="BL1084" s="151" t="n"/>
      <c r="BM1084" s="151" t="n"/>
      <c r="BN1084" s="151" t="n"/>
      <c r="BO1084" s="151" t="n"/>
      <c r="BP1084" s="151" t="n"/>
      <c r="BQ1084" s="151" t="n"/>
      <c r="BR1084" s="151" t="n"/>
      <c r="BS1084" s="151" t="n"/>
      <c r="BT1084" s="151" t="n"/>
    </row>
    <row r="1085">
      <c r="BJ1085" s="151" t="n">
        <v>1018</v>
      </c>
      <c r="BK1085" s="151" t="inlineStr">
        <is>
          <t>CANTANTES Y GRUPOS MUSICALES</t>
        </is>
      </c>
      <c r="BL1085" s="151" t="n"/>
      <c r="BM1085" s="151" t="n"/>
      <c r="BN1085" s="151" t="n"/>
      <c r="BO1085" s="151" t="n"/>
      <c r="BP1085" s="151" t="n"/>
      <c r="BQ1085" s="151" t="n"/>
      <c r="BR1085" s="151" t="n"/>
      <c r="BS1085" s="151" t="n"/>
      <c r="BT1085" s="151" t="n"/>
    </row>
    <row r="1086">
      <c r="BJ1086" s="151" t="n">
        <v>1019</v>
      </c>
      <c r="BK1086" s="151" t="inlineStr">
        <is>
          <t>GRUPOS MUSICALES DEL SECTOR PUBLICO</t>
        </is>
      </c>
      <c r="BL1086" s="151" t="n"/>
      <c r="BM1086" s="151" t="n"/>
      <c r="BN1086" s="151" t="n"/>
      <c r="BO1086" s="151" t="n"/>
      <c r="BP1086" s="151" t="n"/>
      <c r="BQ1086" s="151" t="n"/>
      <c r="BR1086" s="151" t="n"/>
      <c r="BS1086" s="151" t="n"/>
      <c r="BT1086" s="151" t="n"/>
    </row>
    <row r="1087">
      <c r="BJ1087" s="151" t="n">
        <v>1020</v>
      </c>
      <c r="BK1087" s="151" t="inlineStr">
        <is>
          <t>OTRAS COMPA?IAS Y GRUPOS CIRCENSES, DE MAGIA, DE PATINAJE Y DE OTROS ESPECTACULOS ARTISTICOS NO CLASIFICADOS EN OTRA PARTE</t>
        </is>
      </c>
      <c r="BL1087" s="151" t="n"/>
      <c r="BM1087" s="151" t="n"/>
      <c r="BN1087" s="151" t="n"/>
      <c r="BO1087" s="151" t="n"/>
      <c r="BP1087" s="151" t="n"/>
      <c r="BQ1087" s="151" t="n"/>
      <c r="BR1087" s="151" t="n"/>
      <c r="BS1087" s="151" t="n"/>
      <c r="BT1087" s="151" t="n"/>
    </row>
    <row r="1088">
      <c r="BJ1088" s="151" t="n">
        <v>1021</v>
      </c>
      <c r="BK1088" s="151" t="inlineStr">
        <is>
          <t>OTRAS COMPA?IAS Y GRUPOS DE ESPECTACULOS ARTISTICOS DEL SECTOR PUBLICO</t>
        </is>
      </c>
      <c r="BL1088" s="151" t="n"/>
      <c r="BM1088" s="151" t="n"/>
      <c r="BN1088" s="151" t="n"/>
      <c r="BO1088" s="151" t="n"/>
      <c r="BP1088" s="151" t="n"/>
      <c r="BQ1088" s="151" t="n"/>
      <c r="BR1088" s="151" t="n"/>
      <c r="BS1088" s="151" t="n"/>
      <c r="BT1088" s="151" t="n"/>
    </row>
    <row r="1089">
      <c r="BJ1089" s="151" t="n">
        <v>1022</v>
      </c>
      <c r="BK1089" s="151" t="inlineStr">
        <is>
          <t>PRESENTACION DE ESPECTACULOS PUBLICOS DEPORTIVOS PROFESIONALES Y SEMIPROFESIONALES</t>
        </is>
      </c>
      <c r="BL1089" s="151" t="n"/>
      <c r="BM1089" s="151" t="n"/>
      <c r="BN1089" s="151" t="n"/>
      <c r="BO1089" s="151" t="n"/>
      <c r="BP1089" s="151" t="n"/>
      <c r="BQ1089" s="151" t="n"/>
      <c r="BR1089" s="151" t="n"/>
      <c r="BS1089" s="151" t="n"/>
      <c r="BT1089" s="151" t="n"/>
    </row>
    <row r="1090">
      <c r="BJ1090" s="151" t="n">
        <v>1023</v>
      </c>
      <c r="BK1090" s="151" t="inlineStr">
        <is>
          <t>EQUIPOS DEPORTIVOS PROFESIONALES Y SEMIPROFESIONALES</t>
        </is>
      </c>
      <c r="BL1090" s="151" t="n"/>
      <c r="BM1090" s="151" t="n"/>
      <c r="BN1090" s="151" t="n"/>
      <c r="BO1090" s="151" t="n"/>
      <c r="BP1090" s="151" t="n"/>
      <c r="BQ1090" s="151" t="n"/>
      <c r="BR1090" s="151" t="n"/>
      <c r="BS1090" s="151" t="n"/>
      <c r="BT1090" s="151" t="n"/>
    </row>
    <row r="1091">
      <c r="BJ1091" s="151" t="n">
        <v>1024</v>
      </c>
      <c r="BK1091" s="151" t="inlineStr">
        <is>
          <t>PROMOTORES DEL SECTOR PRIVADO CON INSTALACIONES PARA LA PRESENTACION DE ESPECTACULOS ARTISTICOS, DEPORTIVOS Y SIMILARES</t>
        </is>
      </c>
      <c r="BL1091" s="151" t="n"/>
      <c r="BM1091" s="151" t="n"/>
      <c r="BN1091" s="151" t="n"/>
      <c r="BO1091" s="151" t="n"/>
      <c r="BP1091" s="151" t="n"/>
      <c r="BQ1091" s="151" t="n"/>
      <c r="BR1091" s="151" t="n"/>
      <c r="BS1091" s="151" t="n"/>
      <c r="BT1091" s="151" t="n"/>
    </row>
    <row r="1092">
      <c r="BJ1092" s="151" t="n">
        <v>1025</v>
      </c>
      <c r="BK1092" s="151" t="inlineStr">
        <is>
          <t>PROMOTORES DEL SECTOR PUBLICO CON INSTALACIONES PARA LA PRESENTACION DE ESPECTACULOS ARTISTICOS, DEPORTIVOS Y SIMILARES.</t>
        </is>
      </c>
      <c r="BL1092" s="151" t="n"/>
      <c r="BM1092" s="151" t="n"/>
      <c r="BN1092" s="151" t="n"/>
      <c r="BO1092" s="151" t="n"/>
      <c r="BP1092" s="151" t="n"/>
      <c r="BQ1092" s="151" t="n"/>
      <c r="BR1092" s="151" t="n"/>
      <c r="BS1092" s="151" t="n"/>
      <c r="BT1092" s="151" t="n"/>
    </row>
    <row r="1093">
      <c r="BJ1093" s="151" t="n">
        <v>1026</v>
      </c>
      <c r="BK1093" s="151" t="inlineStr">
        <is>
          <t>PROMOTORES DE ESPECTACULOS ARTISTICOS, DEPORTIVOS Y SIMILARES QUE NO CUENTAN CON INSTALACIONES PARA PRESENTARLOS</t>
        </is>
      </c>
      <c r="BL1093" s="151" t="n"/>
      <c r="BM1093" s="151" t="n"/>
      <c r="BN1093" s="151" t="n"/>
      <c r="BO1093" s="151" t="n"/>
      <c r="BP1093" s="151" t="n"/>
      <c r="BQ1093" s="151" t="n"/>
      <c r="BR1093" s="151" t="n"/>
      <c r="BS1093" s="151" t="n"/>
      <c r="BT1093" s="151" t="n"/>
    </row>
    <row r="1094">
      <c r="BJ1094" s="151" t="n">
        <v>1027</v>
      </c>
      <c r="BK1094" s="151" t="inlineStr">
        <is>
          <t>AGENTES Y REPRESENTANTES DE ARTISTAS, DEPORTISTAS Y SIMILARES</t>
        </is>
      </c>
      <c r="BL1094" s="151" t="n"/>
      <c r="BM1094" s="151" t="n"/>
      <c r="BN1094" s="151" t="n"/>
      <c r="BO1094" s="151" t="n"/>
      <c r="BP1094" s="151" t="n"/>
      <c r="BQ1094" s="151" t="n"/>
      <c r="BR1094" s="151" t="n"/>
      <c r="BS1094" s="151" t="n"/>
      <c r="BT1094" s="151" t="n"/>
    </row>
    <row r="1095">
      <c r="BJ1095" s="151" t="n">
        <v>1028</v>
      </c>
      <c r="BK1095" s="151" t="inlineStr">
        <is>
          <t>ARTISTAS Y TECNICOS INDEPENDIENTES</t>
        </is>
      </c>
      <c r="BL1095" s="151" t="n"/>
      <c r="BM1095" s="151" t="n"/>
      <c r="BN1095" s="151" t="n"/>
      <c r="BO1095" s="151" t="n"/>
      <c r="BP1095" s="151" t="n"/>
      <c r="BQ1095" s="151" t="n"/>
      <c r="BR1095" s="151" t="n"/>
      <c r="BS1095" s="151" t="n"/>
      <c r="BT1095" s="151" t="n"/>
    </row>
    <row r="1096">
      <c r="BJ1096" s="151" t="n">
        <v>1029</v>
      </c>
      <c r="BK1096" s="151" t="inlineStr">
        <is>
          <t>CREACION DE OBRAS ARTISTICAS ESCRITAS, AUTORIZANDO A TERCEROS SU PUBLICACION EN PERIODICOS Y REVISTAS, QUE SE DESTINES PARA SU ENAJENACION AL PUBLICO</t>
        </is>
      </c>
      <c r="BL1096" s="151" t="n"/>
      <c r="BM1096" s="151" t="n"/>
      <c r="BN1096" s="151" t="n"/>
      <c r="BO1096" s="151" t="n"/>
      <c r="BP1096" s="151" t="n"/>
      <c r="BQ1096" s="151" t="n"/>
      <c r="BR1096" s="151" t="n"/>
      <c r="BS1096" s="151" t="n"/>
      <c r="BT1096" s="151" t="n"/>
    </row>
    <row r="1097">
      <c r="BJ1097" s="151" t="n">
        <v>1030</v>
      </c>
      <c r="BK1097" s="151" t="inlineStr">
        <is>
          <t>EXPLOTACION DE DERECHOS DE AUTOR DE TERCEROS</t>
        </is>
      </c>
      <c r="BL1097" s="151" t="n"/>
      <c r="BM1097" s="151" t="n"/>
      <c r="BN1097" s="151" t="n"/>
      <c r="BO1097" s="151" t="n"/>
      <c r="BP1097" s="151" t="n"/>
      <c r="BQ1097" s="151" t="n"/>
      <c r="BR1097" s="151" t="n"/>
      <c r="BS1097" s="151" t="n"/>
      <c r="BT1097" s="151" t="n"/>
    </row>
    <row r="1098">
      <c r="BJ1098" s="151" t="n">
        <v>1031</v>
      </c>
      <c r="BK1098" s="151" t="inlineStr">
        <is>
          <t>MUSEOS DEL SECTOR PRIVADO</t>
        </is>
      </c>
      <c r="BL1098" s="151" t="n"/>
      <c r="BM1098" s="151" t="n"/>
      <c r="BN1098" s="151" t="n"/>
      <c r="BO1098" s="151" t="n"/>
      <c r="BP1098" s="151" t="n"/>
      <c r="BQ1098" s="151" t="n"/>
      <c r="BR1098" s="151" t="n"/>
      <c r="BS1098" s="151" t="n"/>
      <c r="BT1098" s="151" t="n"/>
    </row>
    <row r="1099">
      <c r="BJ1099" s="151" t="n">
        <v>1032</v>
      </c>
      <c r="BK1099" s="151" t="inlineStr">
        <is>
          <t>MUSEOS DEL SECTOR PUBLICO</t>
        </is>
      </c>
      <c r="BL1099" s="151" t="n"/>
      <c r="BM1099" s="151" t="n"/>
      <c r="BN1099" s="151" t="n"/>
      <c r="BO1099" s="151" t="n"/>
      <c r="BP1099" s="151" t="n"/>
      <c r="BQ1099" s="151" t="n"/>
      <c r="BR1099" s="151" t="n"/>
      <c r="BS1099" s="151" t="n"/>
      <c r="BT1099" s="151" t="n"/>
    </row>
    <row r="1100">
      <c r="BJ1100" s="151" t="n">
        <v>1033</v>
      </c>
      <c r="BK1100" s="151" t="inlineStr">
        <is>
          <t>SITIOS HISTORICOS, PROTECCION, CONSERVACION, RESTAURACION Y RECUPERACION DEL PATRIMONIO CULTURAL DE LA NACION</t>
        </is>
      </c>
      <c r="BL1100" s="151" t="n"/>
      <c r="BM1100" s="151" t="n"/>
      <c r="BN1100" s="151" t="n"/>
      <c r="BO1100" s="151" t="n"/>
      <c r="BP1100" s="151" t="n"/>
      <c r="BQ1100" s="151" t="n"/>
      <c r="BR1100" s="151" t="n"/>
      <c r="BS1100" s="151" t="n"/>
      <c r="BT1100" s="151" t="n"/>
    </row>
    <row r="1101">
      <c r="BJ1101" s="151" t="n">
        <v>1034</v>
      </c>
      <c r="BK1101" s="151" t="inlineStr">
        <is>
          <t>JARDINES BOTANICOS Y ZOOLOGICOS DEL SECTOR PRIVADO</t>
        </is>
      </c>
      <c r="BL1101" s="151" t="n"/>
      <c r="BM1101" s="151" t="n"/>
      <c r="BN1101" s="151" t="n"/>
      <c r="BO1101" s="151" t="n"/>
      <c r="BP1101" s="151" t="n"/>
      <c r="BQ1101" s="151" t="n"/>
      <c r="BR1101" s="151" t="n"/>
      <c r="BS1101" s="151" t="n"/>
      <c r="BT1101" s="151" t="n"/>
    </row>
    <row r="1102">
      <c r="BJ1102" s="151" t="n">
        <v>1035</v>
      </c>
      <c r="BK1102" s="151" t="inlineStr">
        <is>
          <t>JARDINES BOTANICOS Y ZOOLOGICOS DEL SECTOR PUBLICO</t>
        </is>
      </c>
      <c r="BL1102" s="151" t="n"/>
      <c r="BM1102" s="151" t="n"/>
      <c r="BN1102" s="151" t="n"/>
      <c r="BO1102" s="151" t="n"/>
      <c r="BP1102" s="151" t="n"/>
      <c r="BQ1102" s="151" t="n"/>
      <c r="BR1102" s="151" t="n"/>
      <c r="BS1102" s="151" t="n"/>
      <c r="BT1102" s="151" t="n"/>
    </row>
    <row r="1103">
      <c r="BJ1103" s="151" t="n">
        <v>1036</v>
      </c>
      <c r="BK1103" s="151" t="inlineStr">
        <is>
          <t>GRUTAS, PARQUES NATURALES Y OTROS SITIOS DEL PATRIMONIO NACIONAL</t>
        </is>
      </c>
      <c r="BL1103" s="151" t="n"/>
      <c r="BM1103" s="151" t="n"/>
      <c r="BN1103" s="151" t="n"/>
      <c r="BO1103" s="151" t="n"/>
      <c r="BP1103" s="151" t="n"/>
      <c r="BQ1103" s="151" t="n"/>
      <c r="BR1103" s="151" t="n"/>
      <c r="BS1103" s="151" t="n"/>
      <c r="BT1103" s="151" t="n"/>
    </row>
    <row r="1104">
      <c r="BJ1104" s="151" t="n">
        <v>1037</v>
      </c>
      <c r="BK1104" s="151" t="inlineStr">
        <is>
          <t>PARQUES DEL SECTOR PRIVADO CON INSTALACIONES RECREATIVAS</t>
        </is>
      </c>
      <c r="BL1104" s="151" t="n"/>
      <c r="BM1104" s="151" t="n"/>
      <c r="BN1104" s="151" t="n"/>
      <c r="BO1104" s="151" t="n"/>
      <c r="BP1104" s="151" t="n"/>
      <c r="BQ1104" s="151" t="n"/>
      <c r="BR1104" s="151" t="n"/>
      <c r="BS1104" s="151" t="n"/>
      <c r="BT1104" s="151" t="n"/>
    </row>
    <row r="1105">
      <c r="BJ1105" s="151" t="n">
        <v>1038</v>
      </c>
      <c r="BK1105" s="151" t="inlineStr">
        <is>
          <t>PARQUES DEL SECTOR PUBLICO CON INSTALACIONES RECREATIVAS</t>
        </is>
      </c>
      <c r="BL1105" s="151" t="n"/>
      <c r="BM1105" s="151" t="n"/>
      <c r="BN1105" s="151" t="n"/>
      <c r="BO1105" s="151" t="n"/>
      <c r="BP1105" s="151" t="n"/>
      <c r="BQ1105" s="151" t="n"/>
      <c r="BR1105" s="151" t="n"/>
      <c r="BS1105" s="151" t="n"/>
      <c r="BT1105" s="151" t="n"/>
    </row>
    <row r="1106">
      <c r="BJ1106" s="151" t="n">
        <v>1039</v>
      </c>
      <c r="BK1106" s="151" t="inlineStr">
        <is>
          <t>CASAS DE JUEGOS ELECTRONICOS</t>
        </is>
      </c>
      <c r="BL1106" s="151" t="n"/>
      <c r="BM1106" s="151" t="n"/>
      <c r="BN1106" s="151" t="n"/>
      <c r="BO1106" s="151" t="n"/>
      <c r="BP1106" s="151" t="n"/>
      <c r="BQ1106" s="151" t="n"/>
      <c r="BR1106" s="151" t="n"/>
      <c r="BS1106" s="151" t="n"/>
      <c r="BT1106" s="151" t="n"/>
    </row>
    <row r="1107">
      <c r="BJ1107" s="151" t="n">
        <v>1040</v>
      </c>
      <c r="BK1107" s="151" t="inlineStr">
        <is>
          <t>RECEPCION, CAPTACION, CRUCE O EXPLOTACION DE APUESTAS</t>
        </is>
      </c>
      <c r="BL1107" s="151" t="n"/>
      <c r="BM1107" s="151" t="n"/>
      <c r="BN1107" s="151" t="n"/>
      <c r="BO1107" s="151" t="n"/>
      <c r="BP1107" s="151" t="n"/>
      <c r="BQ1107" s="151" t="n"/>
      <c r="BR1107" s="151" t="n"/>
      <c r="BS1107" s="151" t="n"/>
      <c r="BT1107" s="151" t="n"/>
    </row>
    <row r="1108">
      <c r="BJ1108" s="151" t="n">
        <v>1041</v>
      </c>
      <c r="BK1108" s="151" t="inlineStr">
        <is>
          <t>VENTA DE BILLETES DE LOTERIA</t>
        </is>
      </c>
      <c r="BL1108" s="151" t="n"/>
      <c r="BM1108" s="151" t="n"/>
      <c r="BN1108" s="151" t="n"/>
      <c r="BO1108" s="151" t="n"/>
      <c r="BP1108" s="151" t="n"/>
      <c r="BQ1108" s="151" t="n"/>
      <c r="BR1108" s="151" t="n"/>
      <c r="BS1108" s="151" t="n"/>
      <c r="BT1108" s="151" t="n"/>
    </row>
    <row r="1109">
      <c r="BJ1109" s="151" t="n">
        <v>1042</v>
      </c>
      <c r="BK1109" s="151" t="inlineStr">
        <is>
          <t>CONCURSOS EN LOS QUE SE OFREZCAN PREMIOS Y EN ALGUNA ETAPA DE SU DESARROLLO INTERVENGA DIRECTA O INDIRECTAMENTE EL AZAR</t>
        </is>
      </c>
      <c r="BL1109" s="151" t="n"/>
      <c r="BM1109" s="151" t="n"/>
      <c r="BN1109" s="151" t="n"/>
      <c r="BO1109" s="151" t="n"/>
      <c r="BP1109" s="151" t="n"/>
      <c r="BQ1109" s="151" t="n"/>
      <c r="BR1109" s="151" t="n"/>
      <c r="BS1109" s="151" t="n"/>
      <c r="BT1109" s="151" t="n"/>
    </row>
    <row r="1110">
      <c r="BJ1110" s="151" t="n">
        <v>1043</v>
      </c>
      <c r="BK1110" s="151" t="inlineStr">
        <is>
          <t>CAMPOS DE GOLF</t>
        </is>
      </c>
      <c r="BL1110" s="151" t="n"/>
      <c r="BM1110" s="151" t="n"/>
      <c r="BN1110" s="151" t="n"/>
      <c r="BO1110" s="151" t="n"/>
      <c r="BP1110" s="151" t="n"/>
      <c r="BQ1110" s="151" t="n"/>
      <c r="BR1110" s="151" t="n"/>
      <c r="BS1110" s="151" t="n"/>
      <c r="BT1110" s="151" t="n"/>
    </row>
    <row r="1111">
      <c r="BJ1111" s="151" t="n">
        <v>1044</v>
      </c>
      <c r="BK1111" s="151" t="inlineStr">
        <is>
          <t>PISTAS PARA ESQUIAR</t>
        </is>
      </c>
      <c r="BL1111" s="151" t="n"/>
      <c r="BM1111" s="151" t="n"/>
      <c r="BN1111" s="151" t="n"/>
      <c r="BO1111" s="151" t="n"/>
      <c r="BP1111" s="151" t="n"/>
      <c r="BQ1111" s="151" t="n"/>
      <c r="BR1111" s="151" t="n"/>
      <c r="BS1111" s="151" t="n"/>
      <c r="BT1111" s="151" t="n"/>
    </row>
    <row r="1112">
      <c r="BJ1112" s="151" t="n">
        <v>1045</v>
      </c>
      <c r="BK1112" s="151" t="inlineStr">
        <is>
          <t>MARINAS TURISTICAS</t>
        </is>
      </c>
      <c r="BL1112" s="151" t="n"/>
      <c r="BM1112" s="151" t="n"/>
      <c r="BN1112" s="151" t="n"/>
      <c r="BO1112" s="151" t="n"/>
      <c r="BP1112" s="151" t="n"/>
      <c r="BQ1112" s="151" t="n"/>
      <c r="BR1112" s="151" t="n"/>
      <c r="BS1112" s="151" t="n"/>
      <c r="BT1112" s="151" t="n"/>
    </row>
    <row r="1113">
      <c r="BJ1113" s="151" t="n">
        <v>1046</v>
      </c>
      <c r="BK1113" s="151" t="inlineStr">
        <is>
          <t>CLUBES DEPORTIVOS DEL SECTOR PRIVADO</t>
        </is>
      </c>
      <c r="BL1113" s="151" t="n"/>
      <c r="BM1113" s="151" t="n"/>
      <c r="BN1113" s="151" t="n"/>
      <c r="BO1113" s="151" t="n"/>
      <c r="BP1113" s="151" t="n"/>
      <c r="BQ1113" s="151" t="n"/>
      <c r="BR1113" s="151" t="n"/>
      <c r="BS1113" s="151" t="n"/>
      <c r="BT1113" s="151" t="n"/>
    </row>
    <row r="1114">
      <c r="BJ1114" s="151" t="n">
        <v>1047</v>
      </c>
      <c r="BK1114" s="151" t="inlineStr">
        <is>
          <t>CLUBES DEPORTIVOS DEL SECTOR PUBLICO</t>
        </is>
      </c>
      <c r="BL1114" s="151" t="n"/>
      <c r="BM1114" s="151" t="n"/>
      <c r="BN1114" s="151" t="n"/>
      <c r="BO1114" s="151" t="n"/>
      <c r="BP1114" s="151" t="n"/>
      <c r="BQ1114" s="151" t="n"/>
      <c r="BR1114" s="151" t="n"/>
      <c r="BS1114" s="151" t="n"/>
      <c r="BT1114" s="151" t="n"/>
    </row>
    <row r="1115">
      <c r="BJ1115" s="151" t="n">
        <v>1048</v>
      </c>
      <c r="BK1115" s="151" t="inlineStr">
        <is>
          <t>BALNEARIOS DEL SECTOR PRIVADO</t>
        </is>
      </c>
      <c r="BL1115" s="151" t="n"/>
      <c r="BM1115" s="151" t="n"/>
      <c r="BN1115" s="151" t="n"/>
      <c r="BO1115" s="151" t="n"/>
      <c r="BP1115" s="151" t="n"/>
      <c r="BQ1115" s="151" t="n"/>
      <c r="BR1115" s="151" t="n"/>
      <c r="BS1115" s="151" t="n"/>
      <c r="BT1115" s="151" t="n"/>
    </row>
    <row r="1116">
      <c r="BJ1116" s="151" t="n">
        <v>1049</v>
      </c>
      <c r="BK1116" s="151" t="inlineStr">
        <is>
          <t>BALNEARIOS DEL SECTOR PUBLICO</t>
        </is>
      </c>
      <c r="BL1116" s="151" t="n"/>
      <c r="BM1116" s="151" t="n"/>
      <c r="BN1116" s="151" t="n"/>
      <c r="BO1116" s="151" t="n"/>
      <c r="BP1116" s="151" t="n"/>
      <c r="BQ1116" s="151" t="n"/>
      <c r="BR1116" s="151" t="n"/>
      <c r="BS1116" s="151" t="n"/>
      <c r="BT1116" s="151" t="n"/>
    </row>
    <row r="1117">
      <c r="BJ1117" s="151" t="n">
        <v>1050</v>
      </c>
      <c r="BK1117" s="151" t="inlineStr">
        <is>
          <t>CENTROS DE ACONDICIONAMIENTO FISICO PERTENECIENTES AL SECTOR PRIVADO</t>
        </is>
      </c>
      <c r="BL1117" s="151" t="n"/>
      <c r="BM1117" s="151" t="n"/>
      <c r="BN1117" s="151" t="n"/>
      <c r="BO1117" s="151" t="n"/>
      <c r="BP1117" s="151" t="n"/>
      <c r="BQ1117" s="151" t="n"/>
      <c r="BR1117" s="151" t="n"/>
      <c r="BS1117" s="151" t="n"/>
      <c r="BT1117" s="151" t="n"/>
    </row>
    <row r="1118">
      <c r="BJ1118" s="151" t="n">
        <v>1051</v>
      </c>
      <c r="BK1118" s="151" t="inlineStr">
        <is>
          <t>CENTROS DE ACONDICIONAMIENTO FISICO PERTENECIENTES AL SECTOR PUBLICO</t>
        </is>
      </c>
      <c r="BL1118" s="151" t="n"/>
      <c r="BM1118" s="151" t="n"/>
      <c r="BN1118" s="151" t="n"/>
      <c r="BO1118" s="151" t="n"/>
      <c r="BP1118" s="151" t="n"/>
      <c r="BQ1118" s="151" t="n"/>
      <c r="BR1118" s="151" t="n"/>
      <c r="BS1118" s="151" t="n"/>
      <c r="BT1118" s="151" t="n"/>
    </row>
    <row r="1119">
      <c r="BJ1119" s="151" t="n">
        <v>1052</v>
      </c>
      <c r="BK1119" s="151" t="inlineStr">
        <is>
          <t>BOLICHES</t>
        </is>
      </c>
      <c r="BL1119" s="151" t="n"/>
      <c r="BM1119" s="151" t="n"/>
      <c r="BN1119" s="151" t="n"/>
      <c r="BO1119" s="151" t="n"/>
      <c r="BP1119" s="151" t="n"/>
      <c r="BQ1119" s="151" t="n"/>
      <c r="BR1119" s="151" t="n"/>
      <c r="BS1119" s="151" t="n"/>
      <c r="BT1119" s="151" t="n"/>
    </row>
    <row r="1120">
      <c r="BJ1120" s="151" t="n">
        <v>1053</v>
      </c>
      <c r="BK1120" s="151" t="inlineStr">
        <is>
          <t>BILLARES</t>
        </is>
      </c>
      <c r="BL1120" s="151" t="n"/>
      <c r="BM1120" s="151" t="n"/>
      <c r="BN1120" s="151" t="n"/>
      <c r="BO1120" s="151" t="n"/>
      <c r="BP1120" s="151" t="n"/>
      <c r="BQ1120" s="151" t="n"/>
      <c r="BR1120" s="151" t="n"/>
      <c r="BS1120" s="151" t="n"/>
      <c r="BT1120" s="151" t="n"/>
    </row>
    <row r="1121">
      <c r="BJ1121" s="151" t="n">
        <v>1054</v>
      </c>
      <c r="BK1121" s="151" t="inlineStr">
        <is>
          <t>OTROS SERVICIOS RECREATIVOS PRESTADOS POR EL SECTOR PRIVADO</t>
        </is>
      </c>
      <c r="BL1121" s="151" t="n"/>
      <c r="BM1121" s="151" t="n"/>
      <c r="BN1121" s="151" t="n"/>
      <c r="BO1121" s="151" t="n"/>
      <c r="BP1121" s="151" t="n"/>
      <c r="BQ1121" s="151" t="n"/>
      <c r="BR1121" s="151" t="n"/>
      <c r="BS1121" s="151" t="n"/>
      <c r="BT1121" s="151" t="n"/>
    </row>
    <row r="1122">
      <c r="BJ1122" s="151" t="n">
        <v>1055</v>
      </c>
      <c r="BK1122" s="151" t="inlineStr">
        <is>
          <t>OTROS SERVICIOS RECREATIVOS PRESTADOS POR EL SECTOR PUBLICO</t>
        </is>
      </c>
      <c r="BL1122" s="151" t="n"/>
      <c r="BM1122" s="151" t="n"/>
      <c r="BN1122" s="151" t="n"/>
      <c r="BO1122" s="151" t="n"/>
      <c r="BP1122" s="151" t="n"/>
      <c r="BQ1122" s="151" t="n"/>
      <c r="BR1122" s="151" t="n"/>
      <c r="BS1122" s="151" t="n"/>
      <c r="BT1122" s="151" t="n"/>
    </row>
    <row r="1123">
      <c r="BJ1123" s="151" t="n">
        <v>1056</v>
      </c>
      <c r="BK1123" s="151" t="inlineStr">
        <is>
          <t>HOTELES CON OTROS SERVICIOS INTEGRADOS</t>
        </is>
      </c>
      <c r="BL1123" s="151" t="n"/>
      <c r="BM1123" s="151" t="n"/>
      <c r="BN1123" s="151" t="n"/>
      <c r="BO1123" s="151" t="n"/>
      <c r="BP1123" s="151" t="n"/>
      <c r="BQ1123" s="151" t="n"/>
      <c r="BR1123" s="151" t="n"/>
      <c r="BS1123" s="151" t="n"/>
      <c r="BT1123" s="151" t="n"/>
    </row>
    <row r="1124">
      <c r="BJ1124" s="151" t="n">
        <v>1057</v>
      </c>
      <c r="BK1124" s="151" t="inlineStr">
        <is>
          <t>SERVICIOS DE EXPORTACION DE SERVICIOS DE HOTELERIA</t>
        </is>
      </c>
      <c r="BL1124" s="151" t="n"/>
      <c r="BM1124" s="151" t="n"/>
      <c r="BN1124" s="151" t="n"/>
      <c r="BO1124" s="151" t="n"/>
      <c r="BP1124" s="151" t="n"/>
      <c r="BQ1124" s="151" t="n"/>
      <c r="BR1124" s="151" t="n"/>
      <c r="BS1124" s="151" t="n"/>
      <c r="BT1124" s="151" t="n"/>
    </row>
    <row r="1125">
      <c r="BJ1125" s="151" t="n">
        <v>1058</v>
      </c>
      <c r="BK1125" s="151" t="inlineStr">
        <is>
          <t>SERVICIOS DE EXPORTACION DE SERVICIOS DE CONVENCIONES Y EXPOSICIONES</t>
        </is>
      </c>
      <c r="BL1125" s="151" t="n"/>
      <c r="BM1125" s="151" t="n"/>
      <c r="BN1125" s="151" t="n"/>
      <c r="BO1125" s="151" t="n"/>
      <c r="BP1125" s="151" t="n"/>
      <c r="BQ1125" s="151" t="n"/>
      <c r="BR1125" s="151" t="n"/>
      <c r="BS1125" s="151" t="n"/>
      <c r="BT1125" s="151" t="n"/>
    </row>
    <row r="1126">
      <c r="BJ1126" s="151" t="n">
        <v>1059</v>
      </c>
      <c r="BK1126" s="151" t="inlineStr">
        <is>
          <t>HOTELES SIN OTROS SERVICIOS INTEGRADOS</t>
        </is>
      </c>
      <c r="BL1126" s="151" t="n"/>
      <c r="BM1126" s="151" t="n"/>
      <c r="BN1126" s="151" t="n"/>
      <c r="BO1126" s="151" t="n"/>
      <c r="BP1126" s="151" t="n"/>
      <c r="BQ1126" s="151" t="n"/>
      <c r="BR1126" s="151" t="n"/>
      <c r="BS1126" s="151" t="n"/>
      <c r="BT1126" s="151" t="n"/>
    </row>
    <row r="1127">
      <c r="BJ1127" s="151" t="n">
        <v>1060</v>
      </c>
      <c r="BK1127" s="151" t="inlineStr">
        <is>
          <t>MOTELES</t>
        </is>
      </c>
      <c r="BL1127" s="151" t="n"/>
      <c r="BM1127" s="151" t="n"/>
      <c r="BN1127" s="151" t="n"/>
      <c r="BO1127" s="151" t="n"/>
      <c r="BP1127" s="151" t="n"/>
      <c r="BQ1127" s="151" t="n"/>
      <c r="BR1127" s="151" t="n"/>
      <c r="BS1127" s="151" t="n"/>
      <c r="BT1127" s="151" t="n"/>
    </row>
    <row r="1128">
      <c r="BJ1128" s="151" t="n">
        <v>1061</v>
      </c>
      <c r="BK1128" s="151" t="inlineStr">
        <is>
          <t>HOTELES CON CASINO</t>
        </is>
      </c>
      <c r="BL1128" s="151" t="n"/>
      <c r="BM1128" s="151" t="n"/>
      <c r="BN1128" s="151" t="n"/>
      <c r="BO1128" s="151" t="n"/>
      <c r="BP1128" s="151" t="n"/>
      <c r="BQ1128" s="151" t="n"/>
      <c r="BR1128" s="151" t="n"/>
      <c r="BS1128" s="151" t="n"/>
      <c r="BT1128" s="151" t="n"/>
    </row>
    <row r="1129">
      <c r="BJ1129" s="151" t="n">
        <v>1062</v>
      </c>
      <c r="BK1129" s="151" t="inlineStr">
        <is>
          <t>CABA?AS, VILLAS Y SIMILARES</t>
        </is>
      </c>
      <c r="BL1129" s="151" t="n"/>
      <c r="BM1129" s="151" t="n"/>
      <c r="BN1129" s="151" t="n"/>
      <c r="BO1129" s="151" t="n"/>
      <c r="BP1129" s="151" t="n"/>
      <c r="BQ1129" s="151" t="n"/>
      <c r="BR1129" s="151" t="n"/>
      <c r="BS1129" s="151" t="n"/>
      <c r="BT1129" s="151" t="n"/>
    </row>
    <row r="1130">
      <c r="BJ1130" s="151" t="n">
        <v>1063</v>
      </c>
      <c r="BK1130" s="151" t="inlineStr">
        <is>
          <t>CAMPAMENTOS Y ALBERGUES RECREATIVOS</t>
        </is>
      </c>
      <c r="BL1130" s="151" t="n"/>
      <c r="BM1130" s="151" t="n"/>
      <c r="BN1130" s="151" t="n"/>
      <c r="BO1130" s="151" t="n"/>
      <c r="BP1130" s="151" t="n"/>
      <c r="BQ1130" s="151" t="n"/>
      <c r="BR1130" s="151" t="n"/>
      <c r="BS1130" s="151" t="n"/>
      <c r="BT1130" s="151" t="n"/>
    </row>
    <row r="1131">
      <c r="BJ1131" s="151" t="n">
        <v>1064</v>
      </c>
      <c r="BK1131" s="151" t="inlineStr">
        <is>
          <t>PENSIONES Y CASAS DE HUESPEDES</t>
        </is>
      </c>
      <c r="BL1131" s="151" t="n"/>
      <c r="BM1131" s="151" t="n"/>
      <c r="BN1131" s="151" t="n"/>
      <c r="BO1131" s="151" t="n"/>
      <c r="BP1131" s="151" t="n"/>
      <c r="BQ1131" s="151" t="n"/>
      <c r="BR1131" s="151" t="n"/>
      <c r="BS1131" s="151" t="n"/>
      <c r="BT1131" s="151" t="n"/>
    </row>
    <row r="1132">
      <c r="BJ1132" s="151" t="n">
        <v>1065</v>
      </c>
      <c r="BK1132" s="151" t="inlineStr">
        <is>
          <t>DEPARTAMENTOS Y CASAS AMUEBLADOS CON SERVICIOS DE HOTELERIA</t>
        </is>
      </c>
      <c r="BL1132" s="151" t="n"/>
      <c r="BM1132" s="151" t="n"/>
      <c r="BN1132" s="151" t="n"/>
      <c r="BO1132" s="151" t="n"/>
      <c r="BP1132" s="151" t="n"/>
      <c r="BQ1132" s="151" t="n"/>
      <c r="BR1132" s="151" t="n"/>
      <c r="BS1132" s="151" t="n"/>
      <c r="BT1132" s="151" t="n"/>
    </row>
    <row r="1133">
      <c r="BJ1133" s="151" t="n">
        <v>1066</v>
      </c>
      <c r="BK1133" s="151" t="inlineStr">
        <is>
          <t>ALQUILER DE INMUEBLES DESTINADOS A HOSPEDAJE A TRAVES DE TERCEROS</t>
        </is>
      </c>
      <c r="BL1133" s="151" t="n"/>
      <c r="BM1133" s="151" t="n"/>
      <c r="BN1133" s="151" t="n"/>
      <c r="BO1133" s="151" t="n"/>
      <c r="BP1133" s="151" t="n"/>
      <c r="BQ1133" s="151" t="n"/>
      <c r="BR1133" s="151" t="n"/>
      <c r="BS1133" s="151" t="n"/>
      <c r="BT1133" s="151" t="n"/>
    </row>
    <row r="1134">
      <c r="BJ1134" s="151" t="n">
        <v>1067</v>
      </c>
      <c r="BK1134" s="151" t="inlineStr">
        <is>
          <t>RESTAURANTES-BAR CON SERVICIO DE MESEROS</t>
        </is>
      </c>
      <c r="BL1134" s="151" t="n"/>
      <c r="BM1134" s="151" t="n"/>
      <c r="BN1134" s="151" t="n"/>
      <c r="BO1134" s="151" t="n"/>
      <c r="BP1134" s="151" t="n"/>
      <c r="BQ1134" s="151" t="n"/>
      <c r="BR1134" s="151" t="n"/>
      <c r="BS1134" s="151" t="n"/>
      <c r="BT1134" s="151" t="n"/>
    </row>
    <row r="1135">
      <c r="BJ1135" s="151" t="n">
        <v>1068</v>
      </c>
      <c r="BK1135" s="151" t="inlineStr">
        <is>
          <t>RESTAURANTES SIN BAR Y CON SERVICIO DE MESEROS</t>
        </is>
      </c>
      <c r="BL1135" s="151" t="n"/>
      <c r="BM1135" s="151" t="n"/>
      <c r="BN1135" s="151" t="n"/>
      <c r="BO1135" s="151" t="n"/>
      <c r="BP1135" s="151" t="n"/>
      <c r="BQ1135" s="151" t="n"/>
      <c r="BR1135" s="151" t="n"/>
      <c r="BS1135" s="151" t="n"/>
      <c r="BT1135" s="151" t="n"/>
    </row>
    <row r="1136">
      <c r="BJ1136" s="151" t="n">
        <v>1069</v>
      </c>
      <c r="BK1136" s="151" t="inlineStr">
        <is>
          <t>RESTAURANTES DE AUTOSERVICIO</t>
        </is>
      </c>
      <c r="BL1136" s="151" t="n"/>
      <c r="BM1136" s="151" t="n"/>
      <c r="BN1136" s="151" t="n"/>
      <c r="BO1136" s="151" t="n"/>
      <c r="BP1136" s="151" t="n"/>
      <c r="BQ1136" s="151" t="n"/>
      <c r="BR1136" s="151" t="n"/>
      <c r="BS1136" s="151" t="n"/>
      <c r="BT1136" s="151" t="n"/>
    </row>
    <row r="1137">
      <c r="BJ1137" s="151" t="n">
        <v>1070</v>
      </c>
      <c r="BK1137" s="151" t="inlineStr">
        <is>
          <t>RESTAURANTES DE COMIDA PARA LLEVAR</t>
        </is>
      </c>
      <c r="BL1137" s="151" t="n"/>
      <c r="BM1137" s="151" t="n"/>
      <c r="BN1137" s="151" t="n"/>
      <c r="BO1137" s="151" t="n"/>
      <c r="BP1137" s="151" t="n"/>
      <c r="BQ1137" s="151" t="n"/>
      <c r="BR1137" s="151" t="n"/>
      <c r="BS1137" s="151" t="n"/>
      <c r="BT1137" s="151" t="n"/>
    </row>
    <row r="1138">
      <c r="BJ1138" s="151" t="n">
        <v>1071</v>
      </c>
      <c r="BK1138" s="151" t="inlineStr">
        <is>
          <t>SERVICIOS DE COMEDOR PARA EMPRESAS E INSTITUCIONES</t>
        </is>
      </c>
      <c r="BL1138" s="151" t="n"/>
      <c r="BM1138" s="151" t="n"/>
      <c r="BN1138" s="151" t="n"/>
      <c r="BO1138" s="151" t="n"/>
      <c r="BP1138" s="151" t="n"/>
      <c r="BQ1138" s="151" t="n"/>
      <c r="BR1138" s="151" t="n"/>
      <c r="BS1138" s="151" t="n"/>
      <c r="BT1138" s="151" t="n"/>
    </row>
    <row r="1139">
      <c r="BJ1139" s="151" t="n">
        <v>1072</v>
      </c>
      <c r="BK1139" s="151" t="inlineStr">
        <is>
          <t>SERVICIOS DE PREPARACION DE ALIMENTOS PARA OCASIONES ESPECIALES</t>
        </is>
      </c>
      <c r="BL1139" s="151" t="n"/>
      <c r="BM1139" s="151" t="n"/>
      <c r="BN1139" s="151" t="n"/>
      <c r="BO1139" s="151" t="n"/>
      <c r="BP1139" s="151" t="n"/>
      <c r="BQ1139" s="151" t="n"/>
      <c r="BR1139" s="151" t="n"/>
      <c r="BS1139" s="151" t="n"/>
      <c r="BT1139" s="151" t="n"/>
    </row>
    <row r="1140">
      <c r="BJ1140" s="151" t="n">
        <v>1073</v>
      </c>
      <c r="BK1140" s="151" t="inlineStr">
        <is>
          <t>SERVICIOS DE PREPARACION DE ALIMENTOS EN UNIDADES MOVILES</t>
        </is>
      </c>
      <c r="BL1140" s="151" t="n"/>
      <c r="BM1140" s="151" t="n"/>
      <c r="BN1140" s="151" t="n"/>
      <c r="BO1140" s="151" t="n"/>
      <c r="BP1140" s="151" t="n"/>
      <c r="BQ1140" s="151" t="n"/>
      <c r="BR1140" s="151" t="n"/>
      <c r="BS1140" s="151" t="n"/>
      <c r="BT1140" s="151" t="n"/>
    </row>
    <row r="1141">
      <c r="BJ1141" s="151" t="n">
        <v>1074</v>
      </c>
      <c r="BK1141" s="151" t="inlineStr">
        <is>
          <t>CENTROS NOCTURNOS, DISCOTECAS Y SIMILARES</t>
        </is>
      </c>
      <c r="BL1141" s="151" t="n"/>
      <c r="BM1141" s="151" t="n"/>
      <c r="BN1141" s="151" t="n"/>
      <c r="BO1141" s="151" t="n"/>
      <c r="BP1141" s="151" t="n"/>
      <c r="BQ1141" s="151" t="n"/>
      <c r="BR1141" s="151" t="n"/>
      <c r="BS1141" s="151" t="n"/>
      <c r="BT1141" s="151" t="n"/>
    </row>
    <row r="1142">
      <c r="BJ1142" s="151" t="n">
        <v>1075</v>
      </c>
      <c r="BK1142" s="151" t="inlineStr">
        <is>
          <t>BARES Y CANTINAS</t>
        </is>
      </c>
      <c r="BL1142" s="151" t="n"/>
      <c r="BM1142" s="151" t="n"/>
      <c r="BN1142" s="151" t="n"/>
      <c r="BO1142" s="151" t="n"/>
      <c r="BP1142" s="151" t="n"/>
      <c r="BQ1142" s="151" t="n"/>
      <c r="BR1142" s="151" t="n"/>
      <c r="BS1142" s="151" t="n"/>
      <c r="BT1142" s="151" t="n"/>
    </row>
    <row r="1143">
      <c r="BJ1143" s="151" t="n">
        <v>1076</v>
      </c>
      <c r="BK1143" s="151" t="inlineStr">
        <is>
          <t>CERVECERIAS</t>
        </is>
      </c>
      <c r="BL1143" s="151" t="n"/>
      <c r="BM1143" s="151" t="n"/>
      <c r="BN1143" s="151" t="n"/>
      <c r="BO1143" s="151" t="n"/>
      <c r="BP1143" s="151" t="n"/>
      <c r="BQ1143" s="151" t="n"/>
      <c r="BR1143" s="151" t="n"/>
      <c r="BS1143" s="151" t="n"/>
      <c r="BT1143" s="151" t="n"/>
    </row>
    <row r="1144">
      <c r="BJ1144" s="151" t="n">
        <v>1077</v>
      </c>
      <c r="BK1144" s="151" t="inlineStr">
        <is>
          <t>PULQUERIAS</t>
        </is>
      </c>
      <c r="BL1144" s="151" t="n"/>
      <c r="BM1144" s="151" t="n"/>
      <c r="BN1144" s="151" t="n"/>
      <c r="BO1144" s="151" t="n"/>
      <c r="BP1144" s="151" t="n"/>
      <c r="BQ1144" s="151" t="n"/>
      <c r="BR1144" s="151" t="n"/>
      <c r="BS1144" s="151" t="n"/>
      <c r="BT1144" s="151" t="n"/>
    </row>
    <row r="1145">
      <c r="BJ1145" s="151" t="n">
        <v>1078</v>
      </c>
      <c r="BK1145" s="151" t="inlineStr">
        <is>
          <t>REPARACION MECANICA EN GENERAL DE AUTOMOVILES Y CAMIONES</t>
        </is>
      </c>
      <c r="BL1145" s="151" t="n"/>
      <c r="BM1145" s="151" t="n"/>
      <c r="BN1145" s="151" t="n"/>
      <c r="BO1145" s="151" t="n"/>
      <c r="BP1145" s="151" t="n"/>
      <c r="BQ1145" s="151" t="n"/>
      <c r="BR1145" s="151" t="n"/>
      <c r="BS1145" s="151" t="n"/>
      <c r="BT1145" s="151" t="n"/>
    </row>
    <row r="1146">
      <c r="BJ1146" s="151" t="n">
        <v>1079</v>
      </c>
      <c r="BK1146" s="151" t="inlineStr">
        <is>
          <t>REPARACION DEL SISTEMA ELECTRICO DE AUTOMOVILES Y CAMIONES</t>
        </is>
      </c>
      <c r="BL1146" s="151" t="n"/>
      <c r="BM1146" s="151" t="n"/>
      <c r="BN1146" s="151" t="n"/>
      <c r="BO1146" s="151" t="n"/>
      <c r="BP1146" s="151" t="n"/>
      <c r="BQ1146" s="151" t="n"/>
      <c r="BR1146" s="151" t="n"/>
      <c r="BS1146" s="151" t="n"/>
      <c r="BT1146" s="151" t="n"/>
    </row>
    <row r="1147">
      <c r="BJ1147" s="151" t="n">
        <v>1080</v>
      </c>
      <c r="BK1147" s="151" t="inlineStr">
        <is>
          <t>RECTIFICACION DE MOTORES DE AUTOMOVILES Y CAMIONES</t>
        </is>
      </c>
      <c r="BL1147" s="151" t="n"/>
      <c r="BM1147" s="151" t="n"/>
      <c r="BN1147" s="151" t="n"/>
      <c r="BO1147" s="151" t="n"/>
      <c r="BP1147" s="151" t="n"/>
      <c r="BQ1147" s="151" t="n"/>
      <c r="BR1147" s="151" t="n"/>
      <c r="BS1147" s="151" t="n"/>
      <c r="BT1147" s="151" t="n"/>
    </row>
    <row r="1148">
      <c r="BJ1148" s="151" t="n">
        <v>1081</v>
      </c>
      <c r="BK1148" s="151" t="inlineStr">
        <is>
          <t>REPARACION DE TRANSMISIONES DE AUTOMOVILES Y CAMIONES</t>
        </is>
      </c>
      <c r="BL1148" s="151" t="n"/>
      <c r="BM1148" s="151" t="n"/>
      <c r="BN1148" s="151" t="n"/>
      <c r="BO1148" s="151" t="n"/>
      <c r="BP1148" s="151" t="n"/>
      <c r="BQ1148" s="151" t="n"/>
      <c r="BR1148" s="151" t="n"/>
      <c r="BS1148" s="151" t="n"/>
      <c r="BT1148" s="151" t="n"/>
    </row>
    <row r="1149">
      <c r="BJ1149" s="151" t="n">
        <v>1082</v>
      </c>
      <c r="BK1149" s="151" t="inlineStr">
        <is>
          <t>REPARACION DE SUSPENSIONES DE AUTOMOVILES Y CAMIONES</t>
        </is>
      </c>
      <c r="BL1149" s="151" t="n"/>
      <c r="BM1149" s="151" t="n"/>
      <c r="BN1149" s="151" t="n"/>
      <c r="BO1149" s="151" t="n"/>
      <c r="BP1149" s="151" t="n"/>
      <c r="BQ1149" s="151" t="n"/>
      <c r="BR1149" s="151" t="n"/>
      <c r="BS1149" s="151" t="n"/>
      <c r="BT1149" s="151" t="n"/>
    </row>
    <row r="1150">
      <c r="BJ1150" s="151" t="n">
        <v>1083</v>
      </c>
      <c r="BK1150" s="151" t="inlineStr">
        <is>
          <t>ALINEACION Y BALANCEO DE AUTOMOVILES Y CAMIONES</t>
        </is>
      </c>
      <c r="BL1150" s="151" t="n"/>
      <c r="BM1150" s="151" t="n"/>
      <c r="BN1150" s="151" t="n"/>
      <c r="BO1150" s="151" t="n"/>
      <c r="BP1150" s="151" t="n"/>
      <c r="BQ1150" s="151" t="n"/>
      <c r="BR1150" s="151" t="n"/>
      <c r="BS1150" s="151" t="n"/>
      <c r="BT1150" s="151" t="n"/>
    </row>
    <row r="1151">
      <c r="BJ1151" s="151" t="n">
        <v>1084</v>
      </c>
      <c r="BK1151" s="151" t="inlineStr">
        <is>
          <t>OTRAS REPARACIONES MECANICAS Y ELECTRICAS DE AUTOMOVILES Y CAMIONES</t>
        </is>
      </c>
      <c r="BL1151" s="151" t="n"/>
      <c r="BM1151" s="151" t="n"/>
      <c r="BN1151" s="151" t="n"/>
      <c r="BO1151" s="151" t="n"/>
      <c r="BP1151" s="151" t="n"/>
      <c r="BQ1151" s="151" t="n"/>
      <c r="BR1151" s="151" t="n"/>
      <c r="BS1151" s="151" t="n"/>
      <c r="BT1151" s="151" t="n"/>
    </row>
    <row r="1152">
      <c r="BJ1152" s="151" t="n">
        <v>1085</v>
      </c>
      <c r="BK1152" s="151" t="inlineStr">
        <is>
          <t>HOJALATERIA Y PINTURA DE AUTOMOVILES Y CAMIONES</t>
        </is>
      </c>
      <c r="BL1152" s="151" t="n"/>
      <c r="BM1152" s="151" t="n"/>
      <c r="BN1152" s="151" t="n"/>
      <c r="BO1152" s="151" t="n"/>
      <c r="BP1152" s="151" t="n"/>
      <c r="BQ1152" s="151" t="n"/>
      <c r="BR1152" s="151" t="n"/>
      <c r="BS1152" s="151" t="n"/>
      <c r="BT1152" s="151" t="n"/>
    </row>
    <row r="1153">
      <c r="BJ1153" s="151" t="n">
        <v>1086</v>
      </c>
      <c r="BK1153" s="151" t="inlineStr">
        <is>
          <t>TAPICERIA DE AUTOMOVILES Y CAMIONES</t>
        </is>
      </c>
      <c r="BL1153" s="151" t="n"/>
      <c r="BM1153" s="151" t="n"/>
      <c r="BN1153" s="151" t="n"/>
      <c r="BO1153" s="151" t="n"/>
      <c r="BP1153" s="151" t="n"/>
      <c r="BQ1153" s="151" t="n"/>
      <c r="BR1153" s="151" t="n"/>
      <c r="BS1153" s="151" t="n"/>
      <c r="BT1153" s="151" t="n"/>
    </row>
    <row r="1154">
      <c r="BJ1154" s="151" t="n">
        <v>1087</v>
      </c>
      <c r="BK1154" s="151" t="inlineStr">
        <is>
          <t>INSTALACION DE CRISTALES Y OTRAS REPARACIONES A LA CARROCERIA DE AUTOMOVILES Y CAMIONES</t>
        </is>
      </c>
      <c r="BL1154" s="151" t="n"/>
      <c r="BM1154" s="151" t="n"/>
      <c r="BN1154" s="151" t="n"/>
      <c r="BO1154" s="151" t="n"/>
      <c r="BP1154" s="151" t="n"/>
      <c r="BQ1154" s="151" t="n"/>
      <c r="BR1154" s="151" t="n"/>
      <c r="BS1154" s="151" t="n"/>
      <c r="BT1154" s="151" t="n"/>
    </row>
    <row r="1155">
      <c r="BJ1155" s="151" t="n">
        <v>1088</v>
      </c>
      <c r="BK1155" s="151" t="inlineStr">
        <is>
          <t>REPARACION MENOR DE LLANTAS</t>
        </is>
      </c>
      <c r="BL1155" s="151" t="n"/>
      <c r="BM1155" s="151" t="n"/>
      <c r="BN1155" s="151" t="n"/>
      <c r="BO1155" s="151" t="n"/>
      <c r="BP1155" s="151" t="n"/>
      <c r="BQ1155" s="151" t="n"/>
      <c r="BR1155" s="151" t="n"/>
      <c r="BS1155" s="151" t="n"/>
      <c r="BT1155" s="151" t="n"/>
    </row>
    <row r="1156">
      <c r="BJ1156" s="151" t="n">
        <v>1089</v>
      </c>
      <c r="BK1156" s="151" t="inlineStr">
        <is>
          <t>LAVADO Y LUBRICADO DE AUTOMOVILES Y CAMIONES</t>
        </is>
      </c>
      <c r="BL1156" s="151" t="n"/>
      <c r="BM1156" s="151" t="n"/>
      <c r="BN1156" s="151" t="n"/>
      <c r="BO1156" s="151" t="n"/>
      <c r="BP1156" s="151" t="n"/>
      <c r="BQ1156" s="151" t="n"/>
      <c r="BR1156" s="151" t="n"/>
      <c r="BS1156" s="151" t="n"/>
      <c r="BT1156" s="151" t="n"/>
    </row>
    <row r="1157">
      <c r="BJ1157" s="151" t="n">
        <v>1090</v>
      </c>
      <c r="BK1157" s="151" t="inlineStr">
        <is>
          <t>OTROS SERVICIOS DE REPARACION Y MANTENIMIENTO DE AUTOMOVILES Y CAMIONES</t>
        </is>
      </c>
      <c r="BL1157" s="151" t="n"/>
      <c r="BM1157" s="151" t="n"/>
      <c r="BN1157" s="151" t="n"/>
      <c r="BO1157" s="151" t="n"/>
      <c r="BP1157" s="151" t="n"/>
      <c r="BQ1157" s="151" t="n"/>
      <c r="BR1157" s="151" t="n"/>
      <c r="BS1157" s="151" t="n"/>
      <c r="BT1157" s="151" t="n"/>
    </row>
    <row r="1158">
      <c r="BJ1158" s="151" t="n">
        <v>1091</v>
      </c>
      <c r="BK1158" s="151" t="inlineStr">
        <is>
          <t>REPARACION Y MANTENIMIENTO DE EQUIPO ELECTRONICO DE USO DOMESTICO</t>
        </is>
      </c>
      <c r="BL1158" s="151" t="n"/>
      <c r="BM1158" s="151" t="n"/>
      <c r="BN1158" s="151" t="n"/>
      <c r="BO1158" s="151" t="n"/>
      <c r="BP1158" s="151" t="n"/>
      <c r="BQ1158" s="151" t="n"/>
      <c r="BR1158" s="151" t="n"/>
      <c r="BS1158" s="151" t="n"/>
      <c r="BT1158" s="151" t="n"/>
    </row>
    <row r="1159">
      <c r="BJ1159" s="151" t="n">
        <v>1092</v>
      </c>
      <c r="BK1159" s="151" t="inlineStr">
        <is>
          <t>REPARACION Y MANTENIMIENTO DE OTRO EQUIPO ELECTRONICO Y DE EQUIPO DE PRECISION</t>
        </is>
      </c>
      <c r="BL1159" s="151" t="n"/>
      <c r="BM1159" s="151" t="n"/>
      <c r="BN1159" s="151" t="n"/>
      <c r="BO1159" s="151" t="n"/>
      <c r="BP1159" s="151" t="n"/>
      <c r="BQ1159" s="151" t="n"/>
      <c r="BR1159" s="151" t="n"/>
      <c r="BS1159" s="151" t="n"/>
      <c r="BT1159" s="151" t="n"/>
    </row>
    <row r="1160">
      <c r="BJ1160" s="151" t="n">
        <v>1093</v>
      </c>
      <c r="BK1160" s="151" t="inlineStr">
        <is>
          <t>REPARACION Y MANTENIMIENTO DE MAQUINARIA Y EQUIPO AGROPECUARIO Y FORESTAL</t>
        </is>
      </c>
      <c r="BL1160" s="151" t="n"/>
      <c r="BM1160" s="151" t="n"/>
      <c r="BN1160" s="151" t="n"/>
      <c r="BO1160" s="151" t="n"/>
      <c r="BP1160" s="151" t="n"/>
      <c r="BQ1160" s="151" t="n"/>
      <c r="BR1160" s="151" t="n"/>
      <c r="BS1160" s="151" t="n"/>
      <c r="BT1160" s="151" t="n"/>
    </row>
    <row r="1161">
      <c r="BJ1161" s="151" t="n">
        <v>1094</v>
      </c>
      <c r="BK1161" s="151" t="inlineStr">
        <is>
          <t>REPARACION Y MANTENIMIENTO DE MAQUINARIA Y EQUIPO INDUSTRIAL</t>
        </is>
      </c>
      <c r="BL1161" s="151" t="n"/>
      <c r="BM1161" s="151" t="n"/>
      <c r="BN1161" s="151" t="n"/>
      <c r="BO1161" s="151" t="n"/>
      <c r="BP1161" s="151" t="n"/>
      <c r="BQ1161" s="151" t="n"/>
      <c r="BR1161" s="151" t="n"/>
      <c r="BS1161" s="151" t="n"/>
      <c r="BT1161" s="151" t="n"/>
    </row>
    <row r="1162">
      <c r="BJ1162" s="151" t="n">
        <v>1095</v>
      </c>
      <c r="BK1162" s="151" t="inlineStr">
        <is>
          <t>REPARACION Y MANTENIMIENTO DE MAQUINARIA Y EQUIPO PARA MOVER, ACOMODAR Y LEVANTAR MATERIALES</t>
        </is>
      </c>
      <c r="BL1162" s="151" t="n"/>
      <c r="BM1162" s="151" t="n"/>
      <c r="BN1162" s="151" t="n"/>
      <c r="BO1162" s="151" t="n"/>
      <c r="BP1162" s="151" t="n"/>
      <c r="BQ1162" s="151" t="n"/>
      <c r="BR1162" s="151" t="n"/>
      <c r="BS1162" s="151" t="n"/>
      <c r="BT1162" s="151" t="n"/>
    </row>
    <row r="1163">
      <c r="BJ1163" s="151" t="n">
        <v>1096</v>
      </c>
      <c r="BK1163" s="151" t="inlineStr">
        <is>
          <t>REPARACION Y MANTENIMIENTO DE MAQUINARIA Y EQUIPO COMERCIAL Y DE SERVICIOS</t>
        </is>
      </c>
      <c r="BL1163" s="151" t="n"/>
      <c r="BM1163" s="151" t="n"/>
      <c r="BN1163" s="151" t="n"/>
      <c r="BO1163" s="151" t="n"/>
      <c r="BP1163" s="151" t="n"/>
      <c r="BQ1163" s="151" t="n"/>
      <c r="BR1163" s="151" t="n"/>
      <c r="BS1163" s="151" t="n"/>
      <c r="BT1163" s="151" t="n"/>
    </row>
    <row r="1164">
      <c r="BJ1164" s="151" t="n">
        <v>1097</v>
      </c>
      <c r="BK1164" s="151" t="inlineStr">
        <is>
          <t>REPARACION Y MANTENIMIENTO DE APARATOS ELECTRICOS PARA EL HOGAR Y PERSONALES</t>
        </is>
      </c>
      <c r="BL1164" s="151" t="n"/>
      <c r="BM1164" s="151" t="n"/>
      <c r="BN1164" s="151" t="n"/>
      <c r="BO1164" s="151" t="n"/>
      <c r="BP1164" s="151" t="n"/>
      <c r="BQ1164" s="151" t="n"/>
      <c r="BR1164" s="151" t="n"/>
      <c r="BS1164" s="151" t="n"/>
      <c r="BT1164" s="151" t="n"/>
    </row>
    <row r="1165">
      <c r="BJ1165" s="151" t="n">
        <v>1098</v>
      </c>
      <c r="BK1165" s="151" t="inlineStr">
        <is>
          <t>REPARACION DE TAPICERIA DE MUEBLES PARA EL HOGAR</t>
        </is>
      </c>
      <c r="BL1165" s="151" t="n"/>
      <c r="BM1165" s="151" t="n"/>
      <c r="BN1165" s="151" t="n"/>
      <c r="BO1165" s="151" t="n"/>
      <c r="BP1165" s="151" t="n"/>
      <c r="BQ1165" s="151" t="n"/>
      <c r="BR1165" s="151" t="n"/>
      <c r="BS1165" s="151" t="n"/>
      <c r="BT1165" s="151" t="n"/>
    </row>
    <row r="1166">
      <c r="BJ1166" s="151" t="n">
        <v>1099</v>
      </c>
      <c r="BK1166" s="151" t="inlineStr">
        <is>
          <t>REPARACION DE CALZADO Y OTROS ARTICULOS DE PIEL Y CUERO</t>
        </is>
      </c>
      <c r="BL1166" s="151" t="n"/>
      <c r="BM1166" s="151" t="n"/>
      <c r="BN1166" s="151" t="n"/>
      <c r="BO1166" s="151" t="n"/>
      <c r="BP1166" s="151" t="n"/>
      <c r="BQ1166" s="151" t="n"/>
      <c r="BR1166" s="151" t="n"/>
      <c r="BS1166" s="151" t="n"/>
      <c r="BT1166" s="151" t="n"/>
    </row>
    <row r="1167">
      <c r="BJ1167" s="151" t="n">
        <v>1100</v>
      </c>
      <c r="BK1167" s="151" t="inlineStr">
        <is>
          <t>CERRAJERIAS</t>
        </is>
      </c>
      <c r="BL1167" s="151" t="n"/>
      <c r="BM1167" s="151" t="n"/>
      <c r="BN1167" s="151" t="n"/>
      <c r="BO1167" s="151" t="n"/>
      <c r="BP1167" s="151" t="n"/>
      <c r="BQ1167" s="151" t="n"/>
      <c r="BR1167" s="151" t="n"/>
      <c r="BS1167" s="151" t="n"/>
      <c r="BT1167" s="151" t="n"/>
    </row>
    <row r="1168">
      <c r="BJ1168" s="151" t="n">
        <v>1101</v>
      </c>
      <c r="BK1168" s="151" t="inlineStr">
        <is>
          <t>REPARACION Y MANTENIMIENTO DE MOTOCICLETAS</t>
        </is>
      </c>
      <c r="BL1168" s="151" t="n"/>
      <c r="BM1168" s="151" t="n"/>
      <c r="BN1168" s="151" t="n"/>
      <c r="BO1168" s="151" t="n"/>
      <c r="BP1168" s="151" t="n"/>
      <c r="BQ1168" s="151" t="n"/>
      <c r="BR1168" s="151" t="n"/>
      <c r="BS1168" s="151" t="n"/>
      <c r="BT1168" s="151" t="n"/>
    </row>
    <row r="1169">
      <c r="BJ1169" s="151" t="n">
        <v>1102</v>
      </c>
      <c r="BK1169" s="151" t="inlineStr">
        <is>
          <t>REPARACION Y MANTENIMIENTO DE BICICLETAS</t>
        </is>
      </c>
      <c r="BL1169" s="151" t="n"/>
      <c r="BM1169" s="151" t="n"/>
      <c r="BN1169" s="151" t="n"/>
      <c r="BO1169" s="151" t="n"/>
      <c r="BP1169" s="151" t="n"/>
      <c r="BQ1169" s="151" t="n"/>
      <c r="BR1169" s="151" t="n"/>
      <c r="BS1169" s="151" t="n"/>
      <c r="BT1169" s="151" t="n"/>
    </row>
    <row r="1170">
      <c r="BJ1170" s="151" t="n">
        <v>1103</v>
      </c>
      <c r="BK1170" s="151" t="inlineStr">
        <is>
          <t>REPARACION Y MANTENIMIENTO DE OTROS ARTICULOS PARA EL HOGAR Y PERSONALES</t>
        </is>
      </c>
      <c r="BL1170" s="151" t="n"/>
      <c r="BM1170" s="151" t="n"/>
      <c r="BN1170" s="151" t="n"/>
      <c r="BO1170" s="151" t="n"/>
      <c r="BP1170" s="151" t="n"/>
      <c r="BQ1170" s="151" t="n"/>
      <c r="BR1170" s="151" t="n"/>
      <c r="BS1170" s="151" t="n"/>
      <c r="BT1170" s="151" t="n"/>
    </row>
    <row r="1171">
      <c r="BJ1171" s="151" t="n">
        <v>1104</v>
      </c>
      <c r="BK1171" s="151" t="inlineStr">
        <is>
          <t>SALONES Y CLINICAS DE BELLEZA Y PELUQUERIAS</t>
        </is>
      </c>
      <c r="BL1171" s="151" t="n"/>
      <c r="BM1171" s="151" t="n"/>
      <c r="BN1171" s="151" t="n"/>
      <c r="BO1171" s="151" t="n"/>
      <c r="BP1171" s="151" t="n"/>
      <c r="BQ1171" s="151" t="n"/>
      <c r="BR1171" s="151" t="n"/>
      <c r="BS1171" s="151" t="n"/>
      <c r="BT1171" s="151" t="n"/>
    </row>
    <row r="1172">
      <c r="BJ1172" s="151" t="n">
        <v>1105</v>
      </c>
      <c r="BK1172" s="151" t="inlineStr">
        <is>
          <t>BA?OS PUBLICOS</t>
        </is>
      </c>
      <c r="BL1172" s="151" t="n"/>
      <c r="BM1172" s="151" t="n"/>
      <c r="BN1172" s="151" t="n"/>
      <c r="BO1172" s="151" t="n"/>
      <c r="BP1172" s="151" t="n"/>
      <c r="BQ1172" s="151" t="n"/>
      <c r="BR1172" s="151" t="n"/>
      <c r="BS1172" s="151" t="n"/>
      <c r="BT1172" s="151" t="n"/>
    </row>
    <row r="1173">
      <c r="BJ1173" s="151" t="n">
        <v>1106</v>
      </c>
      <c r="BK1173" s="151" t="inlineStr">
        <is>
          <t>SANITARIOS PUBLICOS Y BOLERIAS</t>
        </is>
      </c>
      <c r="BL1173" s="151" t="n"/>
      <c r="BM1173" s="151" t="n"/>
      <c r="BN1173" s="151" t="n"/>
      <c r="BO1173" s="151" t="n"/>
      <c r="BP1173" s="151" t="n"/>
      <c r="BQ1173" s="151" t="n"/>
      <c r="BR1173" s="151" t="n"/>
      <c r="BS1173" s="151" t="n"/>
      <c r="BT1173" s="151" t="n"/>
    </row>
    <row r="1174">
      <c r="BJ1174" s="151" t="n">
        <v>1107</v>
      </c>
      <c r="BK1174" s="151" t="inlineStr">
        <is>
          <t>LAVANDERIAS Y TINTORERIAS</t>
        </is>
      </c>
      <c r="BL1174" s="151" t="n"/>
      <c r="BM1174" s="151" t="n"/>
      <c r="BN1174" s="151" t="n"/>
      <c r="BO1174" s="151" t="n"/>
      <c r="BP1174" s="151" t="n"/>
      <c r="BQ1174" s="151" t="n"/>
      <c r="BR1174" s="151" t="n"/>
      <c r="BS1174" s="151" t="n"/>
      <c r="BT1174" s="151" t="n"/>
    </row>
    <row r="1175">
      <c r="BJ1175" s="151" t="n">
        <v>1108</v>
      </c>
      <c r="BK1175" s="151" t="inlineStr">
        <is>
          <t>SERVICIOS FUNERARIOS</t>
        </is>
      </c>
      <c r="BL1175" s="151" t="n"/>
      <c r="BM1175" s="151" t="n"/>
      <c r="BN1175" s="151" t="n"/>
      <c r="BO1175" s="151" t="n"/>
      <c r="BP1175" s="151" t="n"/>
      <c r="BQ1175" s="151" t="n"/>
      <c r="BR1175" s="151" t="n"/>
      <c r="BS1175" s="151" t="n"/>
      <c r="BT1175" s="151" t="n"/>
    </row>
    <row r="1176">
      <c r="BJ1176" s="151" t="n">
        <v>1109</v>
      </c>
      <c r="BK1176" s="151" t="inlineStr">
        <is>
          <t>ADMINISTRACION DE CEMENTERIOS</t>
        </is>
      </c>
      <c r="BL1176" s="151" t="n"/>
      <c r="BM1176" s="151" t="n"/>
      <c r="BN1176" s="151" t="n"/>
      <c r="BO1176" s="151" t="n"/>
      <c r="BP1176" s="151" t="n"/>
      <c r="BQ1176" s="151" t="n"/>
      <c r="BR1176" s="151" t="n"/>
      <c r="BS1176" s="151" t="n"/>
      <c r="BT1176" s="151" t="n"/>
    </row>
    <row r="1177">
      <c r="BJ1177" s="151" t="n">
        <v>1110</v>
      </c>
      <c r="BK1177" s="151" t="inlineStr">
        <is>
          <t>ESTACIONAMIENTOS Y PENSIONES PARA AUTOMOVILES</t>
        </is>
      </c>
      <c r="BL1177" s="151" t="n"/>
      <c r="BM1177" s="151" t="n"/>
      <c r="BN1177" s="151" t="n"/>
      <c r="BO1177" s="151" t="n"/>
      <c r="BP1177" s="151" t="n"/>
      <c r="BQ1177" s="151" t="n"/>
      <c r="BR1177" s="151" t="n"/>
      <c r="BS1177" s="151" t="n"/>
      <c r="BT1177" s="151" t="n"/>
    </row>
    <row r="1178">
      <c r="BJ1178" s="151" t="n">
        <v>1111</v>
      </c>
      <c r="BK1178" s="151" t="inlineStr">
        <is>
          <t>SERVICIOS DE REVELADO DE FOTOGRAFIAS</t>
        </is>
      </c>
      <c r="BL1178" s="151" t="n"/>
      <c r="BM1178" s="151" t="n"/>
      <c r="BN1178" s="151" t="n"/>
      <c r="BO1178" s="151" t="n"/>
      <c r="BP1178" s="151" t="n"/>
      <c r="BQ1178" s="151" t="n"/>
      <c r="BR1178" s="151" t="n"/>
      <c r="BS1178" s="151" t="n"/>
      <c r="BT1178" s="151" t="n"/>
    </row>
    <row r="1179">
      <c r="BJ1179" s="151" t="n">
        <v>1112</v>
      </c>
      <c r="BK1179" s="151" t="inlineStr">
        <is>
          <t>OTROS SERVICIOS COMO MAQUINAS FOTOGRAFICAS QUE FUNCIONAN CON MONEDAS, DE CASILLEROS QUE FUNCIONAN CON MONEDAS, DE GUARDAPAQUETES</t>
        </is>
      </c>
      <c r="BL1179" s="151" t="n"/>
      <c r="BM1179" s="151" t="n"/>
      <c r="BN1179" s="151" t="n"/>
      <c r="BO1179" s="151" t="n"/>
      <c r="BP1179" s="151" t="n"/>
      <c r="BQ1179" s="151" t="n"/>
      <c r="BR1179" s="151" t="n"/>
      <c r="BS1179" s="151" t="n"/>
      <c r="BT1179" s="151" t="n"/>
    </row>
    <row r="1180">
      <c r="BJ1180" s="151" t="n">
        <v>1113</v>
      </c>
      <c r="BK1180" s="151" t="inlineStr">
        <is>
          <t>ASOCIACIONES, ORGANIZACIONES Y CAMARAS DE PRODUCTORES, COMERCIANTES Y PRESTADORES DE SERVICIOS</t>
        </is>
      </c>
      <c r="BL1180" s="151" t="n"/>
      <c r="BM1180" s="151" t="n"/>
      <c r="BN1180" s="151" t="n"/>
      <c r="BO1180" s="151" t="n"/>
      <c r="BP1180" s="151" t="n"/>
      <c r="BQ1180" s="151" t="n"/>
      <c r="BR1180" s="151" t="n"/>
      <c r="BS1180" s="151" t="n"/>
      <c r="BT1180" s="151" t="n"/>
    </row>
    <row r="1181">
      <c r="BJ1181" s="151" t="n">
        <v>1114</v>
      </c>
      <c r="BK1181" s="151" t="inlineStr">
        <is>
          <t>ASOCIACIONES Y ORGANIZACIONES LABORALES Y SINDICALES</t>
        </is>
      </c>
      <c r="BL1181" s="151" t="n"/>
      <c r="BM1181" s="151" t="n"/>
      <c r="BN1181" s="151" t="n"/>
      <c r="BO1181" s="151" t="n"/>
      <c r="BP1181" s="151" t="n"/>
      <c r="BQ1181" s="151" t="n"/>
      <c r="BR1181" s="151" t="n"/>
      <c r="BS1181" s="151" t="n"/>
      <c r="BT1181" s="151" t="n"/>
    </row>
    <row r="1182">
      <c r="BJ1182" s="151" t="n">
        <v>1115</v>
      </c>
      <c r="BK1182" s="151" t="inlineStr">
        <is>
          <t>ASOCIACIONES Y ORGANIZACIONES DE PROFESIONISTAS</t>
        </is>
      </c>
      <c r="BL1182" s="151" t="n"/>
      <c r="BM1182" s="151" t="n"/>
      <c r="BN1182" s="151" t="n"/>
      <c r="BO1182" s="151" t="n"/>
      <c r="BP1182" s="151" t="n"/>
      <c r="BQ1182" s="151" t="n"/>
      <c r="BR1182" s="151" t="n"/>
      <c r="BS1182" s="151" t="n"/>
      <c r="BT1182" s="151" t="n"/>
    </row>
    <row r="1183">
      <c r="BJ1183" s="151" t="n">
        <v>1116</v>
      </c>
      <c r="BK1183" s="151" t="inlineStr">
        <is>
          <t>FEDERACIONES Y OTRAS ASOCIACIONES REGULATORIAS DE ACTIVIDADES RECREATIVAS</t>
        </is>
      </c>
      <c r="BL1183" s="151" t="n"/>
      <c r="BM1183" s="151" t="n"/>
      <c r="BN1183" s="151" t="n"/>
      <c r="BO1183" s="151" t="n"/>
      <c r="BP1183" s="151" t="n"/>
      <c r="BQ1183" s="151" t="n"/>
      <c r="BR1183" s="151" t="n"/>
      <c r="BS1183" s="151" t="n"/>
      <c r="BT1183" s="151" t="n"/>
    </row>
    <row r="1184">
      <c r="BJ1184" s="151" t="n">
        <v>1117</v>
      </c>
      <c r="BK1184" s="151" t="inlineStr">
        <is>
          <t>ASOCIACIONES Y ORGANIZACIONES RELIGIOSAS</t>
        </is>
      </c>
      <c r="BL1184" s="151" t="n"/>
      <c r="BM1184" s="151" t="n"/>
      <c r="BN1184" s="151" t="n"/>
      <c r="BO1184" s="151" t="n"/>
      <c r="BP1184" s="151" t="n"/>
      <c r="BQ1184" s="151" t="n"/>
      <c r="BR1184" s="151" t="n"/>
      <c r="BS1184" s="151" t="n"/>
      <c r="BT1184" s="151" t="n"/>
    </row>
    <row r="1185">
      <c r="BJ1185" s="151" t="n">
        <v>1118</v>
      </c>
      <c r="BK1185" s="151" t="inlineStr">
        <is>
          <t>ASOCIACIONES Y ORGANIZACIONES POLITICAS</t>
        </is>
      </c>
      <c r="BL1185" s="151" t="n"/>
      <c r="BM1185" s="151" t="n"/>
      <c r="BN1185" s="151" t="n"/>
      <c r="BO1185" s="151" t="n"/>
      <c r="BP1185" s="151" t="n"/>
      <c r="BQ1185" s="151" t="n"/>
      <c r="BR1185" s="151" t="n"/>
      <c r="BS1185" s="151" t="n"/>
      <c r="BT1185" s="151" t="n"/>
    </row>
    <row r="1186">
      <c r="BJ1186" s="151" t="n">
        <v>1119</v>
      </c>
      <c r="BK1186" s="151" t="inlineStr">
        <is>
          <t>ACTIVIDADES ASISTENCIALES</t>
        </is>
      </c>
      <c r="BL1186" s="151" t="n"/>
      <c r="BM1186" s="151" t="n"/>
      <c r="BN1186" s="151" t="n"/>
      <c r="BO1186" s="151" t="n"/>
      <c r="BP1186" s="151" t="n"/>
      <c r="BQ1186" s="151" t="n"/>
      <c r="BR1186" s="151" t="n"/>
      <c r="BS1186" s="151" t="n"/>
      <c r="BT1186" s="151" t="n"/>
    </row>
    <row r="1187">
      <c r="BJ1187" s="151" t="n">
        <v>1120</v>
      </c>
      <c r="BK1187" s="151" t="inlineStr">
        <is>
          <t>HOGARES CON EMPLEADOS DOMESTICOS</t>
        </is>
      </c>
      <c r="BL1187" s="151" t="n"/>
      <c r="BM1187" s="151" t="n"/>
      <c r="BN1187" s="151" t="n"/>
      <c r="BO1187" s="151" t="n"/>
      <c r="BP1187" s="151" t="n"/>
      <c r="BQ1187" s="151" t="n"/>
      <c r="BR1187" s="151" t="n"/>
      <c r="BS1187" s="151" t="n"/>
      <c r="BT1187" s="151" t="n"/>
    </row>
    <row r="1188">
      <c r="BJ1188" s="151" t="n">
        <v>1121</v>
      </c>
      <c r="BK1188" s="151" t="inlineStr">
        <is>
          <t>CAMARA DE SENADORES, LA CAMARA DE DIPUTADOS, LA ASAMBLEA DE REPRESENTANTES</t>
        </is>
      </c>
      <c r="BL1188" s="151" t="n"/>
      <c r="BM1188" s="151" t="n"/>
      <c r="BN1188" s="151" t="n"/>
      <c r="BO1188" s="151" t="n"/>
      <c r="BP1188" s="151" t="n"/>
      <c r="BQ1188" s="151" t="n"/>
      <c r="BR1188" s="151" t="n"/>
      <c r="BS1188" s="151" t="n"/>
      <c r="BT1188" s="151" t="n"/>
    </row>
    <row r="1189">
      <c r="BJ1189" s="151" t="n">
        <v>1122</v>
      </c>
      <c r="BK1189" s="151" t="inlineStr">
        <is>
          <t>ADMINISTRACION PUBLICA FEDERAL EN GENERAL</t>
        </is>
      </c>
      <c r="BL1189" s="151" t="n"/>
      <c r="BM1189" s="151" t="n"/>
      <c r="BN1189" s="151" t="n"/>
      <c r="BO1189" s="151" t="n"/>
      <c r="BP1189" s="151" t="n"/>
      <c r="BQ1189" s="151" t="n"/>
      <c r="BR1189" s="151" t="n"/>
      <c r="BS1189" s="151" t="n"/>
      <c r="BT1189" s="151" t="n"/>
    </row>
    <row r="1190">
      <c r="BJ1190" s="151" t="n">
        <v>1123</v>
      </c>
      <c r="BK1190" s="151" t="inlineStr">
        <is>
          <t>ADMINISTRACION PUBLICA ESTATAL EN GENERAL</t>
        </is>
      </c>
      <c r="BL1190" s="151" t="n"/>
      <c r="BM1190" s="151" t="n"/>
      <c r="BN1190" s="151" t="n"/>
      <c r="BO1190" s="151" t="n"/>
      <c r="BP1190" s="151" t="n"/>
      <c r="BQ1190" s="151" t="n"/>
      <c r="BR1190" s="151" t="n"/>
      <c r="BS1190" s="151" t="n"/>
      <c r="BT1190" s="151" t="n"/>
    </row>
    <row r="1191">
      <c r="BJ1191" s="151" t="n">
        <v>1124</v>
      </c>
      <c r="BK1191" s="151" t="inlineStr">
        <is>
          <t>ADMINISTRACION PUBLICA MUNICIPAL EN GENERAL</t>
        </is>
      </c>
      <c r="BL1191" s="151" t="n"/>
      <c r="BM1191" s="151" t="n"/>
      <c r="BN1191" s="151" t="n"/>
      <c r="BO1191" s="151" t="n"/>
      <c r="BP1191" s="151" t="n"/>
      <c r="BQ1191" s="151" t="n"/>
      <c r="BR1191" s="151" t="n"/>
      <c r="BS1191" s="151" t="n"/>
      <c r="BT1191" s="151" t="n"/>
    </row>
    <row r="1192">
      <c r="BJ1192" s="151" t="n">
        <v>1125</v>
      </c>
      <c r="BK1192" s="151" t="inlineStr">
        <is>
          <t>REGULACION Y FOMENTO FEDERAL DEL DESARROLLO ECONOMICO</t>
        </is>
      </c>
      <c r="BL1192" s="151" t="n"/>
      <c r="BM1192" s="151" t="n"/>
      <c r="BN1192" s="151" t="n"/>
      <c r="BO1192" s="151" t="n"/>
      <c r="BP1192" s="151" t="n"/>
      <c r="BQ1192" s="151" t="n"/>
      <c r="BR1192" s="151" t="n"/>
      <c r="BS1192" s="151" t="n"/>
      <c r="BT1192" s="151" t="n"/>
    </row>
    <row r="1193">
      <c r="BJ1193" s="151" t="n">
        <v>1126</v>
      </c>
      <c r="BK1193" s="151" t="inlineStr">
        <is>
          <t>REGULACION Y FOMENTO ESTATAL DEL DESARROLLO ECONOMICO</t>
        </is>
      </c>
      <c r="BL1193" s="151" t="n"/>
      <c r="BM1193" s="151" t="n"/>
      <c r="BN1193" s="151" t="n"/>
      <c r="BO1193" s="151" t="n"/>
      <c r="BP1193" s="151" t="n"/>
      <c r="BQ1193" s="151" t="n"/>
      <c r="BR1193" s="151" t="n"/>
      <c r="BS1193" s="151" t="n"/>
      <c r="BT1193" s="151" t="n"/>
    </row>
    <row r="1194">
      <c r="BJ1194" s="151" t="n">
        <v>1127</v>
      </c>
      <c r="BK1194" s="151" t="inlineStr">
        <is>
          <t>REGULACION Y FOMENTO MUNICIPAL DEL DESARROLLO ECONOMICO</t>
        </is>
      </c>
      <c r="BL1194" s="151" t="n"/>
      <c r="BM1194" s="151" t="n"/>
      <c r="BN1194" s="151" t="n"/>
      <c r="BO1194" s="151" t="n"/>
      <c r="BP1194" s="151" t="n"/>
      <c r="BQ1194" s="151" t="n"/>
      <c r="BR1194" s="151" t="n"/>
      <c r="BS1194" s="151" t="n"/>
      <c r="BT1194" s="151" t="n"/>
    </row>
    <row r="1195">
      <c r="BJ1195" s="151" t="n">
        <v>1128</v>
      </c>
      <c r="BK1195" s="151" t="inlineStr">
        <is>
          <t>IMPARTICION DE JUSTICIA Y MANTENIMIENTO DE LA SEGURIDAD Y EL ORDEN PUBLICO EN EL NIVEL FEDERAL</t>
        </is>
      </c>
      <c r="BL1195" s="151" t="n"/>
      <c r="BM1195" s="151" t="n"/>
      <c r="BN1195" s="151" t="n"/>
      <c r="BO1195" s="151" t="n"/>
      <c r="BP1195" s="151" t="n"/>
      <c r="BQ1195" s="151" t="n"/>
      <c r="BR1195" s="151" t="n"/>
      <c r="BS1195" s="151" t="n"/>
      <c r="BT1195" s="151" t="n"/>
    </row>
    <row r="1196">
      <c r="BJ1196" s="151" t="n">
        <v>1129</v>
      </c>
      <c r="BK1196" s="151" t="inlineStr">
        <is>
          <t>IMPARTICION DE JUSTICIA Y MANTENIMIENTO DE LA SEGURIDAD Y EL ORDEN PUBLICO EN EL NIVEL ESTATAL</t>
        </is>
      </c>
      <c r="BL1196" s="151" t="n"/>
      <c r="BM1196" s="151" t="n"/>
      <c r="BN1196" s="151" t="n"/>
      <c r="BO1196" s="151" t="n"/>
      <c r="BP1196" s="151" t="n"/>
      <c r="BQ1196" s="151" t="n"/>
      <c r="BR1196" s="151" t="n"/>
      <c r="BS1196" s="151" t="n"/>
      <c r="BT1196" s="151" t="n"/>
    </row>
    <row r="1197">
      <c r="BJ1197" s="151" t="n">
        <v>1130</v>
      </c>
      <c r="BK1197" s="151" t="inlineStr">
        <is>
          <t>IMPARTICION DE JUSTICIA Y MANTENIMIENTO DE LA SEGURIDAD Y EL ORDEN PUBLICO EN EL NIVEL MUNICIPAL</t>
        </is>
      </c>
      <c r="BL1197" s="151" t="n"/>
      <c r="BM1197" s="151" t="n"/>
      <c r="BN1197" s="151" t="n"/>
      <c r="BO1197" s="151" t="n"/>
      <c r="BP1197" s="151" t="n"/>
      <c r="BQ1197" s="151" t="n"/>
      <c r="BR1197" s="151" t="n"/>
      <c r="BS1197" s="151" t="n"/>
      <c r="BT1197" s="151" t="n"/>
    </row>
    <row r="1198">
      <c r="BJ1198" s="151" t="n">
        <v>1131</v>
      </c>
      <c r="BK1198" s="151" t="inlineStr">
        <is>
          <t>REGULACION Y FOMENTO FEDERAL DE ACTIVIDADES PARA MEJORAR Y PRESERVAR EL MEDIO AMBIENTE</t>
        </is>
      </c>
      <c r="BL1198" s="151" t="n"/>
      <c r="BM1198" s="151" t="n"/>
      <c r="BN1198" s="151" t="n"/>
      <c r="BO1198" s="151" t="n"/>
      <c r="BP1198" s="151" t="n"/>
      <c r="BQ1198" s="151" t="n"/>
      <c r="BR1198" s="151" t="n"/>
      <c r="BS1198" s="151" t="n"/>
      <c r="BT1198" s="151" t="n"/>
    </row>
    <row r="1199">
      <c r="BJ1199" s="151" t="n">
        <v>1132</v>
      </c>
      <c r="BK1199" s="151" t="inlineStr">
        <is>
          <t>REGULACION Y FOMENTO ESTATAL DE ACTIVIDADES PARA MEJORAR Y PRESERVAR EL MEDIO AMBIENTE</t>
        </is>
      </c>
      <c r="BL1199" s="151" t="n"/>
      <c r="BM1199" s="151" t="n"/>
      <c r="BN1199" s="151" t="n"/>
      <c r="BO1199" s="151" t="n"/>
      <c r="BP1199" s="151" t="n"/>
      <c r="BQ1199" s="151" t="n"/>
      <c r="BR1199" s="151" t="n"/>
      <c r="BS1199" s="151" t="n"/>
      <c r="BT1199" s="151" t="n"/>
    </row>
    <row r="1200">
      <c r="BJ1200" s="151" t="n">
        <v>1133</v>
      </c>
      <c r="BK1200" s="151" t="inlineStr">
        <is>
          <t>REGULACION Y FOMENTO MUNICIPAL DE ACTIVIDADES PARA MEJORAR Y PRESERVAR EL MEDIO AMBIENTE</t>
        </is>
      </c>
      <c r="BL1200" s="151" t="n"/>
      <c r="BM1200" s="151" t="n"/>
      <c r="BN1200" s="151" t="n"/>
      <c r="BO1200" s="151" t="n"/>
      <c r="BP1200" s="151" t="n"/>
      <c r="BQ1200" s="151" t="n"/>
      <c r="BR1200" s="151" t="n"/>
      <c r="BS1200" s="151" t="n"/>
      <c r="BT1200" s="151" t="n"/>
    </row>
    <row r="1201">
      <c r="BJ1201" s="151" t="n">
        <v>1134</v>
      </c>
      <c r="BK1201" s="151" t="inlineStr">
        <is>
          <t>ACTIVIDADES ADMINISTRATIVAS FEDERALES DE INSTITUCIONES DE BIENESTAR SOCIAL</t>
        </is>
      </c>
      <c r="BL1201" s="151" t="n"/>
      <c r="BM1201" s="151" t="n"/>
      <c r="BN1201" s="151" t="n"/>
      <c r="BO1201" s="151" t="n"/>
      <c r="BP1201" s="151" t="n"/>
      <c r="BQ1201" s="151" t="n"/>
      <c r="BR1201" s="151" t="n"/>
      <c r="BS1201" s="151" t="n"/>
      <c r="BT1201" s="151" t="n"/>
    </row>
    <row r="1202">
      <c r="BJ1202" s="151" t="n">
        <v>1135</v>
      </c>
      <c r="BK1202" s="151" t="inlineStr">
        <is>
          <t>ACTIVIDADES ADMINISTRATIVAS ESTATALES DE INSTITUCIONES DE BIENESTAR SOCIAL</t>
        </is>
      </c>
      <c r="BL1202" s="151" t="n"/>
      <c r="BM1202" s="151" t="n"/>
      <c r="BN1202" s="151" t="n"/>
      <c r="BO1202" s="151" t="n"/>
      <c r="BP1202" s="151" t="n"/>
      <c r="BQ1202" s="151" t="n"/>
      <c r="BR1202" s="151" t="n"/>
      <c r="BS1202" s="151" t="n"/>
      <c r="BT1202" s="151" t="n"/>
    </row>
    <row r="1203">
      <c r="BJ1203" s="151" t="n">
        <v>1136</v>
      </c>
      <c r="BK1203" s="151" t="inlineStr">
        <is>
          <t>ACTIVIDADES ADMINISTRATIVAS MUNICIPALES DE INSTITUCIONES DE BIENESTAR SOCIAL</t>
        </is>
      </c>
      <c r="BL1203" s="151" t="n"/>
      <c r="BM1203" s="151" t="n"/>
      <c r="BN1203" s="151" t="n"/>
      <c r="BO1203" s="151" t="n"/>
      <c r="BP1203" s="151" t="n"/>
      <c r="BQ1203" s="151" t="n"/>
      <c r="BR1203" s="151" t="n"/>
      <c r="BS1203" s="151" t="n"/>
      <c r="BT1203" s="151" t="n"/>
    </row>
    <row r="1204">
      <c r="BJ1204" s="151" t="n">
        <v>1137</v>
      </c>
      <c r="BK1204" s="151" t="inlineStr">
        <is>
          <t>RELACIONES EXTERIORES</t>
        </is>
      </c>
      <c r="BL1204" s="151" t="n"/>
      <c r="BM1204" s="151" t="n"/>
      <c r="BN1204" s="151" t="n"/>
      <c r="BO1204" s="151" t="n"/>
      <c r="BP1204" s="151" t="n"/>
      <c r="BQ1204" s="151" t="n"/>
      <c r="BR1204" s="151" t="n"/>
      <c r="BS1204" s="151" t="n"/>
      <c r="BT1204" s="151" t="n"/>
    </row>
    <row r="1205">
      <c r="BJ1205" s="151" t="n">
        <v>1138</v>
      </c>
      <c r="BK1205" s="151" t="inlineStr">
        <is>
          <t>ACTIVIDADES DE SEGURIDAD NACIONAL</t>
        </is>
      </c>
      <c r="BL1205" s="151" t="n"/>
      <c r="BM1205" s="151" t="n"/>
      <c r="BN1205" s="151" t="n"/>
      <c r="BO1205" s="151" t="n"/>
      <c r="BP1205" s="151" t="n"/>
      <c r="BQ1205" s="151" t="n"/>
      <c r="BR1205" s="151" t="n"/>
      <c r="BS1205" s="151" t="n"/>
      <c r="BT1205" s="151" t="n"/>
    </row>
    <row r="1206">
      <c r="BJ1206" s="151" t="n">
        <v>1139</v>
      </c>
      <c r="BK1206" s="151" t="inlineStr">
        <is>
          <t>ORGANISMOS INTERNACIONALES</t>
        </is>
      </c>
      <c r="BL1206" s="151" t="n"/>
      <c r="BM1206" s="151" t="n"/>
      <c r="BN1206" s="151" t="n"/>
      <c r="BO1206" s="151" t="n"/>
      <c r="BP1206" s="151" t="n"/>
      <c r="BQ1206" s="151" t="n"/>
      <c r="BR1206" s="151" t="n"/>
      <c r="BS1206" s="151" t="n"/>
      <c r="BT1206" s="151" t="n"/>
    </row>
    <row r="1207">
      <c r="BJ1207" s="151" t="n">
        <v>1140</v>
      </c>
      <c r="BK1207" s="151" t="inlineStr">
        <is>
          <t>SEDES DIPLOMATICAS Y OTRAS UNIDADES EXTRATERRITORIALES</t>
        </is>
      </c>
      <c r="BL1207" s="151" t="n"/>
      <c r="BM1207" s="151" t="n"/>
      <c r="BN1207" s="151" t="n"/>
      <c r="BO1207" s="151" t="n"/>
      <c r="BP1207" s="151" t="n"/>
      <c r="BQ1207" s="151" t="n"/>
      <c r="BR1207" s="151" t="n"/>
      <c r="BS1207" s="151" t="n"/>
      <c r="BT1207" s="151" t="n"/>
    </row>
    <row r="1208">
      <c r="BJ1208" s="151" t="n">
        <v>1141</v>
      </c>
      <c r="BK1208" s="151" t="inlineStr">
        <is>
          <t>INVERSIONES REALIZADAS EN SOCIEDADES RESIDENTES EN EL EXTRANJERO SIN ESTABLECIMIENTO EN EL PAIS. SUJETOS A REGIMENES FISCALES PREFERENTES</t>
        </is>
      </c>
      <c r="BL1208" s="151" t="n"/>
      <c r="BM1208" s="151" t="n"/>
      <c r="BN1208" s="151" t="n"/>
      <c r="BO1208" s="151" t="n"/>
      <c r="BP1208" s="151" t="n"/>
      <c r="BQ1208" s="151" t="n"/>
      <c r="BR1208" s="151" t="n"/>
      <c r="BS1208" s="151" t="n"/>
      <c r="BT1208" s="151" t="n"/>
    </row>
    <row r="1209">
      <c r="BJ1209" s="151" t="n">
        <v>1142</v>
      </c>
      <c r="BK1209" s="151" t="inlineStr">
        <is>
          <t>DIVIDENDOS O UTILIDADES DISTRIBUIDOS POR SOCIEDADES RESIDENTES EN EL EXTRANJERO SUJETOS A REGIMENES FISCALES PREFERENTES</t>
        </is>
      </c>
      <c r="BL1209" s="151" t="n"/>
      <c r="BM1209" s="151" t="n"/>
      <c r="BN1209" s="151" t="n"/>
      <c r="BO1209" s="151" t="n"/>
      <c r="BP1209" s="151" t="n"/>
      <c r="BQ1209" s="151" t="n"/>
      <c r="BR1209" s="151" t="n"/>
      <c r="BS1209" s="151" t="n"/>
      <c r="BT1209" s="151" t="n"/>
    </row>
    <row r="1210">
      <c r="BJ1210" s="151" t="n">
        <v>1144</v>
      </c>
      <c r="BK1210" s="151" t="inlineStr">
        <is>
          <t>OPERACIONES FINANCIERAS DERIVADAS EN EL MERCADO MEXICANO DE DERIVADOS SUJETOS A REGIMENES FISCALES PREFERENTES</t>
        </is>
      </c>
      <c r="BL1210" s="151" t="n"/>
      <c r="BM1210" s="151" t="n"/>
      <c r="BN1210" s="151" t="n"/>
      <c r="BO1210" s="151" t="n"/>
      <c r="BP1210" s="151" t="n"/>
      <c r="BQ1210" s="151" t="n"/>
      <c r="BR1210" s="151" t="n"/>
      <c r="BS1210" s="151" t="n"/>
      <c r="BT1210" s="151" t="n"/>
    </row>
    <row r="1211">
      <c r="BJ1211" s="151" t="n">
        <v>1145</v>
      </c>
      <c r="BK1211" s="151" t="inlineStr">
        <is>
          <t>VENTA DE AUTOMOVILES NUEVOS AL CONSUMIDOR POR EL FABRICANTE, ENSAMBLADOR, POR EL DISTRIBUIDOR AUTORIZADO O POR EL COMERCIANTE EN EL RAMO DE VEHICULOS CUYO PRECIO DE VENTA NO EXCEDA $150,000.00</t>
        </is>
      </c>
      <c r="BL1211" s="151" t="n"/>
      <c r="BM1211" s="151" t="n"/>
      <c r="BN1211" s="151" t="n"/>
      <c r="BO1211" s="151" t="n"/>
      <c r="BP1211" s="151" t="n"/>
      <c r="BQ1211" s="151" t="n"/>
      <c r="BR1211" s="151" t="n"/>
      <c r="BS1211" s="151" t="n"/>
      <c r="BT1211" s="151" t="n"/>
    </row>
    <row r="1212">
      <c r="BJ1212" s="151" t="n">
        <v>1146</v>
      </c>
      <c r="BK1212" s="151" t="inlineStr">
        <is>
          <t>VENTA DE AUTOMOVILES NUEVOS AL CONSUMIDOR POR EL FABRICANTE, ENSAMBLADOR, POR EL DISTRIBUIDOR AUTORIZADO O POR EL COMERCIANTE EN EL RAMO DE VEHICULOS CUYO PRECIO DE VENTA EXCEDA $150,000.00</t>
        </is>
      </c>
      <c r="BL1212" s="151" t="n"/>
      <c r="BM1212" s="151" t="n"/>
      <c r="BN1212" s="151" t="n"/>
      <c r="BO1212" s="151" t="n"/>
      <c r="BP1212" s="151" t="n"/>
      <c r="BQ1212" s="151" t="n"/>
      <c r="BR1212" s="151" t="n"/>
      <c r="BS1212" s="151" t="n"/>
      <c r="BT1212" s="151" t="n"/>
    </row>
    <row r="1213">
      <c r="BJ1213" s="151" t="n">
        <v>1147</v>
      </c>
      <c r="BK1213" s="151" t="inlineStr">
        <is>
          <t>OFICINAS DE REPRESENTACION Y AGENCIAS DE BANCOS EXTRANJEROS</t>
        </is>
      </c>
      <c r="BL1213" s="151" t="n"/>
      <c r="BM1213" s="151" t="n"/>
      <c r="BN1213" s="151" t="n"/>
      <c r="BO1213" s="151" t="n"/>
      <c r="BP1213" s="151" t="n"/>
      <c r="BQ1213" s="151" t="n"/>
      <c r="BR1213" s="151" t="n"/>
      <c r="BS1213" s="151" t="n"/>
      <c r="BT1213" s="151" t="n"/>
    </row>
    <row r="1214">
      <c r="BJ1214" s="151" t="n">
        <v>1148</v>
      </c>
      <c r="BK1214" s="151" t="inlineStr">
        <is>
          <t>FINANCIERA RURAL</t>
        </is>
      </c>
      <c r="BL1214" s="151" t="n"/>
      <c r="BM1214" s="151" t="n"/>
      <c r="BN1214" s="151" t="n"/>
      <c r="BO1214" s="151" t="n"/>
      <c r="BP1214" s="151" t="n"/>
      <c r="BQ1214" s="151" t="n"/>
      <c r="BR1214" s="151" t="n"/>
      <c r="BS1214" s="151" t="n"/>
      <c r="BT1214" s="151" t="n"/>
    </row>
    <row r="1215">
      <c r="BJ1215" s="151" t="n">
        <v>1149</v>
      </c>
      <c r="BK1215" s="151" t="inlineStr">
        <is>
          <t>OTRAS INSTITUCIONES DE INTERMEDIACION CREDITICIA Y FINANCIERA NO BURSATIL</t>
        </is>
      </c>
      <c r="BL1215" s="151" t="n"/>
      <c r="BM1215" s="151" t="n"/>
      <c r="BN1215" s="151" t="n"/>
      <c r="BO1215" s="151" t="n"/>
      <c r="BP1215" s="151" t="n"/>
      <c r="BQ1215" s="151" t="n"/>
      <c r="BR1215" s="151" t="n"/>
      <c r="BS1215" s="151" t="n"/>
      <c r="BT1215" s="151" t="n"/>
    </row>
    <row r="1216">
      <c r="BJ1216" s="151" t="n">
        <v>1150</v>
      </c>
      <c r="BK1216" s="151" t="inlineStr">
        <is>
          <t>SOCIEDADES DE INVERSION DE OBJETO LIMITADO</t>
        </is>
      </c>
      <c r="BL1216" s="151" t="n"/>
      <c r="BM1216" s="151" t="n"/>
      <c r="BN1216" s="151" t="n"/>
      <c r="BO1216" s="151" t="n"/>
      <c r="BP1216" s="151" t="n"/>
      <c r="BQ1216" s="151" t="n"/>
      <c r="BR1216" s="151" t="n"/>
      <c r="BS1216" s="151" t="n"/>
      <c r="BT1216" s="151" t="n"/>
    </row>
    <row r="1217">
      <c r="BJ1217" s="151" t="n">
        <v>1151</v>
      </c>
      <c r="BK1217" s="151" t="inlineStr">
        <is>
          <t>SOCIEDADES DE INVERSION EN INSTRUMENTOS DE DEUDA</t>
        </is>
      </c>
      <c r="BL1217" s="151" t="n"/>
      <c r="BM1217" s="151" t="n"/>
      <c r="BN1217" s="151" t="n"/>
      <c r="BO1217" s="151" t="n"/>
      <c r="BP1217" s="151" t="n"/>
      <c r="BQ1217" s="151" t="n"/>
      <c r="BR1217" s="151" t="n"/>
      <c r="BS1217" s="151" t="n"/>
      <c r="BT1217" s="151" t="n"/>
    </row>
    <row r="1218">
      <c r="BJ1218" s="151" t="n">
        <v>1152</v>
      </c>
      <c r="BK1218" s="151" t="inlineStr">
        <is>
          <t>SOCIEDADES DE INVERSION ESPECIALIZADAS DE FONDOS PARA EL RETIRO</t>
        </is>
      </c>
      <c r="BL1218" s="151" t="n"/>
      <c r="BM1218" s="151" t="n"/>
      <c r="BN1218" s="151" t="n"/>
      <c r="BO1218" s="151" t="n"/>
      <c r="BP1218" s="151" t="n"/>
      <c r="BQ1218" s="151" t="n"/>
      <c r="BR1218" s="151" t="n"/>
      <c r="BS1218" s="151" t="n"/>
      <c r="BT1218" s="151" t="n"/>
    </row>
    <row r="1219">
      <c r="BJ1219" s="151" t="n">
        <v>1153</v>
      </c>
      <c r="BK1219" s="151" t="inlineStr">
        <is>
          <t>SOCIEDADES DE INVERSION DE RENTA VARIABLE</t>
        </is>
      </c>
      <c r="BL1219" s="151" t="n"/>
      <c r="BM1219" s="151" t="n"/>
      <c r="BN1219" s="151" t="n"/>
      <c r="BO1219" s="151" t="n"/>
      <c r="BP1219" s="151" t="n"/>
      <c r="BQ1219" s="151" t="n"/>
      <c r="BR1219" s="151" t="n"/>
      <c r="BS1219" s="151" t="n"/>
      <c r="BT1219" s="151" t="n"/>
    </row>
    <row r="1220">
      <c r="BJ1220" s="151" t="n">
        <v>1154</v>
      </c>
      <c r="BK1220" s="151" t="inlineStr">
        <is>
          <t>OPERADORA DE SOCIEDADES DE INVERSION</t>
        </is>
      </c>
      <c r="BL1220" s="151" t="n"/>
      <c r="BM1220" s="151" t="n"/>
      <c r="BN1220" s="151" t="n"/>
      <c r="BO1220" s="151" t="n"/>
      <c r="BP1220" s="151" t="n"/>
      <c r="BQ1220" s="151" t="n"/>
      <c r="BR1220" s="151" t="n"/>
      <c r="BS1220" s="151" t="n"/>
      <c r="BT1220" s="151" t="n"/>
    </row>
    <row r="1221">
      <c r="BJ1221" s="151" t="n">
        <v>1155</v>
      </c>
      <c r="BK1221" s="151" t="inlineStr">
        <is>
          <t>SOCIEDADES DE INVERSION VALUADORAS</t>
        </is>
      </c>
      <c r="BL1221" s="151" t="n"/>
      <c r="BM1221" s="151" t="n"/>
      <c r="BN1221" s="151" t="n"/>
      <c r="BO1221" s="151" t="n"/>
      <c r="BP1221" s="151" t="n"/>
      <c r="BQ1221" s="151" t="n"/>
      <c r="BR1221" s="151" t="n"/>
      <c r="BS1221" s="151" t="n"/>
      <c r="BT1221" s="151" t="n"/>
    </row>
    <row r="1222">
      <c r="BJ1222" s="151" t="n">
        <v>1156</v>
      </c>
      <c r="BK1222" s="151" t="inlineStr">
        <is>
          <t>SOCIEDADES DISTRIBUIDORAS DE ACCIONES DE SOCIEDADES DE INVERSION</t>
        </is>
      </c>
      <c r="BL1222" s="151" t="n"/>
      <c r="BM1222" s="151" t="n"/>
      <c r="BN1222" s="151" t="n"/>
      <c r="BO1222" s="151" t="n"/>
      <c r="BP1222" s="151" t="n"/>
      <c r="BQ1222" s="151" t="n"/>
      <c r="BR1222" s="151" t="n"/>
      <c r="BS1222" s="151" t="n"/>
      <c r="BT1222" s="151" t="n"/>
    </row>
    <row r="1223">
      <c r="BJ1223" s="151" t="n">
        <v>1157</v>
      </c>
      <c r="BK1223" s="151" t="inlineStr">
        <is>
          <t>CALIFICADORA DE VALORES</t>
        </is>
      </c>
      <c r="BL1223" s="151" t="n"/>
      <c r="BM1223" s="151" t="n"/>
      <c r="BN1223" s="151" t="n"/>
      <c r="BO1223" s="151" t="n"/>
      <c r="BP1223" s="151" t="n"/>
      <c r="BQ1223" s="151" t="n"/>
      <c r="BR1223" s="151" t="n"/>
      <c r="BS1223" s="151" t="n"/>
      <c r="BT1223" s="151" t="n"/>
    </row>
    <row r="1224">
      <c r="BJ1224" s="151" t="n">
        <v>1159</v>
      </c>
      <c r="BK1224" s="151" t="inlineStr">
        <is>
          <t>SOCIEDADES OPERADORAS DE SOCIEDADES DE INVERSION</t>
        </is>
      </c>
      <c r="BL1224" s="151" t="n"/>
      <c r="BM1224" s="151" t="n"/>
      <c r="BN1224" s="151" t="n"/>
      <c r="BO1224" s="151" t="n"/>
      <c r="BP1224" s="151" t="n"/>
      <c r="BQ1224" s="151" t="n"/>
      <c r="BR1224" s="151" t="n"/>
      <c r="BS1224" s="151" t="n"/>
      <c r="BT1224" s="151" t="n"/>
    </row>
    <row r="1225">
      <c r="BJ1225" s="151" t="n">
        <v>1160</v>
      </c>
      <c r="BK1225" s="151" t="inlineStr">
        <is>
          <t>OTRAS INSTITUCIONES FINANCIERAS CUYA ACTIVIDAD SEA LA INTERMEDIACION BURSATIL</t>
        </is>
      </c>
      <c r="BL1225" s="151" t="n"/>
      <c r="BM1225" s="151" t="n"/>
      <c r="BN1225" s="151" t="n"/>
      <c r="BO1225" s="151" t="n"/>
      <c r="BP1225" s="151" t="n"/>
      <c r="BQ1225" s="151" t="n"/>
      <c r="BR1225" s="151" t="n"/>
      <c r="BS1225" s="151" t="n"/>
      <c r="BT1225" s="151" t="n"/>
    </row>
    <row r="1226">
      <c r="BJ1226" s="151" t="n">
        <v>1161</v>
      </c>
      <c r="BK1226" s="151" t="inlineStr">
        <is>
          <t>SERVICIOS ESPECIALIZADOS DE APOYO A LAS EMPRESAS MICRO, PEQUE?AS Y MEDIANAS (EMPRESAS INTEGRADORAS)</t>
        </is>
      </c>
      <c r="BL1226" s="151" t="n"/>
      <c r="BM1226" s="151" t="n"/>
      <c r="BN1226" s="151" t="n"/>
      <c r="BO1226" s="151" t="n"/>
      <c r="BP1226" s="151" t="n"/>
      <c r="BQ1226" s="151" t="n"/>
      <c r="BR1226" s="151" t="n"/>
      <c r="BS1226" s="151" t="n"/>
      <c r="BT1226" s="151" t="n"/>
    </row>
    <row r="1227">
      <c r="BJ1227" s="151" t="n">
        <v>1162</v>
      </c>
      <c r="BK1227" s="151" t="inlineStr">
        <is>
          <t>TRANSMISORES, DISPERSORES DE DINERO. DISPERSORES</t>
        </is>
      </c>
      <c r="BL1227" s="151" t="n"/>
      <c r="BM1227" s="151" t="n"/>
      <c r="BN1227" s="151" t="n"/>
      <c r="BO1227" s="151" t="n"/>
      <c r="BP1227" s="151" t="n"/>
      <c r="BQ1227" s="151" t="n"/>
      <c r="BR1227" s="151" t="n"/>
      <c r="BS1227" s="151" t="n"/>
      <c r="BT1227" s="151" t="n"/>
    </row>
    <row r="1228">
      <c r="BJ1228" s="151" t="n">
        <v>1163</v>
      </c>
      <c r="BK1228" s="151" t="inlineStr">
        <is>
          <t>TRANSMISORES, DISPERSORES DE DINERO. PAGADORES</t>
        </is>
      </c>
      <c r="BL1228" s="151" t="n"/>
      <c r="BM1228" s="151" t="n"/>
      <c r="BN1228" s="151" t="n"/>
      <c r="BO1228" s="151" t="n"/>
      <c r="BP1228" s="151" t="n"/>
      <c r="BQ1228" s="151" t="n"/>
      <c r="BR1228" s="151" t="n"/>
      <c r="BS1228" s="151" t="n"/>
      <c r="BT1228" s="151" t="n"/>
    </row>
    <row r="1229">
      <c r="BJ1229" s="151" t="n">
        <v>2223</v>
      </c>
      <c r="BK1229" s="151" t="inlineStr">
        <is>
          <t>ACTIVIDAD PENDIENTE DE ACLARACION</t>
        </is>
      </c>
      <c r="BL1229" s="151" t="n"/>
      <c r="BM1229" s="151" t="n"/>
      <c r="BN1229" s="151" t="n"/>
      <c r="BO1229" s="151" t="n"/>
      <c r="BP1229" s="151" t="n"/>
      <c r="BQ1229" s="151" t="n"/>
      <c r="BR1229" s="151" t="n"/>
      <c r="BS1229" s="151" t="n"/>
      <c r="BT1229" s="151" t="n"/>
    </row>
    <row r="1230">
      <c r="BJ1230" s="151" t="n">
        <v>2224</v>
      </c>
      <c r="BK1230" s="151" t="inlineStr">
        <is>
          <t>ALQUILER DE INMUEBLES PARA ESCUELAS, COLEGIOS DE PROFESIONALES E INSTITUCIONES DE ASISTENCIA Y BENEFICENCIA O EMPRESAS ASOCIACIONES U ORGANISMOS NO COMERCIALES</t>
        </is>
      </c>
      <c r="BL1230" s="151" t="n"/>
      <c r="BM1230" s="151" t="n"/>
      <c r="BN1230" s="151" t="n"/>
      <c r="BO1230" s="151" t="n"/>
      <c r="BP1230" s="151" t="n"/>
      <c r="BQ1230" s="151" t="n"/>
      <c r="BR1230" s="151" t="n"/>
      <c r="BS1230" s="151" t="n"/>
      <c r="BT1230" s="151" t="n"/>
    </row>
    <row r="1231">
      <c r="BJ1231" s="151" t="n">
        <v>2225</v>
      </c>
      <c r="BK1231" s="151" t="inlineStr">
        <is>
          <t>COMERCIO AL POR MAYOR DE BEBIDAS ALCOHOLICAS NO CLASIFICADOS EN OTRA PARTE</t>
        </is>
      </c>
      <c r="BL1231" s="151" t="n"/>
      <c r="BM1231" s="151" t="n"/>
      <c r="BN1231" s="151" t="n"/>
      <c r="BO1231" s="151" t="n"/>
      <c r="BP1231" s="151" t="n"/>
      <c r="BQ1231" s="151" t="n"/>
      <c r="BR1231" s="151" t="n"/>
      <c r="BS1231" s="151" t="n"/>
      <c r="BT1231" s="151" t="n"/>
    </row>
    <row r="1232">
      <c r="BJ1232" s="151" t="n">
        <v>2227</v>
      </c>
      <c r="BK1232" s="151" t="inlineStr">
        <is>
          <t>COMERCIO AL POR MENOR DE BEBIDAS REFRESCANTES ENTREGANDO FACTURA</t>
        </is>
      </c>
      <c r="BL1232" s="151" t="n"/>
      <c r="BM1232" s="151" t="n"/>
      <c r="BN1232" s="151" t="n"/>
      <c r="BO1232" s="151" t="n"/>
      <c r="BP1232" s="151" t="n"/>
      <c r="BQ1232" s="151" t="n"/>
      <c r="BR1232" s="151" t="n"/>
      <c r="BS1232" s="151" t="n"/>
      <c r="BT1232" s="151" t="n"/>
    </row>
    <row r="1233">
      <c r="BJ1233" s="151" t="n">
        <v>2228</v>
      </c>
      <c r="BK1233" s="151" t="inlineStr">
        <is>
          <t>COMERCIO AL POR MENOR DE VINOS DE MESA</t>
        </is>
      </c>
      <c r="BL1233" s="151" t="n"/>
      <c r="BM1233" s="151" t="n"/>
      <c r="BN1233" s="151" t="n"/>
      <c r="BO1233" s="151" t="n"/>
      <c r="BP1233" s="151" t="n"/>
      <c r="BQ1233" s="151" t="n"/>
      <c r="BR1233" s="151" t="n"/>
      <c r="BS1233" s="151" t="n"/>
      <c r="BT1233" s="151" t="n"/>
    </row>
    <row r="1234">
      <c r="BJ1234" s="151" t="n">
        <v>2229</v>
      </c>
      <c r="BK1234" s="151" t="inlineStr">
        <is>
          <t>COMERCIO AL POR MENOR DE AGUAMIEL Y PULQUE</t>
        </is>
      </c>
      <c r="BL1234" s="151" t="n"/>
      <c r="BM1234" s="151" t="n"/>
      <c r="BN1234" s="151" t="n"/>
      <c r="BO1234" s="151" t="n"/>
      <c r="BP1234" s="151" t="n"/>
      <c r="BQ1234" s="151" t="n"/>
      <c r="BR1234" s="151" t="n"/>
      <c r="BS1234" s="151" t="n"/>
      <c r="BT1234" s="151" t="n"/>
    </row>
    <row r="1235">
      <c r="BJ1235" s="151" t="n">
        <v>2230</v>
      </c>
      <c r="BK1235" s="151" t="inlineStr">
        <is>
          <t>COMERCIO AL POR MENOR DE CONCENTRADOS, POLVOS, JARABES Y ESENCIAS DE SABOR PARA PREPARAR REFRESCOS, BEBIDAS HIDRATANTES O REHIDRATANTES ELABORADOS CON AZUCAR DE CA?A Y OTROS EDULCORANTES ENTREGANDO FACTURA</t>
        </is>
      </c>
      <c r="BL1235" s="151" t="n"/>
      <c r="BM1235" s="151" t="n"/>
      <c r="BN1235" s="151" t="n"/>
      <c r="BO1235" s="151" t="n"/>
      <c r="BP1235" s="151" t="n"/>
      <c r="BQ1235" s="151" t="n"/>
      <c r="BR1235" s="151" t="n"/>
      <c r="BS1235" s="151" t="n"/>
      <c r="BT1235" s="151" t="n"/>
    </row>
    <row r="1236">
      <c r="BJ1236" s="151" t="n">
        <v>2231</v>
      </c>
      <c r="BK1236" s="151" t="inlineStr">
        <is>
          <t>VENTA DE CERVEZA POR LA CUAL SE ENTREGA UN COMPROBANTE SIMPLIFICADO, REALIZADA POR PERSONAS DISTINTAS AL FABRICANTE, PRODUCTOR, ENVASADOR O IMPORTADOR</t>
        </is>
      </c>
      <c r="BL1236" s="151" t="n"/>
      <c r="BM1236" s="151" t="n"/>
      <c r="BN1236" s="151" t="n"/>
      <c r="BO1236" s="151" t="n"/>
      <c r="BP1236" s="151" t="n"/>
      <c r="BQ1236" s="151" t="n"/>
      <c r="BR1236" s="151" t="n"/>
      <c r="BS1236" s="151" t="n"/>
      <c r="BT1236" s="151" t="n"/>
    </row>
    <row r="1237">
      <c r="BJ1237" s="151" t="n">
        <v>2232</v>
      </c>
      <c r="BK1237" s="151" t="inlineStr">
        <is>
          <t>VENTA DE REFRESCOS, BEBIDAS HIDRATANTES Y REHIDRATANTES POR LA CUAL SE ENTREGA UN COMPROBANTE SIMPLIFICADO, REALIZADA POR PERSONAS DISTINTAS AL FABRICANTE, PRODUCTOR, ENVASADOR O IMPORTADOR</t>
        </is>
      </c>
      <c r="BL1237" s="151" t="n"/>
      <c r="BM1237" s="151" t="n"/>
      <c r="BN1237" s="151" t="n"/>
      <c r="BO1237" s="151" t="n"/>
      <c r="BP1237" s="151" t="n"/>
      <c r="BQ1237" s="151" t="n"/>
      <c r="BR1237" s="151" t="n"/>
      <c r="BS1237" s="151" t="n"/>
      <c r="BT1237" s="151" t="n"/>
    </row>
    <row r="1238">
      <c r="BJ1238" s="151" t="n">
        <v>2233</v>
      </c>
      <c r="BK1238" s="151" t="inlineStr">
        <is>
          <t>COMERCIO AL POR MENOR DE OTRAS BEBIDAS A BASE DE UVA</t>
        </is>
      </c>
      <c r="BL1238" s="151" t="n"/>
      <c r="BM1238" s="151" t="n"/>
      <c r="BN1238" s="151" t="n"/>
      <c r="BO1238" s="151" t="n"/>
      <c r="BP1238" s="151" t="n"/>
      <c r="BQ1238" s="151" t="n"/>
      <c r="BR1238" s="151" t="n"/>
      <c r="BS1238" s="151" t="n"/>
      <c r="BT1238" s="151" t="n"/>
    </row>
    <row r="1239">
      <c r="BJ1239" s="151" t="n">
        <v>2234</v>
      </c>
      <c r="BK1239" s="151" t="inlineStr">
        <is>
          <t>VENTA DE CONCENTRADOS, POLVOS, JARABES Y ESENCIAS DE SABOR PARA PREPARAR REFRESCOS, BEBIDAS HIDRATANTES O REHIDRATANTES POR LA CUAL SE ENTREGA UN COMPROBANTE SIMPLIFICADO, REALIZADA POR PERSONAS DISTINTAS AL FABRICANTE, PRODUCTOR, ENVASADOR O IMPORTADOR</t>
        </is>
      </c>
      <c r="BL1239" s="151" t="n"/>
      <c r="BM1239" s="151" t="n"/>
      <c r="BN1239" s="151" t="n"/>
      <c r="BO1239" s="151" t="n"/>
      <c r="BP1239" s="151" t="n"/>
      <c r="BQ1239" s="151" t="n"/>
      <c r="BR1239" s="151" t="n"/>
      <c r="BS1239" s="151" t="n"/>
      <c r="BT1239" s="151" t="n"/>
    </row>
    <row r="1240">
      <c r="BJ1240" s="151" t="n">
        <v>2236</v>
      </c>
      <c r="BK1240" s="151" t="inlineStr">
        <is>
          <t>FABRICANTES, PRODUCTORES, ENVASADORES O IMPORTADORES QUE ENAJENAN O IMPORTAN CERVEZA EN ENVASES REUTILIZABLES</t>
        </is>
      </c>
      <c r="BL1240" s="151" t="n"/>
      <c r="BM1240" s="151" t="n"/>
      <c r="BN1240" s="151" t="n"/>
      <c r="BO1240" s="151" t="n"/>
      <c r="BP1240" s="151" t="n"/>
      <c r="BQ1240" s="151" t="n"/>
      <c r="BR1240" s="151" t="n"/>
      <c r="BS1240" s="151" t="n"/>
      <c r="BT1240" s="151" t="n"/>
    </row>
    <row r="1241">
      <c r="BJ1241" s="151" t="n">
        <v>2237</v>
      </c>
      <c r="BK1241" s="151" t="inlineStr">
        <is>
          <t>INVERSION EN SOCIEDADES MEXICANAS RESIDENTES EN MEXICO NO LISTADAS EN LA BOLSA AL MOMENTO DE LA INVERSION</t>
        </is>
      </c>
      <c r="BL1241" s="151" t="n"/>
      <c r="BM1241" s="151" t="n"/>
      <c r="BN1241" s="151" t="n"/>
      <c r="BO1241" s="151" t="n"/>
      <c r="BP1241" s="151" t="n"/>
      <c r="BQ1241" s="151" t="n"/>
      <c r="BR1241" s="151" t="n"/>
      <c r="BS1241" s="151" t="n"/>
      <c r="BT1241" s="151" t="n"/>
    </row>
    <row r="1242">
      <c r="BJ1242" s="151" t="n">
        <v>2239</v>
      </c>
      <c r="BK1242" s="151" t="inlineStr">
        <is>
          <t>CONSTRUCCION Y/O ADQUISICION DE VIVIENDAS PARA SER RENTADAS</t>
        </is>
      </c>
      <c r="BL1242" s="151" t="n"/>
      <c r="BM1242" s="151" t="n"/>
      <c r="BN1242" s="151" t="n"/>
      <c r="BO1242" s="151" t="n"/>
      <c r="BP1242" s="151" t="n"/>
      <c r="BQ1242" s="151" t="n"/>
      <c r="BR1242" s="151" t="n"/>
      <c r="BS1242" s="151" t="n"/>
      <c r="BT1242" s="151" t="n"/>
    </row>
    <row r="1243">
      <c r="BJ1243" s="151" t="n">
        <v>2240</v>
      </c>
      <c r="BK1243" s="151" t="inlineStr">
        <is>
          <t>CONSTRUCCION Y/O ADQUISICION DE SALONES PARA FIESTAS Y CONVENCIONES PARA SER RENTADOS</t>
        </is>
      </c>
      <c r="BL1243" s="151" t="n"/>
      <c r="BM1243" s="151" t="n"/>
      <c r="BN1243" s="151" t="n"/>
      <c r="BO1243" s="151" t="n"/>
      <c r="BP1243" s="151" t="n"/>
      <c r="BQ1243" s="151" t="n"/>
      <c r="BR1243" s="151" t="n"/>
      <c r="BS1243" s="151" t="n"/>
      <c r="BT1243" s="151" t="n"/>
    </row>
    <row r="1244">
      <c r="BJ1244" s="151" t="n">
        <v>2241</v>
      </c>
      <c r="BK1244" s="151" t="inlineStr">
        <is>
          <t>CONSTRUCCION Y/O ADQUISICION DE OFICINAS Y LOCALES COMERCIALES PARA SER RENTADOS</t>
        </is>
      </c>
      <c r="BL1244" s="151" t="n"/>
      <c r="BM1244" s="151" t="n"/>
      <c r="BN1244" s="151" t="n"/>
      <c r="BO1244" s="151" t="n"/>
      <c r="BP1244" s="151" t="n"/>
      <c r="BQ1244" s="151" t="n"/>
      <c r="BR1244" s="151" t="n"/>
      <c r="BS1244" s="151" t="n"/>
      <c r="BT1244" s="151" t="n"/>
    </row>
    <row r="1245">
      <c r="BJ1245" s="151" t="n">
        <v>2242</v>
      </c>
      <c r="BK1245" s="151" t="inlineStr">
        <is>
          <t>CONSTRUCCION Y/O ADQUISICION DE TEATROS, ESTADIOS, AUDITORIOS Y SIMILARES PARA SER RENTADOS</t>
        </is>
      </c>
      <c r="BL1245" s="151" t="n"/>
      <c r="BM1245" s="151" t="n"/>
      <c r="BN1245" s="151" t="n"/>
      <c r="BO1245" s="151" t="n"/>
      <c r="BP1245" s="151" t="n"/>
      <c r="BQ1245" s="151" t="n"/>
      <c r="BR1245" s="151" t="n"/>
      <c r="BS1245" s="151" t="n"/>
      <c r="BT1245" s="151" t="n"/>
    </row>
    <row r="1246">
      <c r="BJ1246" s="151" t="n">
        <v>2243</v>
      </c>
      <c r="BK1246" s="151" t="inlineStr">
        <is>
          <t>CONSTRUCCION Y/O ADQUISICION DE FINCAS DESTINADAS FINES AGRICOLAS O GANADEROS PARA SER RENTADOS</t>
        </is>
      </c>
      <c r="BL1246" s="151" t="n"/>
      <c r="BM1246" s="151" t="n"/>
      <c r="BN1246" s="151" t="n"/>
      <c r="BO1246" s="151" t="n"/>
      <c r="BP1246" s="151" t="n"/>
      <c r="BQ1246" s="151" t="n"/>
      <c r="BR1246" s="151" t="n"/>
      <c r="BS1246" s="151" t="n"/>
      <c r="BT1246" s="151" t="n"/>
    </row>
    <row r="1247">
      <c r="BJ1247" s="151" t="n">
        <v>2244</v>
      </c>
      <c r="BK1247" s="151" t="inlineStr">
        <is>
          <t>CONSTRUCCION Y/O ADQUISICION DE OTROS INMUEBLES PARA SER RENTADOS, COMO TERRENOS, BODEGAS, GALERONES, PLANTAS INDUSTRIALES, NAVES INDUSTRIALES PARA SER RENTADOS</t>
        </is>
      </c>
      <c r="BL1247" s="151" t="n"/>
      <c r="BM1247" s="151" t="n"/>
      <c r="BN1247" s="151" t="n"/>
      <c r="BO1247" s="151" t="n"/>
      <c r="BP1247" s="151" t="n"/>
      <c r="BQ1247" s="151" t="n"/>
      <c r="BR1247" s="151" t="n"/>
      <c r="BS1247" s="151" t="n"/>
      <c r="BT1247" s="151" t="n"/>
    </row>
    <row r="1248">
      <c r="BJ1248" s="151" t="n">
        <v>2245</v>
      </c>
      <c r="BK1248" s="151" t="inlineStr">
        <is>
          <t>DEFENSA DE LOS DERECHOS HUMANOS</t>
        </is>
      </c>
      <c r="BL1248" s="151" t="n"/>
      <c r="BM1248" s="151" t="n"/>
      <c r="BN1248" s="151" t="n"/>
      <c r="BO1248" s="151" t="n"/>
      <c r="BP1248" s="151" t="n"/>
      <c r="BQ1248" s="151" t="n"/>
      <c r="BR1248" s="151" t="n"/>
      <c r="BS1248" s="151" t="n"/>
      <c r="BT1248" s="151" t="n"/>
    </row>
    <row r="1249">
      <c r="BJ1249" s="151" t="n">
        <v>2246</v>
      </c>
      <c r="BK1249" s="151" t="inlineStr">
        <is>
          <t>COMERCIO AL POR MENOR A TRAVES DE MAQUINAS EXPENDEDORAS</t>
        </is>
      </c>
      <c r="BL1249" s="151" t="n"/>
      <c r="BM1249" s="151" t="n"/>
      <c r="BN1249" s="151" t="n"/>
      <c r="BO1249" s="151" t="n"/>
      <c r="BP1249" s="151" t="n"/>
      <c r="BQ1249" s="151" t="n"/>
      <c r="BR1249" s="151" t="n"/>
      <c r="BS1249" s="151" t="n"/>
      <c r="BT1249" s="151" t="n"/>
    </row>
    <row r="1250">
      <c r="BJ1250" s="151" t="n">
        <v>2247</v>
      </c>
      <c r="BK1250" s="151" t="inlineStr">
        <is>
          <t>COMERCIO AL POR MENOR DE CONCENTRADOS O JARABES PARA PREPARAR REFRESCOS QUE SE EXPENDAN EN ENVASES ABIERTOS UTILIZANDO APARATOS AUTOMATICOS, ELECTRICOS O MECANICOS ENTREGANDO FACTURA</t>
        </is>
      </c>
      <c r="BL1250" s="151" t="n"/>
      <c r="BM1250" s="151" t="n"/>
      <c r="BN1250" s="151" t="n"/>
      <c r="BO1250" s="151" t="n"/>
      <c r="BP1250" s="151" t="n"/>
      <c r="BQ1250" s="151" t="n"/>
      <c r="BR1250" s="151" t="n"/>
      <c r="BS1250" s="151" t="n"/>
      <c r="BT1250" s="151" t="n"/>
    </row>
    <row r="1251">
      <c r="BJ1251" s="151" t="n">
        <v>2248</v>
      </c>
      <c r="BK1251" s="151" t="inlineStr">
        <is>
          <t>COMERCIO AL POR MENOR DE OTROS ALIMENTOS PREPARADOS PARA SU CONSUMO</t>
        </is>
      </c>
      <c r="BL1251" s="151" t="n"/>
      <c r="BM1251" s="151" t="n"/>
      <c r="BN1251" s="151" t="n"/>
      <c r="BO1251" s="151" t="n"/>
      <c r="BP1251" s="151" t="n"/>
      <c r="BQ1251" s="151" t="n"/>
      <c r="BR1251" s="151" t="n"/>
      <c r="BS1251" s="151" t="n"/>
      <c r="BT1251" s="151" t="n"/>
    </row>
    <row r="1252">
      <c r="BJ1252" s="151" t="n">
        <v>2249</v>
      </c>
      <c r="BK1252" s="151" t="inlineStr">
        <is>
          <t>SERVICIOS DE INVESTIGACION Y DE PROTECCION</t>
        </is>
      </c>
      <c r="BL1252" s="151" t="n"/>
      <c r="BM1252" s="151" t="n"/>
      <c r="BN1252" s="151" t="n"/>
      <c r="BO1252" s="151" t="n"/>
      <c r="BP1252" s="151" t="n"/>
      <c r="BQ1252" s="151" t="n"/>
      <c r="BR1252" s="151" t="n"/>
      <c r="BS1252" s="151" t="n"/>
      <c r="BT1252" s="151" t="n"/>
    </row>
    <row r="1253">
      <c r="BJ1253" s="151" t="n">
        <v>2250</v>
      </c>
      <c r="BK1253" s="151" t="inlineStr">
        <is>
          <t>CONSULTORIOS DE MEDICINA GENERAL PERTENECIENTES AL SECTOR PRIVADO QUE NO CUENTEN CON TITULO DE MEDICO CONFORME A LAS LEYES</t>
        </is>
      </c>
      <c r="BL1253" s="151" t="n"/>
      <c r="BM1253" s="151" t="n"/>
      <c r="BN1253" s="151" t="n"/>
      <c r="BO1253" s="151" t="n"/>
      <c r="BP1253" s="151" t="n"/>
      <c r="BQ1253" s="151" t="n"/>
      <c r="BR1253" s="151" t="n"/>
      <c r="BS1253" s="151" t="n"/>
      <c r="BT1253" s="151" t="n"/>
    </row>
    <row r="1254">
      <c r="BJ1254" s="151" t="n">
        <v>2255</v>
      </c>
      <c r="BK1254" s="151" t="inlineStr">
        <is>
          <t>CAPTACION, TRATAMIENTO Y SUMINISTRO DE AGUA PARA USO DOMESTICO</t>
        </is>
      </c>
      <c r="BL1254" s="151" t="n"/>
      <c r="BM1254" s="151" t="n"/>
      <c r="BN1254" s="151" t="n"/>
      <c r="BO1254" s="151" t="n"/>
      <c r="BP1254" s="151" t="n"/>
      <c r="BQ1254" s="151" t="n"/>
      <c r="BR1254" s="151" t="n"/>
      <c r="BS1254" s="151" t="n"/>
      <c r="BT1254" s="151" t="n"/>
    </row>
    <row r="1255">
      <c r="BJ1255" s="151" t="n">
        <v>2256</v>
      </c>
      <c r="BK1255" s="151" t="inlineStr">
        <is>
          <t>CONGELACION DE JUGOS, NECTARES Y CONCENTRADOS DE FRUTAS</t>
        </is>
      </c>
      <c r="BL1255" s="151" t="n"/>
      <c r="BM1255" s="151" t="n"/>
      <c r="BN1255" s="151" t="n"/>
      <c r="BO1255" s="151" t="n"/>
      <c r="BP1255" s="151" t="n"/>
      <c r="BQ1255" s="151" t="n"/>
      <c r="BR1255" s="151" t="n"/>
      <c r="BS1255" s="151" t="n"/>
      <c r="BT1255" s="151" t="n"/>
    </row>
    <row r="1256">
      <c r="BJ1256" s="151" t="n">
        <v>2257</v>
      </c>
      <c r="BK1256" s="151" t="inlineStr">
        <is>
          <t>PREPARACION DE EMBUTIDOS Y OTRAS CONSERVAS DE CARNE DE GANADO Y AVES</t>
        </is>
      </c>
      <c r="BL1256" s="151" t="n"/>
      <c r="BM1256" s="151" t="n"/>
      <c r="BN1256" s="151" t="n"/>
      <c r="BO1256" s="151" t="n"/>
      <c r="BP1256" s="151" t="n"/>
      <c r="BQ1256" s="151" t="n"/>
      <c r="BR1256" s="151" t="n"/>
      <c r="BS1256" s="151" t="n"/>
      <c r="BT1256" s="151" t="n"/>
    </row>
    <row r="1257">
      <c r="BJ1257" s="151" t="n">
        <v>2258</v>
      </c>
      <c r="BK1257" s="151" t="inlineStr">
        <is>
          <t>ELABORACION DE CONCENTRADOS, POLVOS, JARABES Y ESENCIAS DE SABOR PARA PREPARAR REFRESCOS, BEBIDAS HIDRATANTES O REHIDRATANTES QUE TIENEN AZUCARES A?ADIDOS.</t>
        </is>
      </c>
      <c r="BL1257" s="151" t="n"/>
      <c r="BM1257" s="151" t="n"/>
      <c r="BN1257" s="151" t="n"/>
      <c r="BO1257" s="151" t="n"/>
      <c r="BP1257" s="151" t="n"/>
      <c r="BQ1257" s="151" t="n"/>
      <c r="BR1257" s="151" t="n"/>
      <c r="BS1257" s="151" t="n"/>
      <c r="BT1257" s="151" t="n"/>
    </row>
    <row r="1258">
      <c r="BJ1258" s="151" t="n">
        <v>2259</v>
      </c>
      <c r="BK1258" s="151" t="inlineStr">
        <is>
          <t>PRODUCTOR, ENVASADOR O FABRICANTE DE CONCENTRADOS O JARABES PARA PREPARAR REFRESCOS QUE SE EXPANDAN EN ENVASES ABIERTOS UTILIZANDO APARATOS AUTOMATICOS, ELECTRICOS O MECANICOS TIENEN AZUCARES A?ADIDOS.</t>
        </is>
      </c>
      <c r="BL1258" s="151" t="n"/>
      <c r="BM1258" s="151" t="n"/>
      <c r="BN1258" s="151" t="n"/>
      <c r="BO1258" s="151" t="n"/>
      <c r="BP1258" s="151" t="n"/>
      <c r="BQ1258" s="151" t="n"/>
      <c r="BR1258" s="151" t="n"/>
      <c r="BS1258" s="151" t="n"/>
      <c r="BT1258" s="151" t="n"/>
    </row>
    <row r="1259">
      <c r="BJ1259" s="151" t="n">
        <v>2260</v>
      </c>
      <c r="BK1259" s="151" t="inlineStr">
        <is>
          <t>PRODUCTOR, ENVASADOR O FABRICANTE DE REFRESCOS QUE UTILIZA EN DICHA ELABORACION COMO EDULCORANTE UNICAMENTE CA?A DE AZUCAR</t>
        </is>
      </c>
      <c r="BL1259" s="151" t="n"/>
      <c r="BM1259" s="151" t="n"/>
      <c r="BN1259" s="151" t="n"/>
      <c r="BO1259" s="151" t="n"/>
      <c r="BP1259" s="151" t="n"/>
      <c r="BQ1259" s="151" t="n"/>
      <c r="BR1259" s="151" t="n"/>
      <c r="BS1259" s="151" t="n"/>
      <c r="BT1259" s="151" t="n"/>
    </row>
    <row r="1260">
      <c r="BJ1260" s="151" t="n">
        <v>2261</v>
      </c>
      <c r="BK1260" s="151" t="inlineStr">
        <is>
          <t>PRODUCTOR, ENVASADOR O FABRICANTE DE BEBIDAS HIDRATANTES O REHIDRATANTES QUE UTILIZA EN DICHA ELABORACION COMO EDULCORANTE UNICAMENTE CA?A DE AZUCAR</t>
        </is>
      </c>
      <c r="BL1260" s="151" t="n"/>
      <c r="BM1260" s="151" t="n"/>
      <c r="BN1260" s="151" t="n"/>
      <c r="BO1260" s="151" t="n"/>
      <c r="BP1260" s="151" t="n"/>
      <c r="BQ1260" s="151" t="n"/>
      <c r="BR1260" s="151" t="n"/>
      <c r="BS1260" s="151" t="n"/>
      <c r="BT1260" s="151" t="n"/>
    </row>
    <row r="1261">
      <c r="BJ1261" s="151" t="n">
        <v>2262</v>
      </c>
      <c r="BK1261" s="151" t="inlineStr">
        <is>
          <t>FABRICANTES, PRODUCTORES, ENVASADORES O IMPORTADORES QUE ENAJENAN O IMPORTAN CERVEZA DE 20? G.L EN ENVASES REUTILIZABLES</t>
        </is>
      </c>
      <c r="BL1261" s="151" t="n"/>
      <c r="BM1261" s="151" t="n"/>
      <c r="BN1261" s="151" t="n"/>
      <c r="BO1261" s="151" t="n"/>
      <c r="BP1261" s="151" t="n"/>
      <c r="BQ1261" s="151" t="n"/>
      <c r="BR1261" s="151" t="n"/>
      <c r="BS1261" s="151" t="n"/>
      <c r="BT1261" s="151" t="n"/>
    </row>
    <row r="1262">
      <c r="BJ1262" s="151" t="n">
        <v>2263</v>
      </c>
      <c r="BK1262" s="151" t="inlineStr">
        <is>
          <t>PRODUCCION, FABRICACION O ENVASADO DE MIELES INCRISTALIZABLES QUE NO SE UTILIZARAN PARA TRANSFORMARLAS EN ALCOHOL</t>
        </is>
      </c>
      <c r="BL1262" s="151" t="n"/>
      <c r="BM1262" s="151" t="n"/>
      <c r="BN1262" s="151" t="n"/>
      <c r="BO1262" s="151" t="n"/>
      <c r="BP1262" s="151" t="n"/>
      <c r="BQ1262" s="151" t="n"/>
      <c r="BR1262" s="151" t="n"/>
      <c r="BS1262" s="151" t="n"/>
      <c r="BT1262" s="151" t="n"/>
    </row>
    <row r="1263">
      <c r="BJ1263" s="151" t="n">
        <v>2264</v>
      </c>
      <c r="BK1263" s="151" t="inlineStr">
        <is>
          <t>FABRICACION DE EQUIPO CON MOTOR PARA JARDINERIA</t>
        </is>
      </c>
      <c r="BL1263" s="151" t="n"/>
      <c r="BM1263" s="151" t="n"/>
      <c r="BN1263" s="151" t="n"/>
      <c r="BO1263" s="151" t="n"/>
      <c r="BP1263" s="151" t="n"/>
      <c r="BQ1263" s="151" t="n"/>
      <c r="BR1263" s="151" t="n"/>
      <c r="BS1263" s="151" t="n"/>
      <c r="BT1263" s="151" t="n"/>
    </row>
    <row r="1264">
      <c r="BJ1264" s="151" t="n">
        <v>2265</v>
      </c>
      <c r="BK1264" s="151" t="inlineStr">
        <is>
          <t>COMERCIO AL POR MAYOR DE REFRESCOS O BEBIDAS HIDRATANTES O REHIDRATANTES ELABORADOS UNICAMENTE CON AZUCAR DE CA?A COMO EDULCORANTE</t>
        </is>
      </c>
      <c r="BL1264" s="151" t="n"/>
      <c r="BM1264" s="151" t="n"/>
      <c r="BN1264" s="151" t="n"/>
      <c r="BO1264" s="151" t="n"/>
      <c r="BP1264" s="151" t="n"/>
      <c r="BQ1264" s="151" t="n"/>
      <c r="BR1264" s="151" t="n"/>
      <c r="BS1264" s="151" t="n"/>
      <c r="BT1264" s="151" t="n"/>
    </row>
    <row r="1265">
      <c r="BJ1265" s="151" t="n">
        <v>2266</v>
      </c>
      <c r="BK1265" s="151" t="inlineStr">
        <is>
          <t>COMERCIO AL POR MAYOR DE CONCENTRADOS, POLVOS, JARABES Y ESENCIAS DE SABOR PARA PREPARAR REFRESCOS, BEBIDAS HIDRATANTES O REHIDRATANTES ELABORADOS UNICAMENTE CON AZUCAR DE CA?A COMO EDULCORANTE</t>
        </is>
      </c>
      <c r="BL1265" s="151" t="n"/>
      <c r="BM1265" s="151" t="n"/>
      <c r="BN1265" s="151" t="n"/>
      <c r="BO1265" s="151" t="n"/>
      <c r="BP1265" s="151" t="n"/>
      <c r="BQ1265" s="151" t="n"/>
      <c r="BR1265" s="151" t="n"/>
      <c r="BS1265" s="151" t="n"/>
      <c r="BT1265" s="151" t="n"/>
    </row>
    <row r="1266">
      <c r="BJ1266" s="151" t="n">
        <v>2267</v>
      </c>
      <c r="BK1266" s="151" t="inlineStr">
        <is>
          <t>COMERCIO AL POR MAYOR DE CONCENTRADOS O JARABES PARA PREPARAR REFRESCOS QUE SE EXPENDAN EN ENVASES ABIERTOS UTILIZANDO APARATOS AUTOMATICOS, ELECTRICOS O MECANICOS ELABORADOS UNICAMENTE CON AZUCAR DE CA?A COMO EDULCORANTE</t>
        </is>
      </c>
      <c r="BL1266" s="151" t="n"/>
      <c r="BM1266" s="151" t="n"/>
      <c r="BN1266" s="151" t="n"/>
      <c r="BO1266" s="151" t="n"/>
      <c r="BP1266" s="151" t="n"/>
      <c r="BQ1266" s="151" t="n"/>
      <c r="BR1266" s="151" t="n"/>
      <c r="BS1266" s="151" t="n"/>
      <c r="BT1266" s="151" t="n"/>
    </row>
    <row r="1267">
      <c r="BJ1267" s="151" t="n">
        <v>2268</v>
      </c>
      <c r="BK1267" s="151" t="inlineStr">
        <is>
          <t>PRODUCCION Y PRESENTACION DE ESPECTACULOS PUBLICOS COMBINADA CON LA PROMOCION DE LOS MISMOS</t>
        </is>
      </c>
      <c r="BL1267" s="151" t="n"/>
      <c r="BM1267" s="151" t="n"/>
      <c r="BN1267" s="151" t="n"/>
      <c r="BO1267" s="151" t="n"/>
      <c r="BP1267" s="151" t="n"/>
      <c r="BQ1267" s="151" t="n"/>
      <c r="BR1267" s="151" t="n"/>
      <c r="BS1267" s="151" t="n"/>
      <c r="BT1267" s="151" t="n"/>
    </row>
    <row r="1268">
      <c r="BJ1268" s="151" t="n">
        <v>2269</v>
      </c>
      <c r="BK1268" s="151" t="inlineStr">
        <is>
          <t>VENTA DE GASOLINA Y DIESEL</t>
        </is>
      </c>
      <c r="BL1268" s="151" t="n"/>
      <c r="BM1268" s="151" t="n"/>
      <c r="BN1268" s="151" t="n"/>
      <c r="BO1268" s="151" t="n"/>
      <c r="BP1268" s="151" t="n"/>
      <c r="BQ1268" s="151" t="n"/>
      <c r="BR1268" s="151" t="n"/>
      <c r="BS1268" s="151" t="n"/>
      <c r="BT1268" s="151" t="n"/>
    </row>
    <row r="1269">
      <c r="BJ1269" s="151" t="n">
        <v>2270</v>
      </c>
      <c r="BK1269" s="151" t="inlineStr">
        <is>
          <t>COMERCIO AL POR MENOR DE SIDRA Y OTRAS BEBIDAS FERMENTADAS</t>
        </is>
      </c>
      <c r="BL1269" s="151" t="n"/>
      <c r="BM1269" s="151" t="n"/>
      <c r="BN1269" s="151" t="n"/>
      <c r="BO1269" s="151" t="n"/>
      <c r="BP1269" s="151" t="n"/>
      <c r="BQ1269" s="151" t="n"/>
      <c r="BR1269" s="151" t="n"/>
      <c r="BS1269" s="151" t="n"/>
      <c r="BT1269" s="151" t="n"/>
    </row>
    <row r="1270">
      <c r="BJ1270" s="151" t="n">
        <v>2271</v>
      </c>
      <c r="BK1270" s="151" t="inlineStr">
        <is>
          <t>COMERCIO AL POR MENOR DE RON Y OTRAS BEBIDAS DESTILADAS DE CA?A</t>
        </is>
      </c>
      <c r="BL1270" s="151" t="n"/>
      <c r="BM1270" s="151" t="n"/>
      <c r="BN1270" s="151" t="n"/>
      <c r="BO1270" s="151" t="n"/>
      <c r="BP1270" s="151" t="n"/>
      <c r="BQ1270" s="151" t="n"/>
      <c r="BR1270" s="151" t="n"/>
      <c r="BS1270" s="151" t="n"/>
      <c r="BT1270" s="151" t="n"/>
    </row>
    <row r="1271">
      <c r="BJ1271" s="151" t="n">
        <v>2272</v>
      </c>
      <c r="BK1271" s="151" t="inlineStr">
        <is>
          <t>COMERCIO AL POR MENOR DE BEBIDAS DESTILADAS DE AGAVE.</t>
        </is>
      </c>
      <c r="BL1271" s="151" t="n"/>
      <c r="BM1271" s="151" t="n"/>
      <c r="BN1271" s="151" t="n"/>
      <c r="BO1271" s="151" t="n"/>
      <c r="BP1271" s="151" t="n"/>
      <c r="BQ1271" s="151" t="n"/>
      <c r="BR1271" s="151" t="n"/>
      <c r="BS1271" s="151" t="n"/>
      <c r="BT1271" s="151" t="n"/>
    </row>
    <row r="1272">
      <c r="BJ1272" s="151" t="n">
        <v>2273</v>
      </c>
      <c r="BK1272" s="151" t="inlineStr">
        <is>
          <t>COMERCIO AL POR MENOR DE BEBIDAS ALCOHOLICAS NO CLASIFICADOS EN OTRA PARTE</t>
        </is>
      </c>
      <c r="BL1272" s="151" t="n"/>
      <c r="BM1272" s="151" t="n"/>
      <c r="BN1272" s="151" t="n"/>
      <c r="BO1272" s="151" t="n"/>
      <c r="BP1272" s="151" t="n"/>
      <c r="BQ1272" s="151" t="n"/>
      <c r="BR1272" s="151" t="n"/>
      <c r="BS1272" s="151" t="n"/>
      <c r="BT1272" s="151" t="n"/>
    </row>
    <row r="1273">
      <c r="BJ1273" s="151" t="n">
        <v>2274</v>
      </c>
      <c r="BK1273" s="151" t="inlineStr">
        <is>
          <t>COMERCIO AL POR MENOR DE REFRESCOS, BEBIDAS HIDRATANTES Y REHIDRATANTES ELABORADOS CON AZUCAR DE CA?A Y OTROS EDULCORANTES ENTREGANDO FACTURA.</t>
        </is>
      </c>
      <c r="BL1273" s="151" t="n"/>
      <c r="BM1273" s="151" t="n"/>
      <c r="BN1273" s="151" t="n"/>
      <c r="BO1273" s="151" t="n"/>
      <c r="BP1273" s="151" t="n"/>
      <c r="BQ1273" s="151" t="n"/>
      <c r="BR1273" s="151" t="n"/>
      <c r="BS1273" s="151" t="n"/>
      <c r="BT1273" s="151" t="n"/>
    </row>
    <row r="1274">
      <c r="BJ1274" s="151" t="n">
        <v>2275</v>
      </c>
      <c r="BK1274" s="151" t="inlineStr">
        <is>
          <t>COMERCIO AL POR MENOR DE CONCENTRADOS, POLVOS, JARABES Y ESENCIAS DE SABOR PARA PREPARAR REFRESCOS, BEBIDAS HIDRATANTES O REHIDRATANTES ELABORADOS UNICAMENTE CON AZUCAR DE CA?A COMO EDULCORANTE</t>
        </is>
      </c>
      <c r="BL1274" s="151" t="n"/>
      <c r="BM1274" s="151" t="n"/>
      <c r="BN1274" s="151" t="n"/>
      <c r="BO1274" s="151" t="n"/>
      <c r="BP1274" s="151" t="n"/>
      <c r="BQ1274" s="151" t="n"/>
      <c r="BR1274" s="151" t="n"/>
      <c r="BS1274" s="151" t="n"/>
      <c r="BT1274" s="151" t="n"/>
    </row>
    <row r="1275">
      <c r="BJ1275" s="151" t="n">
        <v>2276</v>
      </c>
      <c r="BK1275" s="151" t="inlineStr">
        <is>
          <t>COMERCIO AL POR MENOR DE CONCENTRADOS O JARABES PARA PREPARAR REFRESCOS QUE SE EXPENDAN EN ENVASES ABIERTOS UTILIZANDO APARATOS AUTOMATICOS, ELECTRICOS O MECANICOS ELABORADOS UNICAMENTE CON AZUCAR DE CA?A COMO EDULCORANTE.</t>
        </is>
      </c>
      <c r="BL1275" s="151" t="n"/>
      <c r="BM1275" s="151" t="n"/>
      <c r="BN1275" s="151" t="n"/>
      <c r="BO1275" s="151" t="n"/>
      <c r="BP1275" s="151" t="n"/>
      <c r="BQ1275" s="151" t="n"/>
      <c r="BR1275" s="151" t="n"/>
      <c r="BS1275" s="151" t="n"/>
      <c r="BT1275" s="151" t="n"/>
    </row>
    <row r="1276">
      <c r="BJ1276" s="151" t="n">
        <v>2277</v>
      </c>
      <c r="BK1276" s="151" t="inlineStr">
        <is>
          <t>TELEGRAFIA Y OTRAS TELECOMUNICACIONES ALAMBRICAS.</t>
        </is>
      </c>
      <c r="BL1276" s="151" t="n"/>
      <c r="BM1276" s="151" t="n"/>
      <c r="BN1276" s="151" t="n"/>
      <c r="BO1276" s="151" t="n"/>
      <c r="BP1276" s="151" t="n"/>
      <c r="BQ1276" s="151" t="n"/>
      <c r="BR1276" s="151" t="n"/>
      <c r="BS1276" s="151" t="n"/>
      <c r="BT1276" s="151" t="n"/>
    </row>
    <row r="1277">
      <c r="BJ1277" s="151" t="n">
        <v>2278</v>
      </c>
      <c r="BK1277" s="151" t="inlineStr">
        <is>
          <t>CONSULTORIOS DE MEDICINA ESPECIALIZADA PERTENECIENTES AL SECTOR PRIVADO QUE NO CUENTEN CON TITULO DE MEDICO CONFORME A LAS LEYES.</t>
        </is>
      </c>
      <c r="BL1277" s="151" t="n"/>
      <c r="BM1277" s="151" t="n"/>
      <c r="BN1277" s="151" t="n"/>
      <c r="BO1277" s="151" t="n"/>
      <c r="BP1277" s="151" t="n"/>
      <c r="BQ1277" s="151" t="n"/>
      <c r="BR1277" s="151" t="n"/>
      <c r="BS1277" s="151" t="n"/>
      <c r="BT1277" s="151" t="n"/>
    </row>
    <row r="1278">
      <c r="BJ1278" s="151" t="n">
        <v>2279</v>
      </c>
      <c r="BK1278" s="151" t="inlineStr">
        <is>
          <t>CONSULTORIOS DENTALES DEL SECTOR PRIVADO QUE NO CUENTEN CON TITULO DE MEDICO CONFORME A LAS LEYES.</t>
        </is>
      </c>
      <c r="BL1278" s="151" t="n"/>
      <c r="BM1278" s="151" t="n"/>
      <c r="BN1278" s="151" t="n"/>
      <c r="BO1278" s="151" t="n"/>
      <c r="BP1278" s="151" t="n"/>
      <c r="BQ1278" s="151" t="n"/>
      <c r="BR1278" s="151" t="n"/>
      <c r="BS1278" s="151" t="n"/>
      <c r="BT1278" s="151" t="n"/>
    </row>
    <row r="1279">
      <c r="BJ1279" s="151" t="n">
        <v>2280</v>
      </c>
      <c r="BK1279" s="151" t="inlineStr">
        <is>
          <t>PRODUCCION Y PRESENTACION DE ESPECTACULOS EN RESTAURANTES, BARES, SALONES DE FIESTA O DE BAILE Y CENTROS NOCTURNOS.</t>
        </is>
      </c>
      <c r="BL1279" s="151" t="n"/>
      <c r="BM1279" s="151" t="n"/>
      <c r="BN1279" s="151" t="n"/>
      <c r="BO1279" s="151" t="n"/>
      <c r="BP1279" s="151" t="n"/>
      <c r="BQ1279" s="151" t="n"/>
      <c r="BR1279" s="151" t="n"/>
      <c r="BS1279" s="151" t="n"/>
      <c r="BT1279" s="151" t="n"/>
    </row>
    <row r="1280">
      <c r="BJ1280" s="151" t="n">
        <v>2281</v>
      </c>
      <c r="BK1280" s="151" t="inlineStr">
        <is>
          <t>MUSEOS DEL SECTOR PRIVADO.</t>
        </is>
      </c>
      <c r="BL1280" s="151" t="n"/>
      <c r="BM1280" s="151" t="n"/>
      <c r="BN1280" s="151" t="n"/>
      <c r="BO1280" s="151" t="n"/>
      <c r="BP1280" s="151" t="n"/>
      <c r="BQ1280" s="151" t="n"/>
      <c r="BR1280" s="151" t="n"/>
      <c r="BS1280" s="151" t="n"/>
      <c r="BT1280" s="151" t="n"/>
    </row>
    <row r="1281">
      <c r="BJ1281" s="151" t="n">
        <v>2282</v>
      </c>
      <c r="BK1281" s="151" t="inlineStr">
        <is>
          <t>SOCIEDADES FINANCIERAS POPULARES</t>
        </is>
      </c>
      <c r="BL1281" s="151" t="n"/>
      <c r="BM1281" s="151" t="n"/>
      <c r="BN1281" s="151" t="n"/>
      <c r="BO1281" s="151" t="n"/>
      <c r="BP1281" s="151" t="n"/>
      <c r="BQ1281" s="151" t="n"/>
      <c r="BR1281" s="151" t="n"/>
      <c r="BS1281" s="151" t="n"/>
      <c r="BT1281" s="151" t="n"/>
    </row>
    <row r="1282">
      <c r="BJ1282" s="151" t="n">
        <v>2283</v>
      </c>
      <c r="BK1282" s="151" t="inlineStr">
        <is>
          <t>ADMINISTRADORAS DE FONDOS PARA EL RETIRO.</t>
        </is>
      </c>
      <c r="BL1282" s="151" t="n"/>
      <c r="BM1282" s="151" t="n"/>
      <c r="BN1282" s="151" t="n"/>
      <c r="BO1282" s="151" t="n"/>
      <c r="BP1282" s="151" t="n"/>
      <c r="BQ1282" s="151" t="n"/>
      <c r="BR1282" s="151" t="n"/>
      <c r="BS1282" s="151" t="n"/>
      <c r="BT1282" s="151" t="n"/>
    </row>
    <row r="1283">
      <c r="BJ1283" s="151" t="n">
        <v>2284</v>
      </c>
      <c r="BK1283" s="151" t="inlineStr">
        <is>
          <t>PREPARACION, TEJIDO Y ANUDADO DE FIBRAS DE IXTLE, PALMA Y LECHUGUILLA</t>
        </is>
      </c>
      <c r="BL1283" s="151" t="n"/>
      <c r="BM1283" s="151" t="n"/>
      <c r="BN1283" s="151" t="n"/>
      <c r="BO1283" s="151" t="n"/>
      <c r="BP1283" s="151" t="n"/>
      <c r="BQ1283" s="151" t="n"/>
      <c r="BR1283" s="151" t="n"/>
      <c r="BS1283" s="151" t="n"/>
      <c r="BT1283" s="151" t="n"/>
    </row>
    <row r="1284">
      <c r="BJ1284" s="151" t="n">
        <v>2285</v>
      </c>
      <c r="BK1284" s="151" t="inlineStr">
        <is>
          <t>ASOCIACIONES Y ORGANIZACIONES CIVILES DE CONDOMINOS.</t>
        </is>
      </c>
      <c r="BL1284" s="151" t="n"/>
      <c r="BM1284" s="151" t="n"/>
      <c r="BN1284" s="151" t="n"/>
      <c r="BO1284" s="151" t="n"/>
      <c r="BP1284" s="151" t="n"/>
      <c r="BQ1284" s="151" t="n"/>
      <c r="BR1284" s="151" t="n"/>
      <c r="BS1284" s="151" t="n"/>
      <c r="BT1284" s="151" t="n"/>
    </row>
    <row r="1285">
      <c r="BJ1285" s="151" t="n">
        <v>2286</v>
      </c>
      <c r="BK1285" s="151" t="inlineStr">
        <is>
          <t>SOCIEDADES FINANCIERAS DE OBJETO MULTIPLE</t>
        </is>
      </c>
      <c r="BL1285" s="151" t="n"/>
      <c r="BM1285" s="151" t="n"/>
      <c r="BN1285" s="151" t="n"/>
      <c r="BO1285" s="151" t="n"/>
      <c r="BP1285" s="151" t="n"/>
      <c r="BQ1285" s="151" t="n"/>
      <c r="BR1285" s="151" t="n"/>
      <c r="BS1285" s="151" t="n"/>
      <c r="BT1285" s="151" t="n"/>
    </row>
    <row r="1286">
      <c r="BJ1286" s="151" t="n">
        <v>2287</v>
      </c>
      <c r="BK1286" s="151" t="inlineStr">
        <is>
          <t>ASOCIACIONES DE PADRES DE FAMILIA.</t>
        </is>
      </c>
      <c r="BL1286" s="151" t="n"/>
      <c r="BM1286" s="151" t="n"/>
      <c r="BN1286" s="151" t="n"/>
      <c r="BO1286" s="151" t="n"/>
      <c r="BP1286" s="151" t="n"/>
      <c r="BQ1286" s="151" t="n"/>
      <c r="BR1286" s="151" t="n"/>
      <c r="BS1286" s="151" t="n"/>
      <c r="BT1286" s="151" t="n"/>
    </row>
    <row r="1287">
      <c r="BJ1287" s="151" t="n">
        <v>2288</v>
      </c>
      <c r="BK1287" s="151" t="inlineStr">
        <is>
          <t>SOCIEDADES DE GESTION COLECTIVA CONSTITUIDAS DE ACUERDO CON LA LEY FEDERAL DEL DERECHO DE AUTOR</t>
        </is>
      </c>
      <c r="BL1287" s="151" t="n"/>
      <c r="BM1287" s="151" t="n"/>
      <c r="BN1287" s="151" t="n"/>
      <c r="BO1287" s="151" t="n"/>
      <c r="BP1287" s="151" t="n"/>
      <c r="BQ1287" s="151" t="n"/>
      <c r="BR1287" s="151" t="n"/>
      <c r="BS1287" s="151" t="n"/>
      <c r="BT1287" s="151" t="n"/>
    </row>
    <row r="1288">
      <c r="BJ1288" s="151" t="n">
        <v>2289</v>
      </c>
      <c r="BK1288" s="151" t="inlineStr">
        <is>
          <t>SOCIEDADES COOPERATIVAS DE CONSUMO</t>
        </is>
      </c>
      <c r="BL1288" s="151" t="n"/>
      <c r="BM1288" s="151" t="n"/>
      <c r="BN1288" s="151" t="n"/>
      <c r="BO1288" s="151" t="n"/>
      <c r="BP1288" s="151" t="n"/>
      <c r="BQ1288" s="151" t="n"/>
      <c r="BR1288" s="151" t="n"/>
      <c r="BS1288" s="151" t="n"/>
      <c r="BT1288" s="151" t="n"/>
    </row>
    <row r="1289">
      <c r="BJ1289" s="151" t="n">
        <v>2290</v>
      </c>
      <c r="BK1289" s="151" t="inlineStr">
        <is>
          <t>ORGANISMOS QUE AGRUPAN A SOCIEDADES COOPERATIVAS YA SEA DE PRODUCTORES O DE CONSUMIDORES</t>
        </is>
      </c>
      <c r="BL1289" s="151" t="n"/>
      <c r="BM1289" s="151" t="n"/>
      <c r="BN1289" s="151" t="n"/>
      <c r="BO1289" s="151" t="n"/>
      <c r="BP1289" s="151" t="n"/>
      <c r="BQ1289" s="151" t="n"/>
      <c r="BR1289" s="151" t="n"/>
      <c r="BS1289" s="151" t="n"/>
      <c r="BT1289" s="151" t="n"/>
    </row>
    <row r="1290">
      <c r="BJ1290" s="151" t="n">
        <v>2291</v>
      </c>
      <c r="BK1290" s="151" t="inlineStr">
        <is>
          <t>ASOCIACIONES Y ORGANIZACIONES PATRONALES</t>
        </is>
      </c>
      <c r="BL1290" s="151" t="n"/>
      <c r="BM1290" s="151" t="n"/>
      <c r="BN1290" s="151" t="n"/>
      <c r="BO1290" s="151" t="n"/>
      <c r="BP1290" s="151" t="n"/>
      <c r="BQ1290" s="151" t="n"/>
      <c r="BR1290" s="151" t="n"/>
      <c r="BS1290" s="151" t="n"/>
      <c r="BT1290" s="151" t="n"/>
    </row>
    <row r="1291">
      <c r="BJ1291" s="151" t="n">
        <v>2292</v>
      </c>
      <c r="BK1291" s="151" t="inlineStr">
        <is>
          <t>ACTIVIDADES DE INVESTIGACION CIENTIFICA O TECNOLOGICA INSCRITAS EN EL R. N. I. C. Y T. PRESTADOS UNICAMENTE A LOS SOCIOS O ASOCIADOS.</t>
        </is>
      </c>
      <c r="BL1291" s="151" t="n"/>
      <c r="BM1291" s="151" t="n"/>
      <c r="BN1291" s="151" t="n"/>
      <c r="BO1291" s="151" t="n"/>
      <c r="BP1291" s="151" t="n"/>
      <c r="BQ1291" s="151" t="n"/>
      <c r="BR1291" s="151" t="n"/>
      <c r="BS1291" s="151" t="n"/>
      <c r="BT1291" s="151" t="n"/>
    </row>
    <row r="1292">
      <c r="BJ1292" s="151" t="n">
        <v>2293</v>
      </c>
      <c r="BK1292" s="151" t="inlineStr">
        <is>
          <t>ACTIVIDADES DE INVESTIGACION CIENTIFICA O TECNOLOGICA INSCRITAS EN EL R. N. I. C. Y T. PRESTADOS A TERCERAS PERSONAS</t>
        </is>
      </c>
      <c r="BL1292" s="151" t="n"/>
      <c r="BM1292" s="151" t="n"/>
      <c r="BN1292" s="151" t="n"/>
      <c r="BO1292" s="151" t="n"/>
      <c r="BP1292" s="151" t="n"/>
      <c r="BQ1292" s="151" t="n"/>
      <c r="BR1292" s="151" t="n"/>
      <c r="BS1292" s="151" t="n"/>
      <c r="BT1292" s="151" t="n"/>
    </row>
    <row r="1293">
      <c r="BJ1293" s="151" t="n">
        <v>2294</v>
      </c>
      <c r="BK1293" s="151" t="inlineStr">
        <is>
          <t>CASAS DE PRESTAMO Y EMPE?O</t>
        </is>
      </c>
      <c r="BL1293" s="151" t="n"/>
      <c r="BM1293" s="151" t="n"/>
      <c r="BN1293" s="151" t="n"/>
      <c r="BO1293" s="151" t="n"/>
      <c r="BP1293" s="151" t="n"/>
      <c r="BQ1293" s="151" t="n"/>
      <c r="BR1293" s="151" t="n"/>
      <c r="BS1293" s="151" t="n"/>
      <c r="BT1293" s="151" t="n"/>
    </row>
    <row r="1294">
      <c r="BJ1294" s="151" t="n">
        <v>2295</v>
      </c>
      <c r="BK1294" s="151" t="inlineStr">
        <is>
          <t>COMERCIO AL POR MENOR DE LECHE.</t>
        </is>
      </c>
      <c r="BL1294" s="151" t="n"/>
      <c r="BM1294" s="151" t="n"/>
      <c r="BN1294" s="151" t="n"/>
      <c r="BO1294" s="151" t="n"/>
      <c r="BP1294" s="151" t="n"/>
      <c r="BQ1294" s="151" t="n"/>
      <c r="BR1294" s="151" t="n"/>
      <c r="BS1294" s="151" t="n"/>
      <c r="BT1294" s="151" t="n"/>
    </row>
    <row r="1295">
      <c r="BJ1295" s="151" t="n">
        <v>2296</v>
      </c>
      <c r="BK1295" s="151" t="inlineStr">
        <is>
          <t>GUIAS DE TURISMO QUE TRABAJAN POR CUENTA PROPIA</t>
        </is>
      </c>
      <c r="BL1295" s="151" t="n"/>
      <c r="BM1295" s="151" t="n"/>
      <c r="BN1295" s="151" t="n"/>
      <c r="BO1295" s="151" t="n"/>
      <c r="BP1295" s="151" t="n"/>
      <c r="BQ1295" s="151" t="n"/>
      <c r="BR1295" s="151" t="n"/>
      <c r="BS1295" s="151" t="n"/>
      <c r="BT1295" s="151" t="n"/>
    </row>
    <row r="1296">
      <c r="BJ1296" s="151" t="n">
        <v>2297</v>
      </c>
      <c r="BK1296" s="151" t="inlineStr">
        <is>
          <t>PREPARACION Y VENTA DE COMIDA Y ANTOJITOS EN GENERAL</t>
        </is>
      </c>
      <c r="BL1296" s="151" t="n"/>
      <c r="BM1296" s="151" t="n"/>
      <c r="BN1296" s="151" t="n"/>
      <c r="BO1296" s="151" t="n"/>
      <c r="BP1296" s="151" t="n"/>
      <c r="BQ1296" s="151" t="n"/>
      <c r="BR1296" s="151" t="n"/>
      <c r="BS1296" s="151" t="n"/>
      <c r="BT1296" s="151" t="n"/>
    </row>
    <row r="1297">
      <c r="BJ1297" s="151" t="n">
        <v>2298</v>
      </c>
      <c r="BK1297" s="151" t="inlineStr">
        <is>
          <t>ACTIVIDADES COMPLEMENTARIAS PRESTADAS COMO INTEGRANTE A LOS COORDINADOS</t>
        </is>
      </c>
      <c r="BL1297" s="151" t="n"/>
      <c r="BM1297" s="151" t="n"/>
      <c r="BN1297" s="151" t="n"/>
      <c r="BO1297" s="151" t="n"/>
      <c r="BP1297" s="151" t="n"/>
      <c r="BQ1297" s="151" t="n"/>
      <c r="BR1297" s="151" t="n"/>
      <c r="BS1297" s="151" t="n"/>
      <c r="BT1297" s="151" t="n"/>
    </row>
    <row r="1298">
      <c r="BJ1298" s="151" t="n">
        <v>2299</v>
      </c>
      <c r="BK1298" s="151" t="inlineStr">
        <is>
          <t>REALIZACION DE JUEGOS CON APUESTAS Y SORTEOS</t>
        </is>
      </c>
      <c r="BL1298" s="151" t="n"/>
      <c r="BM1298" s="151" t="n"/>
      <c r="BN1298" s="151" t="n"/>
      <c r="BO1298" s="151" t="n"/>
      <c r="BP1298" s="151" t="n"/>
      <c r="BQ1298" s="151" t="n"/>
      <c r="BR1298" s="151" t="n"/>
      <c r="BS1298" s="151" t="n"/>
      <c r="BT1298" s="151" t="n"/>
    </row>
    <row r="1299">
      <c r="BJ1299" s="151" t="n">
        <v>2300</v>
      </c>
      <c r="BK1299" s="151" t="inlineStr">
        <is>
          <t>ASOCIACIONES Y SOCIEDADES QUE ADMINISTREN DISTRITOS O UNIDADES DE RIEGO</t>
        </is>
      </c>
      <c r="BL1299" s="151" t="n"/>
      <c r="BM1299" s="151" t="n"/>
      <c r="BN1299" s="151" t="n"/>
      <c r="BO1299" s="151" t="n"/>
      <c r="BP1299" s="151" t="n"/>
      <c r="BQ1299" s="151" t="n"/>
      <c r="BR1299" s="151" t="n"/>
      <c r="BS1299" s="151" t="n"/>
      <c r="BT1299" s="151" t="n"/>
    </row>
    <row r="1300">
      <c r="BJ1300" s="151" t="n">
        <v>2301</v>
      </c>
      <c r="BK1300" s="151" t="inlineStr">
        <is>
          <t>SOCIEDADES MUTUALISTAS</t>
        </is>
      </c>
      <c r="BL1300" s="151" t="n"/>
      <c r="BM1300" s="151" t="n"/>
      <c r="BN1300" s="151" t="n"/>
      <c r="BO1300" s="151" t="n"/>
      <c r="BP1300" s="151" t="n"/>
      <c r="BQ1300" s="151" t="n"/>
      <c r="BR1300" s="151" t="n"/>
      <c r="BS1300" s="151" t="n"/>
      <c r="BT1300" s="151" t="n"/>
    </row>
    <row r="1301">
      <c r="BJ1301" s="151" t="n">
        <v>2302</v>
      </c>
      <c r="BK1301" s="151" t="inlineStr">
        <is>
          <t>ACTIVIDADES CULTURALES</t>
        </is>
      </c>
      <c r="BL1301" s="151" t="n"/>
      <c r="BM1301" s="151" t="n"/>
      <c r="BN1301" s="151" t="n"/>
      <c r="BO1301" s="151" t="n"/>
      <c r="BP1301" s="151" t="n"/>
      <c r="BQ1301" s="151" t="n"/>
      <c r="BR1301" s="151" t="n"/>
      <c r="BS1301" s="151" t="n"/>
      <c r="BT1301" s="151" t="n"/>
    </row>
    <row r="1302">
      <c r="BJ1302" s="151" t="n">
        <v>2303</v>
      </c>
      <c r="BK1302" s="151" t="inlineStr">
        <is>
          <t>ACTIVIDADES ECOLOGICAS</t>
        </is>
      </c>
      <c r="BL1302" s="151" t="n"/>
      <c r="BM1302" s="151" t="n"/>
      <c r="BN1302" s="151" t="n"/>
      <c r="BO1302" s="151" t="n"/>
      <c r="BP1302" s="151" t="n"/>
      <c r="BQ1302" s="151" t="n"/>
      <c r="BR1302" s="151" t="n"/>
      <c r="BS1302" s="151" t="n"/>
      <c r="BT1302" s="151" t="n"/>
    </row>
    <row r="1303">
      <c r="BJ1303" s="151" t="n">
        <v>2304</v>
      </c>
      <c r="BK1303" s="151" t="inlineStr">
        <is>
          <t>ACTIVIDADES PARA LA REPRODUCCION DE ESPECIES EN PROTECCION Y PELIGRO DE EXTINCION</t>
        </is>
      </c>
      <c r="BL1303" s="151" t="n"/>
      <c r="BM1303" s="151" t="n"/>
      <c r="BN1303" s="151" t="n"/>
      <c r="BO1303" s="151" t="n"/>
      <c r="BP1303" s="151" t="n"/>
      <c r="BQ1303" s="151" t="n"/>
      <c r="BR1303" s="151" t="n"/>
      <c r="BS1303" s="151" t="n"/>
      <c r="BT1303" s="151" t="n"/>
    </row>
    <row r="1304">
      <c r="BJ1304" s="151" t="n">
        <v>2305</v>
      </c>
      <c r="BK1304" s="151" t="inlineStr">
        <is>
          <t>VENTA FINAL AL PUBLICO EN GENERAL EN TERRITORIO NACIONAL DE GASOLINA Y DIESEL</t>
        </is>
      </c>
      <c r="BL1304" s="151" t="n"/>
      <c r="BM1304" s="151" t="n"/>
      <c r="BN1304" s="151" t="n"/>
      <c r="BO1304" s="151" t="n"/>
      <c r="BP1304" s="151" t="n"/>
      <c r="BQ1304" s="151" t="n"/>
      <c r="BR1304" s="151" t="n"/>
      <c r="BS1304" s="151" t="n"/>
      <c r="BT1304" s="151" t="n"/>
    </row>
    <row r="1305">
      <c r="BJ1305" s="151" t="n">
        <v>2306</v>
      </c>
      <c r="BK1305" s="151" t="inlineStr">
        <is>
          <t>JUEGOS O CONCURSOS DE DESTREZA</t>
        </is>
      </c>
      <c r="BL1305" s="151" t="n"/>
      <c r="BM1305" s="151" t="n"/>
      <c r="BN1305" s="151" t="n"/>
      <c r="BO1305" s="151" t="n"/>
      <c r="BP1305" s="151" t="n"/>
      <c r="BQ1305" s="151" t="n"/>
      <c r="BR1305" s="151" t="n"/>
      <c r="BS1305" s="151" t="n"/>
      <c r="BT1305" s="151" t="n"/>
    </row>
    <row r="1306">
      <c r="BJ1306" s="151" t="n">
        <v>2307</v>
      </c>
      <c r="BK1306" s="151" t="inlineStr">
        <is>
          <t>SOCIEDADES COOPERATIVAS DE AHORRO Y PRESTAMO</t>
        </is>
      </c>
      <c r="BL1306" s="151" t="n"/>
      <c r="BM1306" s="151" t="n"/>
      <c r="BN1306" s="151" t="n"/>
      <c r="BO1306" s="151" t="n"/>
      <c r="BP1306" s="151" t="n"/>
      <c r="BQ1306" s="151" t="n"/>
      <c r="BR1306" s="151" t="n"/>
      <c r="BS1306" s="151" t="n"/>
      <c r="BT1306" s="151" t="n"/>
    </row>
    <row r="1307">
      <c r="BJ1307" s="151" t="n">
        <v>2308</v>
      </c>
      <c r="BK1307" s="151" t="inlineStr">
        <is>
          <t>SOCIEDADES FINANCIERAS COMUNITARIAS</t>
        </is>
      </c>
      <c r="BL1307" s="151" t="n"/>
      <c r="BM1307" s="151" t="n"/>
      <c r="BN1307" s="151" t="n"/>
      <c r="BO1307" s="151" t="n"/>
      <c r="BP1307" s="151" t="n"/>
      <c r="BQ1307" s="151" t="n"/>
      <c r="BR1307" s="151" t="n"/>
      <c r="BS1307" s="151" t="n"/>
      <c r="BT1307" s="151" t="n"/>
    </row>
    <row r="1308">
      <c r="BJ1308" s="151" t="n">
        <v>2309</v>
      </c>
      <c r="BK1308" s="151" t="inlineStr">
        <is>
          <t>ORGANISMOS DE INTEGRACION FINANCIERA RURAL</t>
        </is>
      </c>
      <c r="BL1308" s="151" t="n"/>
      <c r="BM1308" s="151" t="n"/>
      <c r="BN1308" s="151" t="n"/>
      <c r="BO1308" s="151" t="n"/>
      <c r="BP1308" s="151" t="n"/>
      <c r="BQ1308" s="151" t="n"/>
      <c r="BR1308" s="151" t="n"/>
      <c r="BS1308" s="151" t="n"/>
      <c r="BT1308" s="151" t="n"/>
    </row>
    <row r="1309">
      <c r="BJ1309" s="151" t="n">
        <v>2310</v>
      </c>
      <c r="BK1309" s="151" t="inlineStr">
        <is>
          <t>FABRICANTE, PRODUCTOR O ENVASADOR DE CONCENTRADOS, POLVOS Y JARABES PARA PREPARAR BEBIDAS ENERGETIZANTES.</t>
        </is>
      </c>
      <c r="BL1309" s="151" t="n"/>
      <c r="BM1309" s="151" t="n"/>
      <c r="BN1309" s="151" t="n"/>
      <c r="BO1309" s="151" t="n"/>
      <c r="BP1309" s="151" t="n"/>
      <c r="BQ1309" s="151" t="n"/>
      <c r="BR1309" s="151" t="n"/>
      <c r="BS1309" s="151" t="n"/>
      <c r="BT1309" s="151" t="n"/>
    </row>
    <row r="1310">
      <c r="BJ1310" s="151" t="n">
        <v>2311</v>
      </c>
      <c r="BK1310" s="151" t="inlineStr">
        <is>
          <t>FABRICANTE, PRODUCTOR O ENVASADOR DE BEBIDAS ENERGETIZANTES.</t>
        </is>
      </c>
      <c r="BL1310" s="151" t="n"/>
      <c r="BM1310" s="151" t="n"/>
      <c r="BN1310" s="151" t="n"/>
      <c r="BO1310" s="151" t="n"/>
      <c r="BP1310" s="151" t="n"/>
      <c r="BQ1310" s="151" t="n"/>
      <c r="BR1310" s="151" t="n"/>
      <c r="BS1310" s="151" t="n"/>
      <c r="BT1310" s="151" t="n"/>
    </row>
    <row r="1311">
      <c r="BJ1311" s="151" t="n">
        <v>2312</v>
      </c>
      <c r="BK1311" s="151" t="inlineStr">
        <is>
          <t>COMERCIO AL POR MAYOR DE CONCENTRADOS, POLVOS Y JARABES PARA PREPARAR BEBIDAS ENERGETIZANTES.</t>
        </is>
      </c>
      <c r="BL1311" s="151" t="n"/>
      <c r="BM1311" s="151" t="n"/>
      <c r="BN1311" s="151" t="n"/>
      <c r="BO1311" s="151" t="n"/>
      <c r="BP1311" s="151" t="n"/>
      <c r="BQ1311" s="151" t="n"/>
      <c r="BR1311" s="151" t="n"/>
      <c r="BS1311" s="151" t="n"/>
      <c r="BT1311" s="151" t="n"/>
    </row>
    <row r="1312">
      <c r="BJ1312" s="151" t="n">
        <v>2313</v>
      </c>
      <c r="BK1312" s="151" t="inlineStr">
        <is>
          <t>COMERCIO AL POR MAYOR DE BEBIDAS ENERGETIZANTES.</t>
        </is>
      </c>
      <c r="BL1312" s="151" t="n"/>
      <c r="BM1312" s="151" t="n"/>
      <c r="BN1312" s="151" t="n"/>
      <c r="BO1312" s="151" t="n"/>
      <c r="BP1312" s="151" t="n"/>
      <c r="BQ1312" s="151" t="n"/>
      <c r="BR1312" s="151" t="n"/>
      <c r="BS1312" s="151" t="n"/>
      <c r="BT1312" s="151" t="n"/>
    </row>
    <row r="1313">
      <c r="BJ1313" s="151" t="n">
        <v>2314</v>
      </c>
      <c r="BK1313" s="151" t="inlineStr">
        <is>
          <t>COMERCIO AL POR MENOR DE BEBIDAS ENERGETIZANTES ENTREGANDO FACTURA.</t>
        </is>
      </c>
      <c r="BL1313" s="151" t="n"/>
      <c r="BM1313" s="151" t="n"/>
      <c r="BN1313" s="151" t="n"/>
      <c r="BO1313" s="151" t="n"/>
      <c r="BP1313" s="151" t="n"/>
      <c r="BQ1313" s="151" t="n"/>
      <c r="BR1313" s="151" t="n"/>
      <c r="BS1313" s="151" t="n"/>
      <c r="BT1313" s="151" t="n"/>
    </row>
    <row r="1314">
      <c r="BJ1314" s="151" t="n">
        <v>2315</v>
      </c>
      <c r="BK1314" s="151" t="inlineStr">
        <is>
          <t>COMERCIO AL POR MENOR DE CONCENTRADOS, POLVOS Y JARABES PARA PREPARAR BEBIDAS ENERGETIZANTES ENTREGANDO FACTURA.</t>
        </is>
      </c>
      <c r="BL1314" s="151" t="n"/>
      <c r="BM1314" s="151" t="n"/>
      <c r="BN1314" s="151" t="n"/>
      <c r="BO1314" s="151" t="n"/>
      <c r="BP1314" s="151" t="n"/>
      <c r="BQ1314" s="151" t="n"/>
      <c r="BR1314" s="151" t="n"/>
      <c r="BS1314" s="151" t="n"/>
      <c r="BT1314" s="151" t="n"/>
    </row>
    <row r="1315">
      <c r="BJ1315" s="151" t="n">
        <v>2316</v>
      </c>
      <c r="BK1315" s="151" t="inlineStr">
        <is>
          <t>COMERCIO AL POR MENOR DE CONCENTRADOS, POLVOS Y JARABES PARA PREPARAR BEBIDAS ENERGETIZANTES POR EL CUAL SE ENTREGA UN COMPROBANTE SIMPLIFICADO.</t>
        </is>
      </c>
      <c r="BL1315" s="151" t="n"/>
      <c r="BM1315" s="151" t="n"/>
      <c r="BN1315" s="151" t="n"/>
      <c r="BO1315" s="151" t="n"/>
      <c r="BP1315" s="151" t="n"/>
      <c r="BQ1315" s="151" t="n"/>
      <c r="BR1315" s="151" t="n"/>
      <c r="BS1315" s="151" t="n"/>
      <c r="BT1315" s="151" t="n"/>
    </row>
    <row r="1316">
      <c r="BJ1316" s="151" t="n">
        <v>2317</v>
      </c>
      <c r="BK1316" s="151" t="inlineStr">
        <is>
          <t>COMERCIO AL POR MENOR DE BEBIDAS ENERGETIZANTES POR LA CUAL SE ENTREGA UN COMPROBANTE SIMPLIFICADO.</t>
        </is>
      </c>
      <c r="BL1316" s="151" t="n"/>
      <c r="BM1316" s="151" t="n"/>
      <c r="BN1316" s="151" t="n"/>
      <c r="BO1316" s="151" t="n"/>
      <c r="BP1316" s="151" t="n"/>
      <c r="BQ1316" s="151" t="n"/>
      <c r="BR1316" s="151" t="n"/>
      <c r="BS1316" s="151" t="n"/>
      <c r="BT1316" s="151" t="n"/>
    </row>
    <row r="1317">
      <c r="BJ1317" s="151" t="n">
        <v>2318</v>
      </c>
      <c r="BK1317" s="151" t="inlineStr">
        <is>
          <t>OTROS INGRESOS EN EFECTIVO</t>
        </is>
      </c>
      <c r="BL1317" s="151" t="n"/>
      <c r="BM1317" s="151" t="n"/>
      <c r="BN1317" s="151" t="n"/>
      <c r="BO1317" s="151" t="n"/>
      <c r="BP1317" s="151" t="n"/>
      <c r="BQ1317" s="151" t="n"/>
      <c r="BR1317" s="151" t="n"/>
      <c r="BS1317" s="151" t="n"/>
      <c r="BT1317" s="151" t="n"/>
    </row>
    <row r="1318">
      <c r="BJ1318" s="151" t="n">
        <v>2319</v>
      </c>
      <c r="BK1318" s="151" t="inlineStr">
        <is>
          <t>ASALARIADO</t>
        </is>
      </c>
      <c r="BL1318" s="151" t="n"/>
      <c r="BM1318" s="151" t="n"/>
      <c r="BN1318" s="151" t="n"/>
      <c r="BO1318" s="151" t="n"/>
      <c r="BP1318" s="151" t="n"/>
      <c r="BQ1318" s="151" t="n"/>
      <c r="BR1318" s="151" t="n"/>
      <c r="BS1318" s="151" t="n"/>
      <c r="BT1318" s="151" t="n"/>
    </row>
    <row r="1319">
      <c r="BJ1319" s="151" t="n">
        <v>2320</v>
      </c>
      <c r="BK1319" s="151" t="inlineStr">
        <is>
          <t>JUBILADO O PENSIONADO</t>
        </is>
      </c>
      <c r="BL1319" s="151" t="n"/>
      <c r="BM1319" s="151" t="n"/>
      <c r="BN1319" s="151" t="n"/>
      <c r="BO1319" s="151" t="n"/>
      <c r="BP1319" s="151" t="n"/>
      <c r="BQ1319" s="151" t="n"/>
      <c r="BR1319" s="151" t="n"/>
      <c r="BS1319" s="151" t="n"/>
      <c r="BT1319" s="151" t="n"/>
    </row>
    <row r="1320">
      <c r="BJ1320" s="151" t="n">
        <v>2321</v>
      </c>
      <c r="BK1320" s="151" t="inlineStr">
        <is>
          <t>SOCIO O ACCIONISTA</t>
        </is>
      </c>
      <c r="BL1320" s="151" t="n"/>
      <c r="BM1320" s="151" t="n"/>
      <c r="BN1320" s="151" t="n"/>
      <c r="BO1320" s="151" t="n"/>
      <c r="BP1320" s="151" t="n"/>
      <c r="BQ1320" s="151" t="n"/>
      <c r="BR1320" s="151" t="n"/>
      <c r="BS1320" s="151" t="n"/>
      <c r="BT1320" s="151" t="n"/>
    </row>
    <row r="1321">
      <c r="BJ1321" s="151" t="n">
        <v>2322</v>
      </c>
      <c r="BK1321" s="151" t="inlineStr">
        <is>
          <t>REPRODUCCION EN SERIE DE GRABACIONES DE OBRAS MUSICALES, PERMITIENDO A TERCEROS SU PUBLICACION, SIEMPRE QUE LOS BIENES QUE CONTENGAN LAS GRABACIONES, SE DESTINEN PARA SU ENAJENACION AL PUBLICO</t>
        </is>
      </c>
      <c r="BL1321" s="151" t="n"/>
      <c r="BM1321" s="151" t="n"/>
      <c r="BN1321" s="151" t="n"/>
      <c r="BO1321" s="151" t="n"/>
      <c r="BP1321" s="151" t="n"/>
      <c r="BQ1321" s="151" t="n"/>
      <c r="BR1321" s="151" t="n"/>
      <c r="BS1321" s="151" t="n"/>
      <c r="BT1321" s="151" t="n"/>
    </row>
    <row r="1322">
      <c r="BJ1322" s="151" t="n">
        <v>2323</v>
      </c>
      <c r="BK1322" s="151" t="inlineStr">
        <is>
          <t>TRANSMISION TEMPORAL DE DERECHOS PATRIMONIALES U OTORGAMIENTO TEMPORAL DE LICENCIAS DE USO A TERCEROS POR OBRAS DE SU AUTORIA</t>
        </is>
      </c>
      <c r="BL1322" s="151" t="n"/>
      <c r="BM1322" s="151" t="n"/>
      <c r="BN1322" s="151" t="n"/>
      <c r="BO1322" s="151" t="n"/>
      <c r="BP1322" s="151" t="n"/>
      <c r="BQ1322" s="151" t="n"/>
      <c r="BR1322" s="151" t="n"/>
      <c r="BS1322" s="151" t="n"/>
      <c r="BT1322" s="151" t="n"/>
    </row>
    <row r="1323">
      <c r="BJ1323" s="151" t="n">
        <v>2324</v>
      </c>
      <c r="BK1323" s="151" t="inlineStr">
        <is>
          <t>CREACION DE OBRAS COMO IDEAS O FRASES PUBLICITARIAS, LOGOTIPOS, EMBLEMAS, SELLOS DISTINTIVOS, DISE?OS MODELOS INDUSTRIALES, MANUALES OPERATIVOS U OBRAS DE ARTE APLICADO</t>
        </is>
      </c>
      <c r="BL1323" s="151" t="n"/>
      <c r="BM1323" s="151" t="n"/>
      <c r="BN1323" s="151" t="n"/>
      <c r="BO1323" s="151" t="n"/>
      <c r="BP1323" s="151" t="n"/>
      <c r="BQ1323" s="151" t="n"/>
      <c r="BR1323" s="151" t="n"/>
      <c r="BS1323" s="151" t="n"/>
      <c r="BT1323" s="151" t="n"/>
    </row>
    <row r="1324">
      <c r="BJ1324" s="151" t="n">
        <v>2325</v>
      </c>
      <c r="BK1324" s="151" t="inlineStr">
        <is>
          <t>ALQUILER DE INMUEBLES DESTINADOS A HOSPEDAJE A TRAVES DE TERCEROS, SUJETO A REGIMENES FISCALES PREFERENTES</t>
        </is>
      </c>
      <c r="BL1324" s="151" t="n"/>
      <c r="BM1324" s="151" t="n"/>
      <c r="BN1324" s="151" t="n"/>
      <c r="BO1324" s="151" t="n"/>
      <c r="BP1324" s="151" t="n"/>
      <c r="BQ1324" s="151" t="n"/>
      <c r="BR1324" s="151" t="n"/>
      <c r="BS1324" s="151" t="n"/>
      <c r="BT1324" s="151" t="n"/>
    </row>
    <row r="1325">
      <c r="BJ1325" s="151" t="n">
        <v>2326</v>
      </c>
      <c r="BK1325" s="151" t="inlineStr">
        <is>
          <t>ACTIVIDADES SUJETAS A REGIMENES FISCALES PREFERENTES</t>
        </is>
      </c>
      <c r="BL1325" s="151" t="n"/>
      <c r="BM1325" s="151" t="n"/>
      <c r="BN1325" s="151" t="n"/>
      <c r="BO1325" s="151" t="n"/>
      <c r="BP1325" s="151" t="n"/>
      <c r="BQ1325" s="151" t="n"/>
      <c r="BR1325" s="151" t="n"/>
      <c r="BS1325" s="151" t="n"/>
      <c r="BT1325" s="151" t="n"/>
    </row>
    <row r="1326">
      <c r="BJ1326" s="151" t="n">
        <v>2327</v>
      </c>
      <c r="BK1326" s="151" t="inlineStr">
        <is>
          <t>OPERACIONES CON PARTES RELACIONADAS RESIDENTES EN EL EXTRANJERO (MULTINACIONALES)</t>
        </is>
      </c>
      <c r="BL1326" s="151" t="n"/>
      <c r="BM1326" s="151" t="n"/>
      <c r="BN1326" s="151" t="n"/>
      <c r="BO1326" s="151" t="n"/>
      <c r="BP1326" s="151" t="n"/>
      <c r="BQ1326" s="151" t="n"/>
      <c r="BR1326" s="151" t="n"/>
      <c r="BS1326" s="151" t="n"/>
      <c r="BT1326" s="151" t="n"/>
    </row>
    <row r="1327">
      <c r="BJ1327" s="151" t="n">
        <v>2328</v>
      </c>
      <c r="BK1327" s="151" t="inlineStr">
        <is>
          <t>FABRICACION, ELABORACION O COMERCIO DE PLAGUICIDAS</t>
        </is>
      </c>
      <c r="BL1327" s="151" t="n"/>
      <c r="BM1327" s="151" t="n"/>
      <c r="BN1327" s="151" t="n"/>
      <c r="BO1327" s="151" t="n"/>
      <c r="BP1327" s="151" t="n"/>
      <c r="BQ1327" s="151" t="n"/>
      <c r="BR1327" s="151" t="n"/>
      <c r="BS1327" s="151" t="n"/>
      <c r="BT1327" s="151" t="n"/>
    </row>
    <row r="1328">
      <c r="BJ1328" s="151" t="n">
        <v>2329</v>
      </c>
      <c r="BK1328" s="151" t="inlineStr">
        <is>
          <t>FABRICANTE, PRODUCTOR,IMPORTADOR O COMERCIO DE BEBIDAS SABORIZADAS; CONCENTRADOS, POLVOS, JARABES, ESENCIAS EXTRACTOS DE SABORES, QUE CONTENGAN CUALQUIER TIPO DE AZUCARES A?ADIDOS</t>
        </is>
      </c>
      <c r="BL1328" s="151" t="n"/>
      <c r="BM1328" s="151" t="n"/>
      <c r="BN1328" s="151" t="n"/>
      <c r="BO1328" s="151" t="n"/>
      <c r="BP1328" s="151" t="n"/>
      <c r="BQ1328" s="151" t="n"/>
      <c r="BR1328" s="151" t="n"/>
      <c r="BS1328" s="151" t="n"/>
      <c r="BT1328" s="151" t="n"/>
    </row>
    <row r="1329">
      <c r="BJ1329" s="151" t="n">
        <v>2330</v>
      </c>
      <c r="BK1329" s="151" t="inlineStr">
        <is>
          <t>COMERCIO AL POR MAYOR DE DULCES</t>
        </is>
      </c>
      <c r="BL1329" s="151" t="n"/>
      <c r="BM1329" s="151" t="n"/>
      <c r="BN1329" s="151" t="n"/>
      <c r="BO1329" s="151" t="n"/>
      <c r="BP1329" s="151" t="n"/>
      <c r="BQ1329" s="151" t="n"/>
      <c r="BR1329" s="151" t="n"/>
      <c r="BS1329" s="151" t="n"/>
      <c r="BT1329" s="151" t="n"/>
    </row>
    <row r="1330">
      <c r="BJ1330" s="151" t="n">
        <v>2331</v>
      </c>
      <c r="BK1330" s="151" t="inlineStr">
        <is>
          <t>COMERCIO AL POR MENOR DE DULCES</t>
        </is>
      </c>
      <c r="BL1330" s="151" t="n"/>
      <c r="BM1330" s="151" t="n"/>
      <c r="BN1330" s="151" t="n"/>
      <c r="BO1330" s="151" t="n"/>
      <c r="BP1330" s="151" t="n"/>
      <c r="BQ1330" s="151" t="n"/>
      <c r="BR1330" s="151" t="n"/>
      <c r="BS1330" s="151" t="n"/>
      <c r="BT1330" s="151" t="n"/>
    </row>
    <row r="1331">
      <c r="BJ1331" s="151" t="n">
        <v>2332</v>
      </c>
      <c r="BK1331" s="151" t="inlineStr">
        <is>
          <t>ALIMENTOS NO BASICOS: 196, 205, 294, 506, 2330, 2331, SIEMPRE QUE REBASEN DE LOS 275 KILOCALORIAS POR CADA 100 G.</t>
        </is>
      </c>
      <c r="BL1331" s="151" t="n"/>
      <c r="BM1331" s="151" t="n"/>
      <c r="BN1331" s="151" t="n"/>
      <c r="BO1331" s="151" t="n"/>
      <c r="BP1331" s="151" t="n"/>
      <c r="BQ1331" s="151" t="n"/>
      <c r="BR1331" s="151" t="n"/>
      <c r="BS1331" s="151" t="n"/>
      <c r="BT1331" s="151" t="n"/>
    </row>
    <row r="1332">
      <c r="BJ1332" s="151" t="n">
        <v>2333</v>
      </c>
      <c r="BK1332" s="151" t="inlineStr">
        <is>
          <t>SERVICIOS DE ASISTENCIA Y REHABILITACION MEDICA O ATENCION EN ESTABLECIMIENTOS ESPECIALIZADOS.</t>
        </is>
      </c>
      <c r="BL1332" s="151" t="n"/>
      <c r="BM1332" s="151" t="n"/>
      <c r="BN1332" s="151" t="n"/>
      <c r="BO1332" s="151" t="n"/>
      <c r="BP1332" s="151" t="n"/>
      <c r="BQ1332" s="151" t="n"/>
      <c r="BR1332" s="151" t="n"/>
      <c r="BS1332" s="151" t="n"/>
      <c r="BT1332" s="151" t="n"/>
    </row>
    <row r="1333">
      <c r="BJ1333" s="151" t="n">
        <v>2334</v>
      </c>
      <c r="BK1333" s="151" t="inlineStr">
        <is>
          <t>SERVICIOS DE ASISTENCIA JURIDICA, APOYO Y PROMOCION.</t>
        </is>
      </c>
      <c r="BL1333" s="151" t="n"/>
      <c r="BM1333" s="151" t="n"/>
      <c r="BN1333" s="151" t="n"/>
      <c r="BO1333" s="151" t="n"/>
      <c r="BP1333" s="151" t="n"/>
      <c r="BQ1333" s="151" t="n"/>
      <c r="BR1333" s="151" t="n"/>
      <c r="BS1333" s="151" t="n"/>
      <c r="BT1333" s="151" t="n"/>
    </row>
    <row r="1334">
      <c r="BJ1334" s="151" t="n">
        <v>2335</v>
      </c>
      <c r="BK1334" s="151" t="inlineStr">
        <is>
          <t>AYUDA PARA SERVICIOS FUNERARIOS.</t>
        </is>
      </c>
      <c r="BL1334" s="151" t="n"/>
      <c r="BM1334" s="151" t="n"/>
      <c r="BN1334" s="151" t="n"/>
      <c r="BO1334" s="151" t="n"/>
      <c r="BP1334" s="151" t="n"/>
      <c r="BQ1334" s="151" t="n"/>
      <c r="BR1334" s="151" t="n"/>
      <c r="BS1334" s="151" t="n"/>
      <c r="BT1334" s="151" t="n"/>
    </row>
    <row r="1335">
      <c r="BJ1335" s="151" t="n">
        <v>2336</v>
      </c>
      <c r="BK1335" s="151" t="inlineStr">
        <is>
          <t>APOYO PARA EL DESARROLLO DE LOS PUEBLOS Y COMUNIDADES INDIGENAS.</t>
        </is>
      </c>
      <c r="BL1335" s="151" t="n"/>
      <c r="BM1335" s="151" t="n"/>
      <c r="BN1335" s="151" t="n"/>
      <c r="BO1335" s="151" t="n"/>
      <c r="BP1335" s="151" t="n"/>
      <c r="BQ1335" s="151" t="n"/>
      <c r="BR1335" s="151" t="n"/>
      <c r="BS1335" s="151" t="n"/>
      <c r="BT1335" s="151" t="n"/>
    </row>
    <row r="1336">
      <c r="BJ1336" s="151" t="n">
        <v>2337</v>
      </c>
      <c r="BK1336" s="151" t="inlineStr">
        <is>
          <t>APORTACION DE SERVICIOS PARA LA ATENCION A GRUPOS SOCIALES CON DISCAPACIDAD.</t>
        </is>
      </c>
      <c r="BL1336" s="151" t="n"/>
      <c r="BM1336" s="151" t="n"/>
      <c r="BN1336" s="151" t="n"/>
      <c r="BO1336" s="151" t="n"/>
      <c r="BP1336" s="151" t="n"/>
      <c r="BQ1336" s="151" t="n"/>
      <c r="BR1336" s="151" t="n"/>
      <c r="BS1336" s="151" t="n"/>
      <c r="BT1336" s="151" t="n"/>
    </row>
    <row r="1337">
      <c r="BJ1337" s="151" t="n">
        <v>2338</v>
      </c>
      <c r="BK1337" s="151" t="inlineStr">
        <is>
          <t>FOMENTO DE ACCIONES PARA MEJORAR LA ECONOMIA POPULAR.</t>
        </is>
      </c>
      <c r="BL1337" s="151" t="n"/>
      <c r="BM1337" s="151" t="n"/>
      <c r="BN1337" s="151" t="n"/>
      <c r="BO1337" s="151" t="n"/>
      <c r="BP1337" s="151" t="n"/>
      <c r="BQ1337" s="151" t="n"/>
      <c r="BR1337" s="151" t="n"/>
      <c r="BS1337" s="151" t="n"/>
      <c r="BT1337" s="151" t="n"/>
    </row>
    <row r="1338">
      <c r="BJ1338" s="151" t="n">
        <v>2339</v>
      </c>
      <c r="BK1338" s="151" t="inlineStr">
        <is>
          <t>PROMOCION DE LA PARTICIPACION ORGANIZADA DE LA POBLACION, EN BENEFICIO DE LA COMUNIDAD.</t>
        </is>
      </c>
      <c r="BL1338" s="151" t="n"/>
      <c r="BM1338" s="151" t="n"/>
      <c r="BN1338" s="151" t="n"/>
      <c r="BO1338" s="151" t="n"/>
      <c r="BP1338" s="151" t="n"/>
      <c r="BQ1338" s="151" t="n"/>
      <c r="BR1338" s="151" t="n"/>
      <c r="BS1338" s="151" t="n"/>
      <c r="BT1338" s="151" t="n"/>
    </row>
    <row r="1339">
      <c r="BJ1339" s="151" t="n">
        <v>2340</v>
      </c>
      <c r="BK1339" s="151" t="inlineStr">
        <is>
          <t>COMERCIO DE BEBIDAS SABORIZADAS CON AZUCARES A?ADIDOS</t>
        </is>
      </c>
      <c r="BL1339" s="151" t="n"/>
      <c r="BM1339" s="151" t="n"/>
      <c r="BN1339" s="151" t="n"/>
      <c r="BO1339" s="151" t="n"/>
      <c r="BP1339" s="151" t="n"/>
      <c r="BQ1339" s="151" t="n"/>
      <c r="BR1339" s="151" t="n"/>
      <c r="BS1339" s="151" t="n"/>
      <c r="BT1339" s="151" t="n"/>
    </row>
    <row r="1340">
      <c r="BJ1340" s="151" t="n">
        <v>2341</v>
      </c>
      <c r="BK1340" s="151" t="inlineStr">
        <is>
          <t>COMERCIO DE CONCENTRADOS, POLVOS, JARABES, ESENCIAS QUE PERMITAN OBTENER BEBIDAS SABORIZADAS QUE CONTIENEN AZUCARES A?ADIDOS.</t>
        </is>
      </c>
      <c r="BL1340" s="151" t="n"/>
      <c r="BM1340" s="151" t="n"/>
      <c r="BN1340" s="151" t="n"/>
      <c r="BO1340" s="151" t="n"/>
      <c r="BP1340" s="151" t="n"/>
      <c r="BQ1340" s="151" t="n"/>
      <c r="BR1340" s="151" t="n"/>
      <c r="BS1340" s="151" t="n"/>
      <c r="BT1340" s="151" t="n"/>
    </row>
    <row r="1341">
      <c r="BJ1341" s="151" t="n">
        <v>2342</v>
      </c>
      <c r="BK1341" s="151" t="inlineStr">
        <is>
          <t>ELABORACION DE BEBIDAS SABORIZADAS CON AZUCARES A?ADIDOS.</t>
        </is>
      </c>
      <c r="BL1341" s="151" t="n"/>
      <c r="BM1341" s="151" t="n"/>
      <c r="BN1341" s="151" t="n"/>
      <c r="BO1341" s="151" t="n"/>
      <c r="BP1341" s="151" t="n"/>
      <c r="BQ1341" s="151" t="n"/>
      <c r="BR1341" s="151" t="n"/>
      <c r="BS1341" s="151" t="n"/>
      <c r="BT1341" s="151" t="n"/>
    </row>
    <row r="1342">
      <c r="BJ1342" s="151" t="n">
        <v>2343</v>
      </c>
      <c r="BK1342" s="151" t="inlineStr">
        <is>
          <t>FABRICACION O PRODUCCION DE CONCENTRADOS, POLVOS, JARABES, ESENCIAS QUE PERMITAN OBTENER BEBIDAS SABORIZADAS QUE CONTIENEN AZUCARES A?ADIDOS.</t>
        </is>
      </c>
      <c r="BL1342" s="151" t="n"/>
      <c r="BM1342" s="151" t="n"/>
      <c r="BN1342" s="151" t="n"/>
      <c r="BO1342" s="151" t="n"/>
      <c r="BP1342" s="151" t="n"/>
      <c r="BQ1342" s="151" t="n"/>
      <c r="BR1342" s="151" t="n"/>
      <c r="BS1342" s="151" t="n"/>
      <c r="BT1342" s="151" t="n"/>
    </row>
    <row r="1343">
      <c r="BJ1343" s="151" t="n">
        <v>2344</v>
      </c>
      <c r="BK1343" s="151" t="inlineStr">
        <is>
          <t>COMERCIO DE COMBUSTIBLES FOSILES.</t>
        </is>
      </c>
      <c r="BL1343" s="151" t="n"/>
      <c r="BM1343" s="151" t="n"/>
      <c r="BN1343" s="151" t="n"/>
      <c r="BO1343" s="151" t="n"/>
      <c r="BP1343" s="151" t="n"/>
      <c r="BQ1343" s="151" t="n"/>
      <c r="BR1343" s="151" t="n"/>
      <c r="BS1343" s="151" t="n"/>
      <c r="BT1343" s="151" t="n"/>
    </row>
    <row r="1344">
      <c r="BJ1344" s="151" t="n">
        <v>2345</v>
      </c>
      <c r="BK1344" s="151" t="inlineStr">
        <is>
          <t>FABRICACION O PRODUCCION DE COMBUSTIBLES FOSILES.</t>
        </is>
      </c>
      <c r="BL1344" s="151" t="n"/>
      <c r="BM1344" s="151" t="n"/>
      <c r="BN1344" s="151" t="n"/>
      <c r="BO1344" s="151" t="n"/>
      <c r="BP1344" s="151" t="n"/>
      <c r="BQ1344" s="151" t="n"/>
      <c r="BR1344" s="151" t="n"/>
      <c r="BS1344" s="151" t="n"/>
      <c r="BT1344" s="151" t="n"/>
    </row>
    <row r="1345">
      <c r="BJ1345" s="151" t="n">
        <v>2346</v>
      </c>
      <c r="BK1345" s="151" t="inlineStr">
        <is>
          <t>COMERCIO DE PLAGUICIDAS.</t>
        </is>
      </c>
      <c r="BL1345" s="151" t="n"/>
      <c r="BM1345" s="151" t="n"/>
      <c r="BN1345" s="151" t="n"/>
      <c r="BO1345" s="151" t="n"/>
      <c r="BP1345" s="151" t="n"/>
      <c r="BQ1345" s="151" t="n"/>
      <c r="BR1345" s="151" t="n"/>
      <c r="BS1345" s="151" t="n"/>
      <c r="BT1345" s="151" t="n"/>
    </row>
    <row r="1346">
      <c r="BJ1346" s="151" t="n">
        <v>2347</v>
      </c>
      <c r="BK1346" s="151" t="inlineStr">
        <is>
          <t>FABRICACION O PRODUCCION DE PLAGUICIDAS.</t>
        </is>
      </c>
      <c r="BL1346" s="151" t="n"/>
      <c r="BM1346" s="151" t="n"/>
      <c r="BN1346" s="151" t="n"/>
      <c r="BO1346" s="151" t="n"/>
      <c r="BP1346" s="151" t="n"/>
      <c r="BQ1346" s="151" t="n"/>
      <c r="BR1346" s="151" t="n"/>
      <c r="BS1346" s="151" t="n"/>
      <c r="BT1346" s="151" t="n"/>
    </row>
    <row r="1347">
      <c r="BJ1347" s="151" t="n">
        <v>2348</v>
      </c>
      <c r="BK1347" s="151" t="inlineStr">
        <is>
          <t>COMERCIO DE ALIMENTOS BASICOS CON ALTA DENSIDAD CALORICA.</t>
        </is>
      </c>
      <c r="BL1347" s="151" t="n"/>
      <c r="BM1347" s="151" t="n"/>
      <c r="BN1347" s="151" t="n"/>
      <c r="BO1347" s="151" t="n"/>
      <c r="BP1347" s="151" t="n"/>
      <c r="BQ1347" s="151" t="n"/>
      <c r="BR1347" s="151" t="n"/>
      <c r="BS1347" s="151" t="n"/>
      <c r="BT1347" s="151" t="n"/>
    </row>
    <row r="1348">
      <c r="BJ1348" s="151" t="n">
        <v>2349</v>
      </c>
      <c r="BK1348" s="151" t="inlineStr">
        <is>
          <t>ELABORACION DE ALIMENTOS BASICOS CON ALTA DENSIDAD CALORICA.</t>
        </is>
      </c>
      <c r="BL1348" s="151" t="n"/>
      <c r="BM1348" s="151" t="n"/>
      <c r="BN1348" s="151" t="n"/>
      <c r="BO1348" s="151" t="n"/>
      <c r="BP1348" s="151" t="n"/>
      <c r="BQ1348" s="151" t="n"/>
      <c r="BR1348" s="151" t="n"/>
      <c r="BS1348" s="151" t="n"/>
      <c r="BT1348" s="151" t="n"/>
    </row>
    <row r="1349">
      <c r="BJ1349" s="151" t="n">
        <v>2350</v>
      </c>
      <c r="BK1349" s="151" t="inlineStr">
        <is>
          <t>PROMOCION DE LA EQUIDAD DE GENERO.</t>
        </is>
      </c>
      <c r="BL1349" s="151" t="n"/>
      <c r="BM1349" s="151" t="n"/>
      <c r="BN1349" s="151" t="n"/>
      <c r="BO1349" s="151" t="n"/>
      <c r="BP1349" s="151" t="n"/>
      <c r="BQ1349" s="151" t="n"/>
      <c r="BR1349" s="151" t="n"/>
      <c r="BS1349" s="151" t="n"/>
      <c r="BT1349" s="151" t="n"/>
    </row>
    <row r="1350">
      <c r="BJ1350" s="151" t="n">
        <v>2351</v>
      </c>
      <c r="BK1350" s="151" t="inlineStr">
        <is>
          <t>ASOCIACIONES Y ORGANIZACIONES ENFOCADAS A PROMOVER LA PARTICIPACION CIUDADANA EN ASUNTOS DE INTERES PUBLICO.</t>
        </is>
      </c>
      <c r="BL1350" s="151" t="n"/>
      <c r="BM1350" s="151" t="n"/>
      <c r="BN1350" s="151" t="n"/>
      <c r="BO1350" s="151" t="n"/>
      <c r="BP1350" s="151" t="n"/>
      <c r="BQ1350" s="151" t="n"/>
      <c r="BR1350" s="151" t="n"/>
      <c r="BS1350" s="151" t="n"/>
      <c r="BT1350" s="151" t="n"/>
    </row>
    <row r="1351">
      <c r="BJ1351" s="151" t="n">
        <v>2352</v>
      </c>
      <c r="BK1351" s="151" t="inlineStr">
        <is>
          <t>PARTICIPACION EN ACCIONES DE PROTECCION CIVIL.</t>
        </is>
      </c>
      <c r="BL1351" s="151" t="n"/>
      <c r="BM1351" s="151" t="n"/>
      <c r="BN1351" s="151" t="n"/>
      <c r="BO1351" s="151" t="n"/>
      <c r="BP1351" s="151" t="n"/>
      <c r="BQ1351" s="151" t="n"/>
      <c r="BR1351" s="151" t="n"/>
      <c r="BS1351" s="151" t="n"/>
      <c r="BT1351" s="151" t="n"/>
    </row>
    <row r="1352">
      <c r="BJ1352" s="151" t="n">
        <v>2353</v>
      </c>
      <c r="BK1352" s="151" t="inlineStr">
        <is>
          <t>CREACION Y FORTALECIMIENTO DE ORGANIZACIONES QUE REALICEN ACTIVIDADES DE FOMENTO.</t>
        </is>
      </c>
      <c r="BL1352" s="151" t="n"/>
      <c r="BM1352" s="151" t="n"/>
      <c r="BN1352" s="151" t="n"/>
      <c r="BO1352" s="151" t="n"/>
      <c r="BP1352" s="151" t="n"/>
      <c r="BQ1352" s="151" t="n"/>
      <c r="BR1352" s="151" t="n"/>
      <c r="BS1352" s="151" t="n"/>
      <c r="BT1352" s="151" t="n"/>
    </row>
    <row r="1353">
      <c r="BJ1353" s="151" t="n">
        <v>2354</v>
      </c>
      <c r="BK1353" s="151" t="inlineStr">
        <is>
          <t>PROMOCION Y DEFENSA DE LOS DERECHOS DE LOS CONSUMIDORES.</t>
        </is>
      </c>
      <c r="BL1353" s="151" t="n"/>
      <c r="BM1353" s="151" t="n"/>
      <c r="BN1353" s="151" t="n"/>
      <c r="BO1353" s="151" t="n"/>
      <c r="BP1353" s="151" t="n"/>
      <c r="BQ1353" s="151" t="n"/>
      <c r="BR1353" s="151" t="n"/>
      <c r="BS1353" s="151" t="n"/>
      <c r="BT1353" s="151" t="n"/>
    </row>
    <row r="1354">
      <c r="BJ1354" s="151" t="n">
        <v>2355</v>
      </c>
      <c r="BK1354" s="151" t="inlineStr">
        <is>
          <t>SERVICIOS DE ASISTENCIA Y REHABILITACION MEDICA O ATENCION EN ESTABLECIMIENTOS ESPECIALIZADOS.</t>
        </is>
      </c>
      <c r="BL1354" s="151" t="n"/>
      <c r="BM1354" s="151" t="n"/>
      <c r="BN1354" s="151" t="n"/>
      <c r="BO1354" s="151" t="n"/>
      <c r="BP1354" s="151" t="n"/>
      <c r="BQ1354" s="151" t="n"/>
      <c r="BR1354" s="151" t="n"/>
      <c r="BS1354" s="151" t="n"/>
      <c r="BT1354" s="151" t="n"/>
    </row>
    <row r="1355">
      <c r="BJ1355" s="151" t="n">
        <v>2356</v>
      </c>
      <c r="BK1355" s="151" t="inlineStr">
        <is>
          <t>APORTACION DE SERVICIOS PARA LA ATENCION A GRUPOS SOCIALES CON DISCAPACIDAD.</t>
        </is>
      </c>
      <c r="BL1355" s="151" t="n"/>
      <c r="BM1355" s="151" t="n"/>
      <c r="BN1355" s="151" t="n"/>
      <c r="BO1355" s="151" t="n"/>
      <c r="BP1355" s="151" t="n"/>
      <c r="BQ1355" s="151" t="n"/>
      <c r="BR1355" s="151" t="n"/>
      <c r="BS1355" s="151" t="n"/>
      <c r="BT1355" s="151" t="n"/>
    </row>
    <row r="1356">
      <c r="BJ1356" s="151" t="n">
        <v>2357</v>
      </c>
      <c r="BK1356" s="151" t="inlineStr">
        <is>
          <t>SERVICIOS DE ASISTENCIA JURIDICA, APOYO Y PROMOCION.</t>
        </is>
      </c>
      <c r="BL1356" s="151" t="n"/>
      <c r="BM1356" s="151" t="n"/>
      <c r="BN1356" s="151" t="n"/>
      <c r="BO1356" s="151" t="n"/>
      <c r="BP1356" s="151" t="n"/>
      <c r="BQ1356" s="151" t="n"/>
      <c r="BR1356" s="151" t="n"/>
      <c r="BS1356" s="151" t="n"/>
      <c r="BT1356" s="151" t="n"/>
    </row>
    <row r="1357">
      <c r="BJ1357" s="151" t="n">
        <v>2358</v>
      </c>
      <c r="BK1357" s="151" t="inlineStr">
        <is>
          <t>AYUDA PARA SERVICIOS FUNERARIOS.</t>
        </is>
      </c>
      <c r="BL1357" s="151" t="n"/>
      <c r="BM1357" s="151" t="n"/>
      <c r="BN1357" s="151" t="n"/>
      <c r="BO1357" s="151" t="n"/>
      <c r="BP1357" s="151" t="n"/>
      <c r="BQ1357" s="151" t="n"/>
      <c r="BR1357" s="151" t="n"/>
      <c r="BS1357" s="151" t="n"/>
      <c r="BT1357" s="151" t="n"/>
    </row>
    <row r="1358">
      <c r="BJ1358" s="151" t="n">
        <v>2359</v>
      </c>
      <c r="BK1358" s="151" t="inlineStr">
        <is>
          <t>APOYO EN EL APROVECHAMIENTO DE LOS RECURSOS NATURALES.</t>
        </is>
      </c>
      <c r="BL1358" s="151" t="n"/>
      <c r="BM1358" s="151" t="n"/>
      <c r="BN1358" s="151" t="n"/>
      <c r="BO1358" s="151" t="n"/>
      <c r="BP1358" s="151" t="n"/>
      <c r="BQ1358" s="151" t="n"/>
      <c r="BR1358" s="151" t="n"/>
      <c r="BS1358" s="151" t="n"/>
      <c r="BT1358" s="151" t="n"/>
    </row>
    <row r="1359">
      <c r="BJ1359" s="151" t="n">
        <v>2360</v>
      </c>
      <c r="BK1359" s="151" t="inlineStr">
        <is>
          <t>ASOCIACIONES O SOCIEDADES CIVILES QUE OTORGUEN BECAS</t>
        </is>
      </c>
      <c r="BL1359" s="151" t="n"/>
      <c r="BM1359" s="151" t="n"/>
      <c r="BN1359" s="151" t="n"/>
      <c r="BO1359" s="151" t="n"/>
      <c r="BP1359" s="151" t="n"/>
      <c r="BQ1359" s="151" t="n"/>
      <c r="BR1359" s="151" t="n"/>
      <c r="BS1359" s="151" t="n"/>
      <c r="BT1359" s="151" t="n"/>
    </row>
    <row r="1360">
      <c r="BJ1360" s="151" t="n">
        <v>2361</v>
      </c>
      <c r="BK1360" s="151" t="inlineStr">
        <is>
          <t>ASOCIACIONES DEPORTIVAS RECONOCIDAS POR LA COMISION NACIONAL DEL DEPORTE</t>
        </is>
      </c>
      <c r="BL1360" s="151" t="n"/>
      <c r="BM1360" s="151" t="n"/>
      <c r="BN1360" s="151" t="n"/>
      <c r="BO1360" s="151" t="n"/>
      <c r="BP1360" s="151" t="n"/>
      <c r="BQ1360" s="151" t="n"/>
      <c r="BR1360" s="151" t="n"/>
      <c r="BS1360" s="151" t="n"/>
      <c r="BT1360" s="151" t="n"/>
    </row>
    <row r="1361">
      <c r="BJ1361" s="151" t="n">
        <v>2362</v>
      </c>
      <c r="BK1361" s="151" t="inlineStr">
        <is>
          <t>TRANSPORTE TERRESTRE FORANEO DE PASAJEROS</t>
        </is>
      </c>
      <c r="BL1361" s="151" t="n"/>
      <c r="BM1361" s="151" t="n"/>
      <c r="BN1361" s="151" t="n"/>
      <c r="BO1361" s="151" t="n"/>
      <c r="BP1361" s="151" t="n"/>
      <c r="BQ1361" s="151" t="n"/>
      <c r="BR1361" s="151" t="n"/>
      <c r="BS1361" s="151" t="n"/>
      <c r="BT1361" s="151" t="n"/>
    </row>
    <row r="1362">
      <c r="BJ1362" s="151" t="n">
        <v>100000</v>
      </c>
      <c r="BK1362" s="151" t="inlineStr">
        <is>
          <t>RETENEDOR PURO</t>
        </is>
      </c>
      <c r="BL1362" s="151" t="n"/>
      <c r="BM1362" s="151" t="n"/>
      <c r="BN1362" s="151" t="n"/>
      <c r="BO1362" s="151" t="n"/>
      <c r="BP1362" s="151" t="n"/>
      <c r="BQ1362" s="151" t="n"/>
      <c r="BR1362" s="151" t="n"/>
      <c r="BS1362" s="151" t="n"/>
      <c r="BT1362" s="151" t="n"/>
    </row>
    <row r="1363">
      <c r="BJ1363" s="151" t="n">
        <v>111101</v>
      </c>
      <c r="BK1363" s="151" t="inlineStr">
        <is>
          <t>CULTIVO DE HORTALIZAS Y FLORES</t>
        </is>
      </c>
      <c r="BL1363" s="151" t="n"/>
      <c r="BM1363" s="151" t="n"/>
      <c r="BN1363" s="151" t="n"/>
      <c r="BO1363" s="151" t="n"/>
      <c r="BP1363" s="151" t="n"/>
      <c r="BQ1363" s="151" t="n"/>
      <c r="BR1363" s="151" t="n"/>
      <c r="BS1363" s="151" t="n"/>
      <c r="BT1363" s="151" t="n"/>
    </row>
    <row r="1364">
      <c r="BJ1364" s="151" t="n">
        <v>111102</v>
      </c>
      <c r="BK1364" s="151" t="inlineStr">
        <is>
          <t>CULTIVO DE RIEGO DE CICLO CORTO</t>
        </is>
      </c>
      <c r="BL1364" s="151" t="n"/>
      <c r="BM1364" s="151" t="n"/>
      <c r="BN1364" s="151" t="n"/>
      <c r="BO1364" s="151" t="n"/>
      <c r="BP1364" s="151" t="n"/>
      <c r="BQ1364" s="151" t="n"/>
      <c r="BR1364" s="151" t="n"/>
      <c r="BS1364" s="151" t="n"/>
      <c r="BT1364" s="151" t="n"/>
    </row>
    <row r="1365">
      <c r="BJ1365" s="151" t="n">
        <v>111103</v>
      </c>
      <c r="BK1365" s="151" t="inlineStr">
        <is>
          <t>CULTIVO DE TEMPORAL DE CICLO CORTO</t>
        </is>
      </c>
      <c r="BL1365" s="151" t="n"/>
      <c r="BM1365" s="151" t="n"/>
      <c r="BN1365" s="151" t="n"/>
      <c r="BO1365" s="151" t="n"/>
      <c r="BP1365" s="151" t="n"/>
      <c r="BQ1365" s="151" t="n"/>
      <c r="BR1365" s="151" t="n"/>
      <c r="BS1365" s="151" t="n"/>
      <c r="BT1365" s="151" t="n"/>
    </row>
    <row r="1366">
      <c r="BJ1366" s="151" t="n">
        <v>111104</v>
      </c>
      <c r="BK1366" s="151" t="inlineStr">
        <is>
          <t>CULTIVO CICLO CORTO ASOCIADO OTRA ACTIVIDADES AGRICOLAS</t>
        </is>
      </c>
      <c r="BL1366" s="151" t="n"/>
      <c r="BM1366" s="151" t="n"/>
      <c r="BN1366" s="151" t="n"/>
      <c r="BO1366" s="151" t="n"/>
      <c r="BP1366" s="151" t="n"/>
      <c r="BQ1366" s="151" t="n"/>
      <c r="BR1366" s="151" t="n"/>
      <c r="BS1366" s="151" t="n"/>
      <c r="BT1366" s="151" t="n"/>
    </row>
    <row r="1367">
      <c r="BJ1367" s="151" t="n">
        <v>111105</v>
      </c>
      <c r="BK1367" s="151" t="inlineStr">
        <is>
          <t>CULTIVO DE CITRICOS</t>
        </is>
      </c>
      <c r="BL1367" s="151" t="n"/>
      <c r="BM1367" s="151" t="n"/>
      <c r="BN1367" s="151" t="n"/>
      <c r="BO1367" s="151" t="n"/>
      <c r="BP1367" s="151" t="n"/>
      <c r="BQ1367" s="151" t="n"/>
      <c r="BR1367" s="151" t="n"/>
      <c r="BS1367" s="151" t="n"/>
      <c r="BT1367" s="151" t="n"/>
    </row>
    <row r="1368">
      <c r="BJ1368" s="151" t="n">
        <v>111106</v>
      </c>
      <c r="BK1368" s="151" t="inlineStr">
        <is>
          <t>CULTIVO DE CAFE</t>
        </is>
      </c>
      <c r="BL1368" s="151" t="n"/>
      <c r="BM1368" s="151" t="n"/>
      <c r="BN1368" s="151" t="n"/>
      <c r="BO1368" s="151" t="n"/>
      <c r="BP1368" s="151" t="n"/>
      <c r="BQ1368" s="151" t="n"/>
      <c r="BR1368" s="151" t="n"/>
      <c r="BS1368" s="151" t="n"/>
      <c r="BT1368" s="151" t="n"/>
    </row>
    <row r="1369">
      <c r="BJ1369" s="151" t="n">
        <v>111107</v>
      </c>
      <c r="BK1369" s="151" t="inlineStr">
        <is>
          <t>CULTIVO DE CAÑA DE AZUCAR</t>
        </is>
      </c>
      <c r="BL1369" s="151" t="n"/>
      <c r="BM1369" s="151" t="n"/>
      <c r="BN1369" s="151" t="n"/>
      <c r="BO1369" s="151" t="n"/>
      <c r="BP1369" s="151" t="n"/>
      <c r="BQ1369" s="151" t="n"/>
      <c r="BR1369" s="151" t="n"/>
      <c r="BS1369" s="151" t="n"/>
      <c r="BT1369" s="151" t="n"/>
    </row>
    <row r="1370">
      <c r="BJ1370" s="151" t="n">
        <v>111108</v>
      </c>
      <c r="BK1370" s="151" t="inlineStr">
        <is>
          <t>CULTIVO DE VID</t>
        </is>
      </c>
      <c r="BL1370" s="151" t="n"/>
      <c r="BM1370" s="151" t="n"/>
      <c r="BN1370" s="151" t="n"/>
      <c r="BO1370" s="151" t="n"/>
      <c r="BP1370" s="151" t="n"/>
      <c r="BQ1370" s="151" t="n"/>
      <c r="BR1370" s="151" t="n"/>
      <c r="BS1370" s="151" t="n"/>
      <c r="BT1370" s="151" t="n"/>
    </row>
    <row r="1371">
      <c r="BJ1371" s="151" t="n">
        <v>111109</v>
      </c>
      <c r="BK1371" s="151" t="inlineStr">
        <is>
          <t>CULTIVO DE TABACO</t>
        </is>
      </c>
      <c r="BL1371" s="151" t="n"/>
      <c r="BM1371" s="151" t="n"/>
      <c r="BN1371" s="151" t="n"/>
      <c r="BO1371" s="151" t="n"/>
      <c r="BP1371" s="151" t="n"/>
      <c r="BQ1371" s="151" t="n"/>
      <c r="BR1371" s="151" t="n"/>
      <c r="BS1371" s="151" t="n"/>
      <c r="BT1371" s="151" t="n"/>
    </row>
    <row r="1372">
      <c r="BJ1372" s="151" t="n">
        <v>111110</v>
      </c>
      <c r="BK1372" s="151" t="inlineStr">
        <is>
          <t>CULTIVO DE PALMA DE COCO</t>
        </is>
      </c>
      <c r="BL1372" s="151" t="n"/>
      <c r="BM1372" s="151" t="n"/>
      <c r="BN1372" s="151" t="n"/>
      <c r="BO1372" s="151" t="n"/>
      <c r="BP1372" s="151" t="n"/>
      <c r="BQ1372" s="151" t="n"/>
      <c r="BR1372" s="151" t="n"/>
      <c r="BS1372" s="151" t="n"/>
      <c r="BT1372" s="151" t="n"/>
    </row>
    <row r="1373">
      <c r="BJ1373" s="151" t="n">
        <v>111111</v>
      </c>
      <c r="BK1373" s="151" t="inlineStr">
        <is>
          <t>CULTIVO DE AGAVES ALCOHOLEROS</t>
        </is>
      </c>
      <c r="BL1373" s="151" t="n"/>
      <c r="BM1373" s="151" t="n"/>
      <c r="BN1373" s="151" t="n"/>
      <c r="BO1373" s="151" t="n"/>
      <c r="BP1373" s="151" t="n"/>
      <c r="BQ1373" s="151" t="n"/>
      <c r="BR1373" s="151" t="n"/>
      <c r="BS1373" s="151" t="n"/>
      <c r="BT1373" s="151" t="n"/>
    </row>
    <row r="1374">
      <c r="BJ1374" s="151" t="n">
        <v>111112</v>
      </c>
      <c r="BK1374" s="151" t="inlineStr">
        <is>
          <t>CULTIVO DE AGAVES DE FIBRAS</t>
        </is>
      </c>
      <c r="BL1374" s="151" t="n"/>
      <c r="BM1374" s="151" t="n"/>
      <c r="BN1374" s="151" t="n"/>
      <c r="BO1374" s="151" t="n"/>
      <c r="BP1374" s="151" t="n"/>
      <c r="BQ1374" s="151" t="n"/>
      <c r="BR1374" s="151" t="n"/>
      <c r="BS1374" s="151" t="n"/>
      <c r="BT1374" s="151" t="n"/>
    </row>
    <row r="1375">
      <c r="BJ1375" s="151" t="n">
        <v>111113</v>
      </c>
      <c r="BK1375" s="151" t="inlineStr">
        <is>
          <t>OTROS CULTIVOS PERENNES DE ZONAS TEMPLADAS</t>
        </is>
      </c>
      <c r="BL1375" s="151" t="n"/>
      <c r="BM1375" s="151" t="n"/>
      <c r="BN1375" s="151" t="n"/>
      <c r="BO1375" s="151" t="n"/>
      <c r="BP1375" s="151" t="n"/>
      <c r="BQ1375" s="151" t="n"/>
      <c r="BR1375" s="151" t="n"/>
      <c r="BS1375" s="151" t="n"/>
      <c r="BT1375" s="151" t="n"/>
    </row>
    <row r="1376">
      <c r="BJ1376" s="151" t="n">
        <v>111114</v>
      </c>
      <c r="BK1376" s="151" t="inlineStr">
        <is>
          <t>OTROS CULTIVOS PERENNES DE ZONAS TROPICALES</t>
        </is>
      </c>
      <c r="BL1376" s="151" t="n"/>
      <c r="BM1376" s="151" t="n"/>
      <c r="BN1376" s="151" t="n"/>
      <c r="BO1376" s="151" t="n"/>
      <c r="BP1376" s="151" t="n"/>
      <c r="BQ1376" s="151" t="n"/>
      <c r="BR1376" s="151" t="n"/>
      <c r="BS1376" s="151" t="n"/>
      <c r="BT1376" s="151" t="n"/>
    </row>
    <row r="1377">
      <c r="BJ1377" s="151" t="n">
        <v>111201</v>
      </c>
      <c r="BK1377" s="151" t="inlineStr">
        <is>
          <t>GANADERIA DE BOVINOS DE CARNE</t>
        </is>
      </c>
      <c r="BL1377" s="151" t="n"/>
      <c r="BM1377" s="151" t="n"/>
      <c r="BN1377" s="151" t="n"/>
      <c r="BO1377" s="151" t="n"/>
      <c r="BP1377" s="151" t="n"/>
      <c r="BQ1377" s="151" t="n"/>
      <c r="BR1377" s="151" t="n"/>
      <c r="BS1377" s="151" t="n"/>
      <c r="BT1377" s="151" t="n"/>
    </row>
    <row r="1378">
      <c r="BJ1378" s="151" t="n">
        <v>111202</v>
      </c>
      <c r="BK1378" s="151" t="inlineStr">
        <is>
          <t>GANADERIA DE BOVINOS DE LECHE</t>
        </is>
      </c>
      <c r="BL1378" s="151" t="n"/>
      <c r="BM1378" s="151" t="n"/>
      <c r="BN1378" s="151" t="n"/>
      <c r="BO1378" s="151" t="n"/>
      <c r="BP1378" s="151" t="n"/>
      <c r="BQ1378" s="151" t="n"/>
      <c r="BR1378" s="151" t="n"/>
      <c r="BS1378" s="151" t="n"/>
      <c r="BT1378" s="151" t="n"/>
    </row>
    <row r="1379">
      <c r="BJ1379" s="151" t="n">
        <v>111203</v>
      </c>
      <c r="BK1379" s="151" t="inlineStr">
        <is>
          <t>GANADERIA DE BOVINOS DE DOBLE PROPOSITO</t>
        </is>
      </c>
      <c r="BL1379" s="151" t="n"/>
      <c r="BM1379" s="151" t="n"/>
      <c r="BN1379" s="151" t="n"/>
      <c r="BO1379" s="151" t="n"/>
      <c r="BP1379" s="151" t="n"/>
      <c r="BQ1379" s="151" t="n"/>
      <c r="BR1379" s="151" t="n"/>
      <c r="BS1379" s="151" t="n"/>
      <c r="BT1379" s="151" t="n"/>
    </row>
    <row r="1380">
      <c r="BJ1380" s="151" t="n">
        <v>111204</v>
      </c>
      <c r="BK1380" s="151" t="inlineStr">
        <is>
          <t>GANADERIA DE OVICAPRINOS</t>
        </is>
      </c>
      <c r="BL1380" s="151" t="n"/>
      <c r="BM1380" s="151" t="n"/>
      <c r="BN1380" s="151" t="n"/>
      <c r="BO1380" s="151" t="n"/>
      <c r="BP1380" s="151" t="n"/>
      <c r="BQ1380" s="151" t="n"/>
      <c r="BR1380" s="151" t="n"/>
      <c r="BS1380" s="151" t="n"/>
      <c r="BT1380" s="151" t="n"/>
    </row>
    <row r="1381">
      <c r="BJ1381" s="151" t="n">
        <v>111205</v>
      </c>
      <c r="BK1381" s="151" t="inlineStr">
        <is>
          <t>GANADERIA DE EQUINOS</t>
        </is>
      </c>
      <c r="BL1381" s="151" t="n"/>
      <c r="BM1381" s="151" t="n"/>
      <c r="BN1381" s="151" t="n"/>
      <c r="BO1381" s="151" t="n"/>
      <c r="BP1381" s="151" t="n"/>
      <c r="BQ1381" s="151" t="n"/>
      <c r="BR1381" s="151" t="n"/>
      <c r="BS1381" s="151" t="n"/>
      <c r="BT1381" s="151" t="n"/>
    </row>
    <row r="1382">
      <c r="BJ1382" s="151" t="n">
        <v>111206</v>
      </c>
      <c r="BK1382" s="151" t="inlineStr">
        <is>
          <t>CRIA DE PORCINOS</t>
        </is>
      </c>
      <c r="BL1382" s="151" t="n"/>
      <c r="BM1382" s="151" t="n"/>
      <c r="BN1382" s="151" t="n"/>
      <c r="BO1382" s="151" t="n"/>
      <c r="BP1382" s="151" t="n"/>
      <c r="BQ1382" s="151" t="n"/>
      <c r="BR1382" s="151" t="n"/>
      <c r="BS1382" s="151" t="n"/>
      <c r="BT1382" s="151" t="n"/>
    </row>
    <row r="1383">
      <c r="BJ1383" s="151" t="n">
        <v>111207</v>
      </c>
      <c r="BK1383" s="151" t="inlineStr">
        <is>
          <t>AVICULTURA Y ACTIVIDADES DE INCUBADORA</t>
        </is>
      </c>
      <c r="BL1383" s="151" t="n"/>
      <c r="BM1383" s="151" t="n"/>
      <c r="BN1383" s="151" t="n"/>
      <c r="BO1383" s="151" t="n"/>
      <c r="BP1383" s="151" t="n"/>
      <c r="BQ1383" s="151" t="n"/>
      <c r="BR1383" s="151" t="n"/>
      <c r="BS1383" s="151" t="n"/>
      <c r="BT1383" s="151" t="n"/>
    </row>
    <row r="1384">
      <c r="BJ1384" s="151" t="n">
        <v>111208</v>
      </c>
      <c r="BK1384" s="151" t="inlineStr">
        <is>
          <t>APICULTURA</t>
        </is>
      </c>
      <c r="BL1384" s="151" t="n"/>
      <c r="BM1384" s="151" t="n"/>
      <c r="BN1384" s="151" t="n"/>
      <c r="BO1384" s="151" t="n"/>
      <c r="BP1384" s="151" t="n"/>
      <c r="BQ1384" s="151" t="n"/>
      <c r="BR1384" s="151" t="n"/>
      <c r="BS1384" s="151" t="n"/>
      <c r="BT1384" s="151" t="n"/>
    </row>
    <row r="1385">
      <c r="BJ1385" s="151" t="n">
        <v>111209</v>
      </c>
      <c r="BK1385" s="151" t="inlineStr">
        <is>
          <t>CUNICULTURA</t>
        </is>
      </c>
      <c r="BL1385" s="151" t="n"/>
      <c r="BM1385" s="151" t="n"/>
      <c r="BN1385" s="151" t="n"/>
      <c r="BO1385" s="151" t="n"/>
      <c r="BP1385" s="151" t="n"/>
      <c r="BQ1385" s="151" t="n"/>
      <c r="BR1385" s="151" t="n"/>
      <c r="BS1385" s="151" t="n"/>
      <c r="BT1385" s="151" t="n"/>
    </row>
    <row r="1386">
      <c r="BJ1386" s="151" t="n">
        <v>111210</v>
      </c>
      <c r="BK1386" s="151" t="inlineStr">
        <is>
          <t>CRIA DE OTROS ANIMALES</t>
        </is>
      </c>
      <c r="BL1386" s="151" t="n"/>
      <c r="BM1386" s="151" t="n"/>
      <c r="BN1386" s="151" t="n"/>
      <c r="BO1386" s="151" t="n"/>
      <c r="BP1386" s="151" t="n"/>
      <c r="BQ1386" s="151" t="n"/>
      <c r="BR1386" s="151" t="n"/>
      <c r="BS1386" s="151" t="n"/>
      <c r="BT1386" s="151" t="n"/>
    </row>
    <row r="1387">
      <c r="BJ1387" s="151" t="n">
        <v>111211</v>
      </c>
      <c r="BK1387" s="151" t="inlineStr">
        <is>
          <t>GANADERIA ASOCIADA  A OTRAS ACTIVIDADES AGRICOLAS FORESTALES</t>
        </is>
      </c>
      <c r="BL1387" s="151" t="n"/>
      <c r="BM1387" s="151" t="n"/>
      <c r="BN1387" s="151" t="n"/>
      <c r="BO1387" s="151" t="n"/>
      <c r="BP1387" s="151" t="n"/>
      <c r="BQ1387" s="151" t="n"/>
      <c r="BR1387" s="151" t="n"/>
      <c r="BS1387" s="151" t="n"/>
      <c r="BT1387" s="151" t="n"/>
    </row>
    <row r="1388">
      <c r="BJ1388" s="151" t="n">
        <v>111212</v>
      </c>
      <c r="BK1388" s="151" t="inlineStr">
        <is>
          <t>CAZA</t>
        </is>
      </c>
      <c r="BL1388" s="151" t="n"/>
      <c r="BM1388" s="151" t="n"/>
      <c r="BN1388" s="151" t="n"/>
      <c r="BO1388" s="151" t="n"/>
      <c r="BP1388" s="151" t="n"/>
      <c r="BQ1388" s="151" t="n"/>
      <c r="BR1388" s="151" t="n"/>
      <c r="BS1388" s="151" t="n"/>
      <c r="BT1388" s="151" t="n"/>
    </row>
    <row r="1389">
      <c r="BJ1389" s="151" t="n">
        <v>112010</v>
      </c>
      <c r="BK1389" s="151" t="inlineStr">
        <is>
          <t>PRESTACION DE SERVICIO DE AGRICULTURA Y HORTICULTURA</t>
        </is>
      </c>
      <c r="BL1389" s="151" t="n"/>
      <c r="BM1389" s="151" t="n"/>
      <c r="BN1389" s="151" t="n"/>
      <c r="BO1389" s="151" t="n"/>
      <c r="BP1389" s="151" t="n"/>
      <c r="BQ1389" s="151" t="n"/>
      <c r="BR1389" s="151" t="n"/>
      <c r="BS1389" s="151" t="n"/>
      <c r="BT1389" s="151" t="n"/>
    </row>
    <row r="1390">
      <c r="BJ1390" s="151" t="n">
        <v>112020</v>
      </c>
      <c r="BK1390" s="151" t="inlineStr">
        <is>
          <t>PRESTACION DE SERVICIOS A LA GANADERIA</t>
        </is>
      </c>
      <c r="BL1390" s="151" t="n"/>
      <c r="BM1390" s="151" t="n"/>
      <c r="BN1390" s="151" t="n"/>
      <c r="BO1390" s="151" t="n"/>
      <c r="BP1390" s="151" t="n"/>
      <c r="BQ1390" s="151" t="n"/>
      <c r="BR1390" s="151" t="n"/>
      <c r="BS1390" s="151" t="n"/>
      <c r="BT1390" s="151" t="n"/>
    </row>
    <row r="1391">
      <c r="BJ1391" s="151" t="n">
        <v>120011</v>
      </c>
      <c r="BK1391" s="151" t="inlineStr">
        <is>
          <t>SILVICULTURA</t>
        </is>
      </c>
      <c r="BL1391" s="151" t="n"/>
      <c r="BM1391" s="151" t="n"/>
      <c r="BN1391" s="151" t="n"/>
      <c r="BO1391" s="151" t="n"/>
      <c r="BP1391" s="151" t="n"/>
      <c r="BQ1391" s="151" t="n"/>
      <c r="BR1391" s="151" t="n"/>
      <c r="BS1391" s="151" t="n"/>
      <c r="BT1391" s="151" t="n"/>
    </row>
    <row r="1392">
      <c r="BJ1392" s="151" t="n">
        <v>120012</v>
      </c>
      <c r="BK1392" s="151" t="inlineStr">
        <is>
          <t>EXPLOTACION DE VIVEROS FORESTALES</t>
        </is>
      </c>
      <c r="BL1392" s="151" t="n"/>
      <c r="BM1392" s="151" t="n"/>
      <c r="BN1392" s="151" t="n"/>
      <c r="BO1392" s="151" t="n"/>
      <c r="BP1392" s="151" t="n"/>
      <c r="BQ1392" s="151" t="n"/>
      <c r="BR1392" s="151" t="n"/>
      <c r="BS1392" s="151" t="n"/>
      <c r="BT1392" s="151" t="n"/>
    </row>
    <row r="1393">
      <c r="BJ1393" s="151" t="n">
        <v>120020</v>
      </c>
      <c r="BK1393" s="151" t="inlineStr">
        <is>
          <t>PRESTACION SERVICIOS PLANTACION LIMPIEZA Y FUMIGACION</t>
        </is>
      </c>
      <c r="BL1393" s="151" t="n"/>
      <c r="BM1393" s="151" t="n"/>
      <c r="BN1393" s="151" t="n"/>
      <c r="BO1393" s="151" t="n"/>
      <c r="BP1393" s="151" t="n"/>
      <c r="BQ1393" s="151" t="n"/>
      <c r="BR1393" s="151" t="n"/>
      <c r="BS1393" s="151" t="n"/>
      <c r="BT1393" s="151" t="n"/>
    </row>
    <row r="1394">
      <c r="BJ1394" s="151" t="n">
        <v>120030</v>
      </c>
      <c r="BK1394" s="151" t="inlineStr">
        <is>
          <t>EXTRACCION RECOLECCION DE PRODUCTOS FORESTALES</t>
        </is>
      </c>
      <c r="BL1394" s="151" t="n"/>
      <c r="BM1394" s="151" t="n"/>
      <c r="BN1394" s="151" t="n"/>
      <c r="BO1394" s="151" t="n"/>
      <c r="BP1394" s="151" t="n"/>
      <c r="BQ1394" s="151" t="n"/>
      <c r="BR1394" s="151" t="n"/>
      <c r="BS1394" s="151" t="n"/>
      <c r="BT1394" s="151" t="n"/>
    </row>
    <row r="1395">
      <c r="BJ1395" s="151" t="n">
        <v>120040</v>
      </c>
      <c r="BK1395" s="151" t="inlineStr">
        <is>
          <t>EXTRACCION DE MADERA</t>
        </is>
      </c>
      <c r="BL1395" s="151" t="n"/>
      <c r="BM1395" s="151" t="n"/>
      <c r="BN1395" s="151" t="n"/>
      <c r="BO1395" s="151" t="n"/>
      <c r="BP1395" s="151" t="n"/>
      <c r="BQ1395" s="151" t="n"/>
      <c r="BR1395" s="151" t="n"/>
      <c r="BS1395" s="151" t="n"/>
      <c r="BT1395" s="151" t="n"/>
    </row>
    <row r="1396">
      <c r="BJ1396" s="151" t="n">
        <v>130011</v>
      </c>
      <c r="BK1396" s="151" t="inlineStr">
        <is>
          <t>PESCA EN ALTA MAR</t>
        </is>
      </c>
      <c r="BL1396" s="151" t="n"/>
      <c r="BM1396" s="151" t="n"/>
      <c r="BN1396" s="151" t="n"/>
      <c r="BO1396" s="151" t="n"/>
      <c r="BP1396" s="151" t="n"/>
      <c r="BQ1396" s="151" t="n"/>
      <c r="BR1396" s="151" t="n"/>
      <c r="BS1396" s="151" t="n"/>
      <c r="BT1396" s="151" t="n"/>
    </row>
    <row r="1397">
      <c r="BJ1397" s="151" t="n">
        <v>130012</v>
      </c>
      <c r="BK1397" s="151" t="inlineStr">
        <is>
          <t>PESCA COSTERA</t>
        </is>
      </c>
      <c r="BL1397" s="151" t="n"/>
      <c r="BM1397" s="151" t="n"/>
      <c r="BN1397" s="151" t="n"/>
      <c r="BO1397" s="151" t="n"/>
      <c r="BP1397" s="151" t="n"/>
      <c r="BQ1397" s="151" t="n"/>
      <c r="BR1397" s="151" t="n"/>
      <c r="BS1397" s="151" t="n"/>
      <c r="BT1397" s="151" t="n"/>
    </row>
    <row r="1398">
      <c r="BJ1398" s="151" t="n">
        <v>130013</v>
      </c>
      <c r="BK1398" s="151" t="inlineStr">
        <is>
          <t>ACUACULTURA RECOLECCION DE PRODUCTOS MARINOS</t>
        </is>
      </c>
      <c r="BL1398" s="151" t="n"/>
      <c r="BM1398" s="151" t="n"/>
      <c r="BN1398" s="151" t="n"/>
      <c r="BO1398" s="151" t="n"/>
      <c r="BP1398" s="151" t="n"/>
      <c r="BQ1398" s="151" t="n"/>
      <c r="BR1398" s="151" t="n"/>
      <c r="BS1398" s="151" t="n"/>
      <c r="BT1398" s="151" t="n"/>
    </row>
    <row r="1399">
      <c r="BJ1399" s="151" t="n">
        <v>130021</v>
      </c>
      <c r="BK1399" s="151" t="inlineStr">
        <is>
          <t>PESCA EN AGUA DULCE</t>
        </is>
      </c>
      <c r="BL1399" s="151" t="n"/>
      <c r="BM1399" s="151" t="n"/>
      <c r="BN1399" s="151" t="n"/>
      <c r="BO1399" s="151" t="n"/>
      <c r="BP1399" s="151" t="n"/>
      <c r="BQ1399" s="151" t="n"/>
      <c r="BR1399" s="151" t="n"/>
      <c r="BS1399" s="151" t="n"/>
      <c r="BT1399" s="151" t="n"/>
    </row>
    <row r="1400">
      <c r="BJ1400" s="151" t="n">
        <v>130022</v>
      </c>
      <c r="BK1400" s="151" t="inlineStr">
        <is>
          <t>ACUACULTURA EN AGUA DULCE LUGARES CONTROLADOS</t>
        </is>
      </c>
      <c r="BL1400" s="151" t="n"/>
      <c r="BM1400" s="151" t="n"/>
      <c r="BN1400" s="151" t="n"/>
      <c r="BO1400" s="151" t="n"/>
      <c r="BP1400" s="151" t="n"/>
      <c r="BQ1400" s="151" t="n"/>
      <c r="BR1400" s="151" t="n"/>
      <c r="BS1400" s="151" t="n"/>
      <c r="BT1400" s="151" t="n"/>
    </row>
    <row r="1401">
      <c r="BJ1401" s="151" t="n">
        <v>130030</v>
      </c>
      <c r="BK1401" s="151" t="inlineStr">
        <is>
          <t>SERVICIOS PESQUEROS MARITIMOS DE AGUA DULCE</t>
        </is>
      </c>
      <c r="BL1401" s="151" t="n"/>
      <c r="BM1401" s="151" t="n"/>
      <c r="BN1401" s="151" t="n"/>
      <c r="BO1401" s="151" t="n"/>
      <c r="BP1401" s="151" t="n"/>
      <c r="BQ1401" s="151" t="n"/>
      <c r="BR1401" s="151" t="n"/>
      <c r="BS1401" s="151" t="n"/>
      <c r="BT1401" s="151" t="n"/>
    </row>
    <row r="1402">
      <c r="BJ1402" s="151" t="n">
        <v>200000</v>
      </c>
      <c r="BK1402" s="151" t="inlineStr">
        <is>
          <t>COPROPIETARIO</t>
        </is>
      </c>
      <c r="BL1402" s="151" t="n"/>
      <c r="BM1402" s="151" t="n"/>
      <c r="BN1402" s="151" t="n"/>
      <c r="BO1402" s="151" t="n"/>
      <c r="BP1402" s="151" t="n"/>
      <c r="BQ1402" s="151" t="n"/>
      <c r="BR1402" s="151" t="n"/>
      <c r="BS1402" s="151" t="n"/>
      <c r="BT1402" s="151" t="n"/>
    </row>
    <row r="1403">
      <c r="BJ1403" s="151" t="n">
        <v>210000</v>
      </c>
      <c r="BK1403" s="151" t="inlineStr">
        <is>
          <t>EXPLOTACION Y/O BENEFICIO DE CARBON MINERAL</t>
        </is>
      </c>
      <c r="BL1403" s="151" t="n"/>
      <c r="BM1403" s="151" t="n"/>
      <c r="BN1403" s="151" t="n"/>
      <c r="BO1403" s="151" t="n"/>
      <c r="BP1403" s="151" t="n"/>
      <c r="BQ1403" s="151" t="n"/>
      <c r="BR1403" s="151" t="n"/>
      <c r="BS1403" s="151" t="n"/>
      <c r="BT1403" s="151" t="n"/>
    </row>
    <row r="1404">
      <c r="BJ1404" s="151" t="n">
        <v>221000</v>
      </c>
      <c r="BK1404" s="151" t="inlineStr">
        <is>
          <t>EXTRACCION DE PETROLEO CRUDO Y GAS NATURAL</t>
        </is>
      </c>
      <c r="BL1404" s="151" t="n"/>
      <c r="BM1404" s="151" t="n"/>
      <c r="BN1404" s="151" t="n"/>
      <c r="BO1404" s="151" t="n"/>
      <c r="BP1404" s="151" t="n"/>
      <c r="BQ1404" s="151" t="n"/>
      <c r="BR1404" s="151" t="n"/>
      <c r="BS1404" s="151" t="n"/>
      <c r="BT1404" s="151" t="n"/>
    </row>
    <row r="1405">
      <c r="BJ1405" s="151" t="n">
        <v>222000</v>
      </c>
      <c r="BK1405" s="151" t="inlineStr">
        <is>
          <t>SERVICIOS A PRODUCTORES DE PETROLEO Y GAS NATURAL</t>
        </is>
      </c>
      <c r="BL1405" s="151" t="n"/>
      <c r="BM1405" s="151" t="n"/>
      <c r="BN1405" s="151" t="n"/>
      <c r="BO1405" s="151" t="n"/>
      <c r="BP1405" s="151" t="n"/>
      <c r="BQ1405" s="151" t="n"/>
      <c r="BR1405" s="151" t="n"/>
      <c r="BS1405" s="151" t="n"/>
      <c r="BT1405" s="151" t="n"/>
    </row>
    <row r="1406">
      <c r="BJ1406" s="151" t="n">
        <v>231000</v>
      </c>
      <c r="BK1406" s="151" t="inlineStr">
        <is>
          <t>EXPLOTACION Y/O BENEFICIO DE MINERALES DE HIERRO</t>
        </is>
      </c>
      <c r="BL1406" s="151" t="n"/>
      <c r="BM1406" s="151" t="n"/>
      <c r="BN1406" s="151" t="n"/>
      <c r="BO1406" s="151" t="n"/>
      <c r="BP1406" s="151" t="n"/>
      <c r="BQ1406" s="151" t="n"/>
      <c r="BR1406" s="151" t="n"/>
      <c r="BS1406" s="151" t="n"/>
      <c r="BT1406" s="151" t="n"/>
    </row>
    <row r="1407">
      <c r="BJ1407" s="151" t="n">
        <v>232001</v>
      </c>
      <c r="BK1407" s="151" t="inlineStr">
        <is>
          <t>EXPLOTACION Y/O BENEFICIO MINERALES CONTENIDO ORO PLATA</t>
        </is>
      </c>
      <c r="BL1407" s="151" t="n"/>
      <c r="BM1407" s="151" t="n"/>
      <c r="BN1407" s="151" t="n"/>
      <c r="BO1407" s="151" t="n"/>
      <c r="BP1407" s="151" t="n"/>
      <c r="BQ1407" s="151" t="n"/>
      <c r="BR1407" s="151" t="n"/>
      <c r="BS1407" s="151" t="n"/>
      <c r="BT1407" s="151" t="n"/>
    </row>
    <row r="1408">
      <c r="BJ1408" s="151" t="n">
        <v>232002</v>
      </c>
      <c r="BK1408" s="151" t="inlineStr">
        <is>
          <t>EXPLOTACION Y/O BENEFICIO MERCURIO Y ANTIMONIO</t>
        </is>
      </c>
      <c r="BL1408" s="151" t="n"/>
      <c r="BM1408" s="151" t="n"/>
      <c r="BN1408" s="151" t="n"/>
      <c r="BO1408" s="151" t="n"/>
      <c r="BP1408" s="151" t="n"/>
      <c r="BQ1408" s="151" t="n"/>
      <c r="BR1408" s="151" t="n"/>
      <c r="BS1408" s="151" t="n"/>
      <c r="BT1408" s="151" t="n"/>
    </row>
    <row r="1409">
      <c r="BJ1409" s="151" t="n">
        <v>232003</v>
      </c>
      <c r="BK1409" s="151" t="inlineStr">
        <is>
          <t>EXPLOTACION Y/O BENEFICIO MINERALES INDUSTRIALES</t>
        </is>
      </c>
      <c r="BL1409" s="151" t="n"/>
      <c r="BM1409" s="151" t="n"/>
      <c r="BN1409" s="151" t="n"/>
      <c r="BO1409" s="151" t="n"/>
      <c r="BP1409" s="151" t="n"/>
      <c r="BQ1409" s="151" t="n"/>
      <c r="BR1409" s="151" t="n"/>
      <c r="BS1409" s="151" t="n"/>
      <c r="BT1409" s="151" t="n"/>
    </row>
    <row r="1410">
      <c r="BJ1410" s="151" t="n">
        <v>232004</v>
      </c>
      <c r="BK1410" s="151" t="inlineStr">
        <is>
          <t>EXPLOTACION Y/O BENEFICIO MINERALES ALTO CONTENIDO COBRE</t>
        </is>
      </c>
      <c r="BL1410" s="151" t="n"/>
      <c r="BM1410" s="151" t="n"/>
      <c r="BN1410" s="151" t="n"/>
      <c r="BO1410" s="151" t="n"/>
      <c r="BP1410" s="151" t="n"/>
      <c r="BQ1410" s="151" t="n"/>
      <c r="BR1410" s="151" t="n"/>
      <c r="BS1410" s="151" t="n"/>
      <c r="BT1410" s="151" t="n"/>
    </row>
    <row r="1411">
      <c r="BJ1411" s="151" t="n">
        <v>232005</v>
      </c>
      <c r="BK1411" s="151" t="inlineStr">
        <is>
          <t>EXPLOTACION Y/O BENEFICIO URANIO MINERALES RADIACTIVOS</t>
        </is>
      </c>
      <c r="BL1411" s="151" t="n"/>
      <c r="BM1411" s="151" t="n"/>
      <c r="BN1411" s="151" t="n"/>
      <c r="BO1411" s="151" t="n"/>
      <c r="BP1411" s="151" t="n"/>
      <c r="BQ1411" s="151" t="n"/>
      <c r="BR1411" s="151" t="n"/>
      <c r="BS1411" s="151" t="n"/>
      <c r="BT1411" s="151" t="n"/>
    </row>
    <row r="1412">
      <c r="BJ1412" s="151" t="n">
        <v>232006</v>
      </c>
      <c r="BK1412" s="151" t="inlineStr">
        <is>
          <t>EXPLOTACION Y/O BENEFICIO MINERALES METALICOS NO FERROSOS</t>
        </is>
      </c>
      <c r="BL1412" s="151" t="n"/>
      <c r="BM1412" s="151" t="n"/>
      <c r="BN1412" s="151" t="n"/>
      <c r="BO1412" s="151" t="n"/>
      <c r="BP1412" s="151" t="n"/>
      <c r="BQ1412" s="151" t="n"/>
      <c r="BR1412" s="151" t="n"/>
      <c r="BS1412" s="151" t="n"/>
      <c r="BT1412" s="151" t="n"/>
    </row>
    <row r="1413">
      <c r="BJ1413" s="151" t="n">
        <v>233000</v>
      </c>
      <c r="BK1413" s="151" t="inlineStr">
        <is>
          <t>EXPORTACION Y ENAJENACION DE CONCESIONES</t>
        </is>
      </c>
      <c r="BL1413" s="151" t="n"/>
      <c r="BM1413" s="151" t="n"/>
      <c r="BN1413" s="151" t="n"/>
      <c r="BO1413" s="151" t="n"/>
      <c r="BP1413" s="151" t="n"/>
      <c r="BQ1413" s="151" t="n"/>
      <c r="BR1413" s="151" t="n"/>
      <c r="BS1413" s="151" t="n"/>
      <c r="BT1413" s="151" t="n"/>
    </row>
    <row r="1414">
      <c r="BJ1414" s="151" t="n">
        <v>291001</v>
      </c>
      <c r="BK1414" s="151" t="inlineStr">
        <is>
          <t>EXPLOTACION DE ARENA Y GRAVA</t>
        </is>
      </c>
      <c r="BL1414" s="151" t="n"/>
      <c r="BM1414" s="151" t="n"/>
      <c r="BN1414" s="151" t="n"/>
      <c r="BO1414" s="151" t="n"/>
      <c r="BP1414" s="151" t="n"/>
      <c r="BQ1414" s="151" t="n"/>
      <c r="BR1414" s="151" t="n"/>
      <c r="BS1414" s="151" t="n"/>
      <c r="BT1414" s="151" t="n"/>
    </row>
    <row r="1415">
      <c r="BJ1415" s="151" t="n">
        <v>291002</v>
      </c>
      <c r="BK1415" s="151" t="inlineStr">
        <is>
          <t>EXPLOTACION MARMOL Y OTRAS PIEDRAS PARA CONSTRUCCION</t>
        </is>
      </c>
      <c r="BL1415" s="151" t="n"/>
      <c r="BM1415" s="151" t="n"/>
      <c r="BN1415" s="151" t="n"/>
      <c r="BO1415" s="151" t="n"/>
      <c r="BP1415" s="151" t="n"/>
      <c r="BQ1415" s="151" t="n"/>
      <c r="BR1415" s="151" t="n"/>
      <c r="BS1415" s="151" t="n"/>
      <c r="BT1415" s="151" t="n"/>
    </row>
    <row r="1416">
      <c r="BJ1416" s="151" t="n">
        <v>291003</v>
      </c>
      <c r="BK1416" s="151" t="inlineStr">
        <is>
          <t>EXPLOTACION Y/O BENEFICIO DE FELDESPATO</t>
        </is>
      </c>
      <c r="BL1416" s="151" t="n"/>
      <c r="BM1416" s="151" t="n"/>
      <c r="BN1416" s="151" t="n"/>
      <c r="BO1416" s="151" t="n"/>
      <c r="BP1416" s="151" t="n"/>
      <c r="BQ1416" s="151" t="n"/>
      <c r="BR1416" s="151" t="n"/>
      <c r="BS1416" s="151" t="n"/>
      <c r="BT1416" s="151" t="n"/>
    </row>
    <row r="1417">
      <c r="BJ1417" s="151" t="n">
        <v>291004</v>
      </c>
      <c r="BK1417" s="151" t="inlineStr">
        <is>
          <t>EXPLOTACION Y/O BENEFICIO DE CAOLIN Y ARCILLAS MINERALES REFINADAS</t>
        </is>
      </c>
      <c r="BL1417" s="151" t="n"/>
      <c r="BM1417" s="151" t="n"/>
      <c r="BN1417" s="151" t="n"/>
      <c r="BO1417" s="151" t="n"/>
      <c r="BP1417" s="151" t="n"/>
      <c r="BQ1417" s="151" t="n"/>
      <c r="BR1417" s="151" t="n"/>
      <c r="BS1417" s="151" t="n"/>
      <c r="BT1417" s="151" t="n"/>
    </row>
    <row r="1418">
      <c r="BJ1418" s="151" t="n">
        <v>291005</v>
      </c>
      <c r="BK1418" s="151" t="inlineStr">
        <is>
          <t>EXPLOTACION DE PIEDRAS CALIZA Y YESO</t>
        </is>
      </c>
      <c r="BL1418" s="151" t="n"/>
      <c r="BM1418" s="151" t="n"/>
      <c r="BN1418" s="151" t="n"/>
      <c r="BO1418" s="151" t="n"/>
      <c r="BP1418" s="151" t="n"/>
      <c r="BQ1418" s="151" t="n"/>
      <c r="BR1418" s="151" t="n"/>
      <c r="BS1418" s="151" t="n"/>
      <c r="BT1418" s="151" t="n"/>
    </row>
    <row r="1419">
      <c r="BJ1419" s="151" t="n">
        <v>292001</v>
      </c>
      <c r="BK1419" s="151" t="inlineStr">
        <is>
          <t>EXPLOTACION Y/O BENEFICIO DE BARITA</t>
        </is>
      </c>
      <c r="BL1419" s="151" t="n"/>
      <c r="BM1419" s="151" t="n"/>
      <c r="BN1419" s="151" t="n"/>
      <c r="BO1419" s="151" t="n"/>
      <c r="BP1419" s="151" t="n"/>
      <c r="BQ1419" s="151" t="n"/>
      <c r="BR1419" s="151" t="n"/>
      <c r="BS1419" s="151" t="n"/>
      <c r="BT1419" s="151" t="n"/>
    </row>
    <row r="1420">
      <c r="BJ1420" s="151" t="n">
        <v>292002</v>
      </c>
      <c r="BK1420" s="151" t="inlineStr">
        <is>
          <t>EXPLOTACION BENEFICIO DE ROCA FOSFORICA</t>
        </is>
      </c>
      <c r="BL1420" s="151" t="n"/>
      <c r="BM1420" s="151" t="n"/>
      <c r="BN1420" s="151" t="n"/>
      <c r="BO1420" s="151" t="n"/>
      <c r="BP1420" s="151" t="n"/>
      <c r="BQ1420" s="151" t="n"/>
      <c r="BR1420" s="151" t="n"/>
      <c r="BS1420" s="151" t="n"/>
      <c r="BT1420" s="151" t="n"/>
    </row>
    <row r="1421">
      <c r="BJ1421" s="151" t="n">
        <v>292003</v>
      </c>
      <c r="BK1421" s="151" t="inlineStr">
        <is>
          <t>EXPLOTACION Y/O BENEFICIO DE FLUORITA</t>
        </is>
      </c>
      <c r="BL1421" s="151" t="n"/>
      <c r="BM1421" s="151" t="n"/>
      <c r="BN1421" s="151" t="n"/>
      <c r="BO1421" s="151" t="n"/>
      <c r="BP1421" s="151" t="n"/>
      <c r="BQ1421" s="151" t="n"/>
      <c r="BR1421" s="151" t="n"/>
      <c r="BS1421" s="151" t="n"/>
      <c r="BT1421" s="151" t="n"/>
    </row>
    <row r="1422">
      <c r="BJ1422" s="151" t="n">
        <v>292004</v>
      </c>
      <c r="BK1422" s="151" t="inlineStr">
        <is>
          <t>EXPLOTACION DE AZUFRE</t>
        </is>
      </c>
      <c r="BL1422" s="151" t="n"/>
      <c r="BM1422" s="151" t="n"/>
      <c r="BN1422" s="151" t="n"/>
      <c r="BO1422" s="151" t="n"/>
      <c r="BP1422" s="151" t="n"/>
      <c r="BQ1422" s="151" t="n"/>
      <c r="BR1422" s="151" t="n"/>
      <c r="BS1422" s="151" t="n"/>
      <c r="BT1422" s="151" t="n"/>
    </row>
    <row r="1423">
      <c r="BJ1423" s="151" t="n">
        <v>292005</v>
      </c>
      <c r="BK1423" s="151" t="inlineStr">
        <is>
          <t>EXPLOTACION DE OTROS MINERALES OBTENCION PRODUCTOS QUIMICOS</t>
        </is>
      </c>
      <c r="BL1423" s="151" t="n"/>
      <c r="BM1423" s="151" t="n"/>
      <c r="BN1423" s="151" t="n"/>
      <c r="BO1423" s="151" t="n"/>
      <c r="BP1423" s="151" t="n"/>
      <c r="BQ1423" s="151" t="n"/>
      <c r="BR1423" s="151" t="n"/>
      <c r="BS1423" s="151" t="n"/>
      <c r="BT1423" s="151" t="n"/>
    </row>
    <row r="1424">
      <c r="BJ1424" s="151" t="n">
        <v>292006</v>
      </c>
      <c r="BK1424" s="151" t="inlineStr">
        <is>
          <t>EXPLOTACION DE SAL</t>
        </is>
      </c>
      <c r="BL1424" s="151" t="n"/>
      <c r="BM1424" s="151" t="n"/>
      <c r="BN1424" s="151" t="n"/>
      <c r="BO1424" s="151" t="n"/>
      <c r="BP1424" s="151" t="n"/>
      <c r="BQ1424" s="151" t="n"/>
      <c r="BR1424" s="151" t="n"/>
      <c r="BS1424" s="151" t="n"/>
      <c r="BT1424" s="151" t="n"/>
    </row>
    <row r="1425">
      <c r="BJ1425" s="151" t="n">
        <v>292007</v>
      </c>
      <c r="BK1425" s="151" t="inlineStr">
        <is>
          <t>EXPLOTACION Y/O BENEFICIO DE GRAFITO</t>
        </is>
      </c>
      <c r="BL1425" s="151" t="n"/>
      <c r="BM1425" s="151" t="n"/>
      <c r="BN1425" s="151" t="n"/>
      <c r="BO1425" s="151" t="n"/>
      <c r="BP1425" s="151" t="n"/>
      <c r="BQ1425" s="151" t="n"/>
      <c r="BR1425" s="151" t="n"/>
      <c r="BS1425" s="151" t="n"/>
      <c r="BT1425" s="151" t="n"/>
    </row>
    <row r="1426">
      <c r="BJ1426" s="151" t="n">
        <v>292008</v>
      </c>
      <c r="BK1426" s="151" t="inlineStr">
        <is>
          <t>EXPLOTACION Y/O BENEFICIO OTROS MINERALES NO METALICOS</t>
        </is>
      </c>
      <c r="BL1426" s="151" t="n"/>
      <c r="BM1426" s="151" t="n"/>
      <c r="BN1426" s="151" t="n"/>
      <c r="BO1426" s="151" t="n"/>
      <c r="BP1426" s="151" t="n"/>
      <c r="BQ1426" s="151" t="n"/>
      <c r="BR1426" s="151" t="n"/>
      <c r="BS1426" s="151" t="n"/>
      <c r="BT1426" s="151" t="n"/>
    </row>
    <row r="1427">
      <c r="BJ1427" s="151" t="n">
        <v>300000</v>
      </c>
      <c r="BK1427" s="151" t="inlineStr">
        <is>
          <t>ASALARIADOS</t>
        </is>
      </c>
      <c r="BL1427" s="151" t="n"/>
      <c r="BM1427" s="151" t="n"/>
      <c r="BN1427" s="151" t="n"/>
      <c r="BO1427" s="151" t="n"/>
      <c r="BP1427" s="151" t="n"/>
      <c r="BQ1427" s="151" t="n"/>
      <c r="BR1427" s="151" t="n"/>
      <c r="BS1427" s="151" t="n"/>
      <c r="BT1427" s="151" t="n"/>
    </row>
    <row r="1428">
      <c r="BJ1428" s="151" t="n">
        <v>311101</v>
      </c>
      <c r="BK1428" s="151" t="inlineStr">
        <is>
          <t>MATANZA GANADO Y AVES INCLUYE DESECHOS</t>
        </is>
      </c>
      <c r="BL1428" s="151" t="n"/>
      <c r="BM1428" s="151" t="n"/>
      <c r="BN1428" s="151" t="n"/>
      <c r="BO1428" s="151" t="n"/>
      <c r="BP1428" s="151" t="n"/>
      <c r="BQ1428" s="151" t="n"/>
      <c r="BR1428" s="151" t="n"/>
      <c r="BS1428" s="151" t="n"/>
      <c r="BT1428" s="151" t="n"/>
    </row>
    <row r="1429">
      <c r="BJ1429" s="151" t="n">
        <v>311102</v>
      </c>
      <c r="BK1429" s="151" t="inlineStr">
        <is>
          <t>CONGELACION Y EMPACADO DE CARNE FRESCA</t>
        </is>
      </c>
      <c r="BL1429" s="151" t="n"/>
      <c r="BM1429" s="151" t="n"/>
      <c r="BN1429" s="151" t="n"/>
      <c r="BO1429" s="151" t="n"/>
      <c r="BP1429" s="151" t="n"/>
      <c r="BQ1429" s="151" t="n"/>
      <c r="BR1429" s="151" t="n"/>
      <c r="BS1429" s="151" t="n"/>
      <c r="BT1429" s="151" t="n"/>
    </row>
    <row r="1430">
      <c r="BJ1430" s="151" t="n">
        <v>311103</v>
      </c>
      <c r="BK1430" s="151" t="inlineStr">
        <is>
          <t>ELABORACION EXTRACTOS Y CONCENTRADOS CARNE RES POLLO</t>
        </is>
      </c>
      <c r="BL1430" s="151" t="n"/>
      <c r="BM1430" s="151" t="n"/>
      <c r="BN1430" s="151" t="n"/>
      <c r="BO1430" s="151" t="n"/>
      <c r="BP1430" s="151" t="n"/>
      <c r="BQ1430" s="151" t="n"/>
      <c r="BR1430" s="151" t="n"/>
      <c r="BS1430" s="151" t="n"/>
      <c r="BT1430" s="151" t="n"/>
    </row>
    <row r="1431">
      <c r="BJ1431" s="151" t="n">
        <v>311104</v>
      </c>
      <c r="BK1431" s="151" t="inlineStr">
        <is>
          <t>PREPARACION DE CONSERVAS Y ENBUTIDOS DE CARNE</t>
        </is>
      </c>
      <c r="BL1431" s="151" t="n"/>
      <c r="BM1431" s="151" t="n"/>
      <c r="BN1431" s="151" t="n"/>
      <c r="BO1431" s="151" t="n"/>
      <c r="BP1431" s="151" t="n"/>
      <c r="BQ1431" s="151" t="n"/>
      <c r="BR1431" s="151" t="n"/>
      <c r="BS1431" s="151" t="n"/>
      <c r="BT1431" s="151" t="n"/>
    </row>
    <row r="1432">
      <c r="BJ1432" s="151" t="n">
        <v>311105</v>
      </c>
      <c r="BK1432" s="151" t="inlineStr">
        <is>
          <t>PREPARACION Y VENTA DE POLLOS ROSTIZADOS Y CHICHARRON</t>
        </is>
      </c>
      <c r="BL1432" s="151" t="n"/>
      <c r="BM1432" s="151" t="n"/>
      <c r="BN1432" s="151" t="n"/>
      <c r="BO1432" s="151" t="n"/>
      <c r="BP1432" s="151" t="n"/>
      <c r="BQ1432" s="151" t="n"/>
      <c r="BR1432" s="151" t="n"/>
      <c r="BS1432" s="151" t="n"/>
      <c r="BT1432" s="151" t="n"/>
    </row>
    <row r="1433">
      <c r="BJ1433" s="151" t="n">
        <v>311201</v>
      </c>
      <c r="BK1433" s="151" t="inlineStr">
        <is>
          <t>TRATAMIENTO Y ENVASADO DE LECHE</t>
        </is>
      </c>
      <c r="BL1433" s="151" t="n"/>
      <c r="BM1433" s="151" t="n"/>
      <c r="BN1433" s="151" t="n"/>
      <c r="BO1433" s="151" t="n"/>
      <c r="BP1433" s="151" t="n"/>
      <c r="BQ1433" s="151" t="n"/>
      <c r="BR1433" s="151" t="n"/>
      <c r="BS1433" s="151" t="n"/>
      <c r="BT1433" s="151" t="n"/>
    </row>
    <row r="1434">
      <c r="BJ1434" s="151" t="n">
        <v>311202</v>
      </c>
      <c r="BK1434" s="151" t="inlineStr">
        <is>
          <t>ELABORACION CREMA MANTEQUILLA QUESO CASEINA, LACTOSA</t>
        </is>
      </c>
      <c r="BL1434" s="151" t="n"/>
      <c r="BM1434" s="151" t="n"/>
      <c r="BN1434" s="151" t="n"/>
      <c r="BO1434" s="151" t="n"/>
      <c r="BP1434" s="151" t="n"/>
      <c r="BQ1434" s="151" t="n"/>
      <c r="BR1434" s="151" t="n"/>
      <c r="BS1434" s="151" t="n"/>
      <c r="BT1434" s="151" t="n"/>
    </row>
    <row r="1435">
      <c r="BJ1435" s="151" t="n">
        <v>311203</v>
      </c>
      <c r="BK1435" s="151" t="inlineStr">
        <is>
          <t>ELABORACION DE LECHE CONDENSADA EVAPORADA Y POLVO</t>
        </is>
      </c>
      <c r="BL1435" s="151" t="n"/>
      <c r="BM1435" s="151" t="n"/>
      <c r="BN1435" s="151" t="n"/>
      <c r="BO1435" s="151" t="n"/>
      <c r="BP1435" s="151" t="n"/>
      <c r="BQ1435" s="151" t="n"/>
      <c r="BR1435" s="151" t="n"/>
      <c r="BS1435" s="151" t="n"/>
      <c r="BT1435" s="151" t="n"/>
    </row>
    <row r="1436">
      <c r="BJ1436" s="151" t="n">
        <v>311204</v>
      </c>
      <c r="BK1436" s="151" t="inlineStr">
        <is>
          <t>ELABORACION DE HELADOS Y PALETAS CON LECHE O AGUA</t>
        </is>
      </c>
      <c r="BL1436" s="151" t="n"/>
      <c r="BM1436" s="151" t="n"/>
      <c r="BN1436" s="151" t="n"/>
      <c r="BO1436" s="151" t="n"/>
      <c r="BP1436" s="151" t="n"/>
      <c r="BQ1436" s="151" t="n"/>
      <c r="BR1436" s="151" t="n"/>
      <c r="BS1436" s="151" t="n"/>
      <c r="BT1436" s="151" t="n"/>
    </row>
    <row r="1437">
      <c r="BJ1437" s="151" t="n">
        <v>311205</v>
      </c>
      <c r="BK1437" s="151" t="inlineStr">
        <is>
          <t>ELABORACION CAJETAS YOGURTS ALIMENTOS A BASE LECHE</t>
        </is>
      </c>
      <c r="BL1437" s="151" t="n"/>
      <c r="BM1437" s="151" t="n"/>
      <c r="BN1437" s="151" t="n"/>
      <c r="BO1437" s="151" t="n"/>
      <c r="BP1437" s="151" t="n"/>
      <c r="BQ1437" s="151" t="n"/>
      <c r="BR1437" s="151" t="n"/>
      <c r="BS1437" s="151" t="n"/>
      <c r="BT1437" s="151" t="n"/>
    </row>
    <row r="1438">
      <c r="BJ1438" s="151" t="n">
        <v>311301</v>
      </c>
      <c r="BK1438" s="151" t="inlineStr">
        <is>
          <t>PREPARACION Y ENVASADO DE FRUTAS Y LEGUMBRES</t>
        </is>
      </c>
      <c r="BL1438" s="151" t="n"/>
      <c r="BM1438" s="151" t="n"/>
      <c r="BN1438" s="151" t="n"/>
      <c r="BO1438" s="151" t="n"/>
      <c r="BP1438" s="151" t="n"/>
      <c r="BQ1438" s="151" t="n"/>
      <c r="BR1438" s="151" t="n"/>
      <c r="BS1438" s="151" t="n"/>
      <c r="BT1438" s="151" t="n"/>
    </row>
    <row r="1439">
      <c r="BJ1439" s="151" t="n">
        <v>311302</v>
      </c>
      <c r="BK1439" s="151" t="inlineStr">
        <is>
          <t>DESHIDRATACION DE FRUTAS Y LEGUMBRES</t>
        </is>
      </c>
      <c r="BL1439" s="151" t="n"/>
      <c r="BM1439" s="151" t="n"/>
      <c r="BN1439" s="151" t="n"/>
      <c r="BO1439" s="151" t="n"/>
      <c r="BP1439" s="151" t="n"/>
      <c r="BQ1439" s="151" t="n"/>
      <c r="BR1439" s="151" t="n"/>
      <c r="BS1439" s="151" t="n"/>
      <c r="BT1439" s="151" t="n"/>
    </row>
    <row r="1440">
      <c r="BJ1440" s="151" t="n">
        <v>311303</v>
      </c>
      <c r="BK1440" s="151" t="inlineStr">
        <is>
          <t>ELABORACION Y CONSERVACION GUISOS O ALIMENTOS PREPARADOS</t>
        </is>
      </c>
      <c r="BL1440" s="151" t="n"/>
      <c r="BM1440" s="151" t="n"/>
      <c r="BN1440" s="151" t="n"/>
      <c r="BO1440" s="151" t="n"/>
      <c r="BP1440" s="151" t="n"/>
      <c r="BQ1440" s="151" t="n"/>
      <c r="BR1440" s="151" t="n"/>
      <c r="BS1440" s="151" t="n"/>
      <c r="BT1440" s="151" t="n"/>
    </row>
    <row r="1441">
      <c r="BJ1441" s="151" t="n">
        <v>311304</v>
      </c>
      <c r="BK1441" s="151" t="inlineStr">
        <is>
          <t>CONGELACION EMPAQUE PESCADOS Y MARISCOS</t>
        </is>
      </c>
      <c r="BL1441" s="151" t="n"/>
      <c r="BM1441" s="151" t="n"/>
      <c r="BN1441" s="151" t="n"/>
      <c r="BO1441" s="151" t="n"/>
      <c r="BP1441" s="151" t="n"/>
      <c r="BQ1441" s="151" t="n"/>
      <c r="BR1441" s="151" t="n"/>
      <c r="BS1441" s="151" t="n"/>
      <c r="BT1441" s="151" t="n"/>
    </row>
    <row r="1442">
      <c r="BJ1442" s="151" t="n">
        <v>311305</v>
      </c>
      <c r="BK1442" s="151" t="inlineStr">
        <is>
          <t>PREPARACION Y  ENVASADO DE CONSERVAS PESCADOS Y MARISCOS</t>
        </is>
      </c>
      <c r="BL1442" s="151" t="n"/>
      <c r="BM1442" s="151" t="n"/>
      <c r="BN1442" s="151" t="n"/>
      <c r="BO1442" s="151" t="n"/>
      <c r="BP1442" s="151" t="n"/>
      <c r="BQ1442" s="151" t="n"/>
      <c r="BR1442" s="151" t="n"/>
      <c r="BS1442" s="151" t="n"/>
      <c r="BT1442" s="151" t="n"/>
    </row>
    <row r="1443">
      <c r="BJ1443" s="151" t="n">
        <v>311306</v>
      </c>
      <c r="BK1443" s="151" t="inlineStr">
        <is>
          <t>SECADO Y SALADO DE PESCADOS Y MARISCOS</t>
        </is>
      </c>
      <c r="BL1443" s="151" t="n"/>
      <c r="BM1443" s="151" t="n"/>
      <c r="BN1443" s="151" t="n"/>
      <c r="BO1443" s="151" t="n"/>
      <c r="BP1443" s="151" t="n"/>
      <c r="BQ1443" s="151" t="n"/>
      <c r="BR1443" s="151" t="n"/>
      <c r="BS1443" s="151" t="n"/>
      <c r="BT1443" s="151" t="n"/>
    </row>
    <row r="1444">
      <c r="BJ1444" s="151" t="n">
        <v>311401</v>
      </c>
      <c r="BK1444" s="151" t="inlineStr">
        <is>
          <t>MOLIENDA DE TRIGO</t>
        </is>
      </c>
      <c r="BL1444" s="151" t="n"/>
      <c r="BM1444" s="151" t="n"/>
      <c r="BN1444" s="151" t="n"/>
      <c r="BO1444" s="151" t="n"/>
      <c r="BP1444" s="151" t="n"/>
      <c r="BQ1444" s="151" t="n"/>
      <c r="BR1444" s="151" t="n"/>
      <c r="BS1444" s="151" t="n"/>
      <c r="BT1444" s="151" t="n"/>
    </row>
    <row r="1445">
      <c r="BJ1445" s="151" t="n">
        <v>311402</v>
      </c>
      <c r="BK1445" s="151" t="inlineStr">
        <is>
          <t>ELABORACION DE HARINA DE MAIZ  Y MOLIENDA DE OTROS CEREALES</t>
        </is>
      </c>
      <c r="BL1445" s="151" t="n"/>
      <c r="BM1445" s="151" t="n"/>
      <c r="BN1445" s="151" t="n"/>
      <c r="BO1445" s="151" t="n"/>
      <c r="BP1445" s="151" t="n"/>
      <c r="BQ1445" s="151" t="n"/>
      <c r="BR1445" s="151" t="n"/>
      <c r="BS1445" s="151" t="n"/>
      <c r="BT1445" s="151" t="n"/>
    </row>
    <row r="1446">
      <c r="BJ1446" s="151" t="n">
        <v>311403</v>
      </c>
      <c r="BK1446" s="151" t="inlineStr">
        <is>
          <t>BENEFICIO DE ARROZ</t>
        </is>
      </c>
      <c r="BL1446" s="151" t="n"/>
      <c r="BM1446" s="151" t="n"/>
      <c r="BN1446" s="151" t="n"/>
      <c r="BO1446" s="151" t="n"/>
      <c r="BP1446" s="151" t="n"/>
      <c r="BQ1446" s="151" t="n"/>
      <c r="BR1446" s="151" t="n"/>
      <c r="BS1446" s="151" t="n"/>
      <c r="BT1446" s="151" t="n"/>
    </row>
    <row r="1447">
      <c r="BJ1447" s="151" t="n">
        <v>311404</v>
      </c>
      <c r="BK1447" s="151" t="inlineStr">
        <is>
          <t>BENEFICIO DE OTROS PRODTOS AGRICOLAS NEP</t>
        </is>
      </c>
      <c r="BL1447" s="151" t="n"/>
      <c r="BM1447" s="151" t="n"/>
      <c r="BN1447" s="151" t="n"/>
      <c r="BO1447" s="151" t="n"/>
      <c r="BP1447" s="151" t="n"/>
      <c r="BQ1447" s="151" t="n"/>
      <c r="BR1447" s="151" t="n"/>
      <c r="BS1447" s="151" t="n"/>
      <c r="BT1447" s="151" t="n"/>
    </row>
    <row r="1448">
      <c r="BJ1448" s="151" t="n">
        <v>311501</v>
      </c>
      <c r="BK1448" s="151" t="inlineStr">
        <is>
          <t>ELABORACION GALLETAS PASTAS TORTILLAS DE HARINA</t>
        </is>
      </c>
      <c r="BL1448" s="151" t="n"/>
      <c r="BM1448" s="151" t="n"/>
      <c r="BN1448" s="151" t="n"/>
      <c r="BO1448" s="151" t="n"/>
      <c r="BP1448" s="151" t="n"/>
      <c r="BQ1448" s="151" t="n"/>
      <c r="BR1448" s="151" t="n"/>
      <c r="BS1448" s="151" t="n"/>
      <c r="BT1448" s="151" t="n"/>
    </row>
    <row r="1449">
      <c r="BJ1449" s="151" t="n">
        <v>311502</v>
      </c>
      <c r="BK1449" s="151" t="inlineStr">
        <is>
          <t>ELABORACION Y VENTA DE PAN PASTELES Y CANAPES</t>
        </is>
      </c>
      <c r="BL1449" s="151" t="n"/>
      <c r="BM1449" s="151" t="n"/>
      <c r="BN1449" s="151" t="n"/>
      <c r="BO1449" s="151" t="n"/>
      <c r="BP1449" s="151" t="n"/>
      <c r="BQ1449" s="151" t="n"/>
      <c r="BR1449" s="151" t="n"/>
      <c r="BS1449" s="151" t="n"/>
      <c r="BT1449" s="151" t="n"/>
    </row>
    <row r="1450">
      <c r="BJ1450" s="151" t="n">
        <v>311503</v>
      </c>
      <c r="BK1450" s="151" t="inlineStr">
        <is>
          <t>PANADERIA Y PASTELERIA INDUSTRIAL</t>
        </is>
      </c>
      <c r="BL1450" s="151" t="n"/>
      <c r="BM1450" s="151" t="n"/>
      <c r="BN1450" s="151" t="n"/>
      <c r="BO1450" s="151" t="n"/>
      <c r="BP1450" s="151" t="n"/>
      <c r="BQ1450" s="151" t="n"/>
      <c r="BR1450" s="151" t="n"/>
      <c r="BS1450" s="151" t="n"/>
      <c r="BT1450" s="151" t="n"/>
    </row>
    <row r="1451">
      <c r="BJ1451" s="151" t="n">
        <v>311601</v>
      </c>
      <c r="BK1451" s="151" t="inlineStr">
        <is>
          <t>MOLIENDA DE NIXTAMAL</t>
        </is>
      </c>
      <c r="BL1451" s="151" t="n"/>
      <c r="BM1451" s="151" t="n"/>
      <c r="BN1451" s="151" t="n"/>
      <c r="BO1451" s="151" t="n"/>
      <c r="BP1451" s="151" t="n"/>
      <c r="BQ1451" s="151" t="n"/>
      <c r="BR1451" s="151" t="n"/>
      <c r="BS1451" s="151" t="n"/>
      <c r="BT1451" s="151" t="n"/>
    </row>
    <row r="1452">
      <c r="BJ1452" s="151" t="n">
        <v>311602</v>
      </c>
      <c r="BK1452" s="151" t="inlineStr">
        <is>
          <t>TORTILLERIAS</t>
        </is>
      </c>
      <c r="BL1452" s="151" t="n"/>
      <c r="BM1452" s="151" t="n"/>
      <c r="BN1452" s="151" t="n"/>
      <c r="BO1452" s="151" t="n"/>
      <c r="BP1452" s="151" t="n"/>
      <c r="BQ1452" s="151" t="n"/>
      <c r="BR1452" s="151" t="n"/>
      <c r="BS1452" s="151" t="n"/>
      <c r="BT1452" s="151" t="n"/>
    </row>
    <row r="1453">
      <c r="BJ1453" s="151" t="n">
        <v>311603</v>
      </c>
      <c r="BK1453" s="151" t="inlineStr">
        <is>
          <t>ELABORACION INDUSTRIAL DE TORTILLAS DE MAIZ</t>
        </is>
      </c>
      <c r="BL1453" s="151" t="n"/>
      <c r="BM1453" s="151" t="n"/>
      <c r="BN1453" s="151" t="n"/>
      <c r="BO1453" s="151" t="n"/>
      <c r="BP1453" s="151" t="n"/>
      <c r="BQ1453" s="151" t="n"/>
      <c r="BR1453" s="151" t="n"/>
      <c r="BS1453" s="151" t="n"/>
      <c r="BT1453" s="151" t="n"/>
    </row>
    <row r="1454">
      <c r="BJ1454" s="151" t="n">
        <v>311701</v>
      </c>
      <c r="BK1454" s="151" t="inlineStr">
        <is>
          <t>FABRICACION DE ACEITES Y GRASAS VEGETALES COMESTIBLES</t>
        </is>
      </c>
      <c r="BL1454" s="151" t="n"/>
      <c r="BM1454" s="151" t="n"/>
      <c r="BN1454" s="151" t="n"/>
      <c r="BO1454" s="151" t="n"/>
      <c r="BP1454" s="151" t="n"/>
      <c r="BQ1454" s="151" t="n"/>
      <c r="BR1454" s="151" t="n"/>
      <c r="BS1454" s="151" t="n"/>
      <c r="BT1454" s="151" t="n"/>
    </row>
    <row r="1455">
      <c r="BJ1455" s="151" t="n">
        <v>311702</v>
      </c>
      <c r="BK1455" s="151" t="inlineStr">
        <is>
          <t>FABRICACION DE GRASAS Y ACEITES ANIMALES COMESTIBLES</t>
        </is>
      </c>
      <c r="BL1455" s="151" t="n"/>
      <c r="BM1455" s="151" t="n"/>
      <c r="BN1455" s="151" t="n"/>
      <c r="BO1455" s="151" t="n"/>
      <c r="BP1455" s="151" t="n"/>
      <c r="BQ1455" s="151" t="n"/>
      <c r="BR1455" s="151" t="n"/>
      <c r="BS1455" s="151" t="n"/>
      <c r="BT1455" s="151" t="n"/>
    </row>
    <row r="1456">
      <c r="BJ1456" s="151" t="n">
        <v>311801</v>
      </c>
      <c r="BK1456" s="151" t="inlineStr">
        <is>
          <t>ELABORACION AZUCAR INCLUYENDO AZUCAR GLASS</t>
        </is>
      </c>
      <c r="BL1456" s="151" t="n"/>
      <c r="BM1456" s="151" t="n"/>
      <c r="BN1456" s="151" t="n"/>
      <c r="BO1456" s="151" t="n"/>
      <c r="BP1456" s="151" t="n"/>
      <c r="BQ1456" s="151" t="n"/>
      <c r="BR1456" s="151" t="n"/>
      <c r="BS1456" s="151" t="n"/>
      <c r="BT1456" s="151" t="n"/>
    </row>
    <row r="1457">
      <c r="BJ1457" s="151" t="n">
        <v>311802</v>
      </c>
      <c r="BK1457" s="151" t="inlineStr">
        <is>
          <t>ELABORACION DE PILONCILLO O PANELA</t>
        </is>
      </c>
      <c r="BL1457" s="151" t="n"/>
      <c r="BM1457" s="151" t="n"/>
      <c r="BN1457" s="151" t="n"/>
      <c r="BO1457" s="151" t="n"/>
      <c r="BP1457" s="151" t="n"/>
      <c r="BQ1457" s="151" t="n"/>
      <c r="BR1457" s="151" t="n"/>
      <c r="BS1457" s="151" t="n"/>
      <c r="BT1457" s="151" t="n"/>
    </row>
    <row r="1458">
      <c r="BJ1458" s="151" t="n">
        <v>311901</v>
      </c>
      <c r="BK1458" s="151" t="inlineStr">
        <is>
          <t>BENEFICIO COCOA Y ELABORACION COCOA Y CHOCOLATE DE MESA</t>
        </is>
      </c>
      <c r="BL1458" s="151" t="n"/>
      <c r="BM1458" s="151" t="n"/>
      <c r="BN1458" s="151" t="n"/>
      <c r="BO1458" s="151" t="n"/>
      <c r="BP1458" s="151" t="n"/>
      <c r="BQ1458" s="151" t="n"/>
      <c r="BR1458" s="151" t="n"/>
      <c r="BS1458" s="151" t="n"/>
      <c r="BT1458" s="151" t="n"/>
    </row>
    <row r="1459">
      <c r="BJ1459" s="151" t="n">
        <v>311902</v>
      </c>
      <c r="BK1459" s="151" t="inlineStr">
        <is>
          <t>ELABORACION DE DULCES BOMBONES Y CONFITURAS</t>
        </is>
      </c>
      <c r="BL1459" s="151" t="n"/>
      <c r="BM1459" s="151" t="n"/>
      <c r="BN1459" s="151" t="n"/>
      <c r="BO1459" s="151" t="n"/>
      <c r="BP1459" s="151" t="n"/>
      <c r="BQ1459" s="151" t="n"/>
      <c r="BR1459" s="151" t="n"/>
      <c r="BS1459" s="151" t="n"/>
      <c r="BT1459" s="151" t="n"/>
    </row>
    <row r="1460">
      <c r="BJ1460" s="151" t="n">
        <v>311903</v>
      </c>
      <c r="BK1460" s="151" t="inlineStr">
        <is>
          <t>FABRICACION DE CHICLES</t>
        </is>
      </c>
      <c r="BL1460" s="151" t="n"/>
      <c r="BM1460" s="151" t="n"/>
      <c r="BN1460" s="151" t="n"/>
      <c r="BO1460" s="151" t="n"/>
      <c r="BP1460" s="151" t="n"/>
      <c r="BQ1460" s="151" t="n"/>
      <c r="BR1460" s="151" t="n"/>
      <c r="BS1460" s="151" t="n"/>
      <c r="BT1460" s="151" t="n"/>
    </row>
    <row r="1461">
      <c r="BJ1461" s="151" t="n">
        <v>312111</v>
      </c>
      <c r="BK1461" s="151" t="inlineStr">
        <is>
          <t>BENEFICIO DE CAFE</t>
        </is>
      </c>
      <c r="BL1461" s="151" t="n"/>
      <c r="BM1461" s="151" t="n"/>
      <c r="BN1461" s="151" t="n"/>
      <c r="BO1461" s="151" t="n"/>
      <c r="BP1461" s="151" t="n"/>
      <c r="BQ1461" s="151" t="n"/>
      <c r="BR1461" s="151" t="n"/>
      <c r="BS1461" s="151" t="n"/>
      <c r="BT1461" s="151" t="n"/>
    </row>
    <row r="1462">
      <c r="BJ1462" s="151" t="n">
        <v>312112</v>
      </c>
      <c r="BK1462" s="151" t="inlineStr">
        <is>
          <t>TOSTADO Y MOLIENDA DE CAFE</t>
        </is>
      </c>
      <c r="BL1462" s="151" t="n"/>
      <c r="BM1462" s="151" t="n"/>
      <c r="BN1462" s="151" t="n"/>
      <c r="BO1462" s="151" t="n"/>
      <c r="BP1462" s="151" t="n"/>
      <c r="BQ1462" s="151" t="n"/>
      <c r="BR1462" s="151" t="n"/>
      <c r="BS1462" s="151" t="n"/>
      <c r="BT1462" s="151" t="n"/>
    </row>
    <row r="1463">
      <c r="BJ1463" s="151" t="n">
        <v>312113</v>
      </c>
      <c r="BK1463" s="151" t="inlineStr">
        <is>
          <t>FABRICACION DE CAFE SOLUBLE Y EXTRACTO CONCENTRADO DE CAFÉ</t>
        </is>
      </c>
      <c r="BL1463" s="151" t="n"/>
      <c r="BM1463" s="151" t="n"/>
      <c r="BN1463" s="151" t="n"/>
      <c r="BO1463" s="151" t="n"/>
      <c r="BP1463" s="151" t="n"/>
      <c r="BQ1463" s="151" t="n"/>
      <c r="BR1463" s="151" t="n"/>
      <c r="BS1463" s="151" t="n"/>
      <c r="BT1463" s="151" t="n"/>
    </row>
    <row r="1464">
      <c r="BJ1464" s="151" t="n">
        <v>312121</v>
      </c>
      <c r="BK1464" s="151" t="inlineStr">
        <is>
          <t>ELABORACION DE CONCENTRADOS JARABES Y COLORANTES NATURALES</t>
        </is>
      </c>
      <c r="BL1464" s="151" t="n"/>
      <c r="BM1464" s="151" t="n"/>
      <c r="BN1464" s="151" t="n"/>
      <c r="BO1464" s="151" t="n"/>
      <c r="BP1464" s="151" t="n"/>
      <c r="BQ1464" s="151" t="n"/>
      <c r="BR1464" s="151" t="n"/>
      <c r="BS1464" s="151" t="n"/>
      <c r="BT1464" s="151" t="n"/>
    </row>
    <row r="1465">
      <c r="BJ1465" s="151" t="n">
        <v>312122</v>
      </c>
      <c r="BK1465" s="151" t="inlineStr">
        <is>
          <t>TRATAMIENTO Y ENVASADO DE MIEL DE ABEJA</t>
        </is>
      </c>
      <c r="BL1465" s="151" t="n"/>
      <c r="BM1465" s="151" t="n"/>
      <c r="BN1465" s="151" t="n"/>
      <c r="BO1465" s="151" t="n"/>
      <c r="BP1465" s="151" t="n"/>
      <c r="BQ1465" s="151" t="n"/>
      <c r="BR1465" s="151" t="n"/>
      <c r="BS1465" s="151" t="n"/>
      <c r="BT1465" s="151" t="n"/>
    </row>
    <row r="1466">
      <c r="BJ1466" s="151" t="n">
        <v>312123</v>
      </c>
      <c r="BK1466" s="151" t="inlineStr">
        <is>
          <t>FABRICACION DE ALMIDONES FECULAS Y LEVADURAS</t>
        </is>
      </c>
      <c r="BL1466" s="151" t="n"/>
      <c r="BM1466" s="151" t="n"/>
      <c r="BN1466" s="151" t="n"/>
      <c r="BO1466" s="151" t="n"/>
      <c r="BP1466" s="151" t="n"/>
      <c r="BQ1466" s="151" t="n"/>
      <c r="BR1466" s="151" t="n"/>
      <c r="BS1466" s="151" t="n"/>
      <c r="BT1466" s="151" t="n"/>
    </row>
    <row r="1467">
      <c r="BJ1467" s="151" t="n">
        <v>312124</v>
      </c>
      <c r="BK1467" s="151" t="inlineStr">
        <is>
          <t>REFINACION DE SAL Y ELABORACION DE MAYONESA VINAGRE Y OTROS CONDIMENTOS</t>
        </is>
      </c>
      <c r="BL1467" s="151" t="n"/>
      <c r="BM1467" s="151" t="n"/>
      <c r="BN1467" s="151" t="n"/>
      <c r="BO1467" s="151" t="n"/>
      <c r="BP1467" s="151" t="n"/>
      <c r="BQ1467" s="151" t="n"/>
      <c r="BR1467" s="151" t="n"/>
      <c r="BS1467" s="151" t="n"/>
      <c r="BT1467" s="151" t="n"/>
    </row>
    <row r="1468">
      <c r="BJ1468" s="151" t="n">
        <v>312125</v>
      </c>
      <c r="BK1468" s="151" t="inlineStr">
        <is>
          <t>FABRICACION DE HIELO EXCLUYE SECO O ARTIFICIAL</t>
        </is>
      </c>
      <c r="BL1468" s="151" t="n"/>
      <c r="BM1468" s="151" t="n"/>
      <c r="BN1468" s="151" t="n"/>
      <c r="BO1468" s="151" t="n"/>
      <c r="BP1468" s="151" t="n"/>
      <c r="BQ1468" s="151" t="n"/>
      <c r="BR1468" s="151" t="n"/>
      <c r="BS1468" s="151" t="n"/>
      <c r="BT1468" s="151" t="n"/>
    </row>
    <row r="1469">
      <c r="BJ1469" s="151" t="n">
        <v>312126</v>
      </c>
      <c r="BK1469" s="151" t="inlineStr">
        <is>
          <t>FABRICACION DE GELATINAS Y POSTRES EN POLVO PARA PREPARAR EN EL HOGAR</t>
        </is>
      </c>
      <c r="BL1469" s="151" t="n"/>
      <c r="BM1469" s="151" t="n"/>
      <c r="BN1469" s="151" t="n"/>
      <c r="BO1469" s="151" t="n"/>
      <c r="BP1469" s="151" t="n"/>
      <c r="BQ1469" s="151" t="n"/>
      <c r="BR1469" s="151" t="n"/>
      <c r="BS1469" s="151" t="n"/>
      <c r="BT1469" s="151" t="n"/>
    </row>
    <row r="1470">
      <c r="BJ1470" s="151" t="n">
        <v>312127</v>
      </c>
      <c r="BK1470" s="151" t="inlineStr">
        <is>
          <t>ELABORACION DE BOTANAS Y PRODUCTOS DE MAIZ</t>
        </is>
      </c>
      <c r="BL1470" s="151" t="n"/>
      <c r="BM1470" s="151" t="n"/>
      <c r="BN1470" s="151" t="n"/>
      <c r="BO1470" s="151" t="n"/>
      <c r="BP1470" s="151" t="n"/>
      <c r="BQ1470" s="151" t="n"/>
      <c r="BR1470" s="151" t="n"/>
      <c r="BS1470" s="151" t="n"/>
      <c r="BT1470" s="151" t="n"/>
    </row>
    <row r="1471">
      <c r="BJ1471" s="151" t="n">
        <v>312128</v>
      </c>
      <c r="BK1471" s="151" t="inlineStr">
        <is>
          <t>ENVASADO DE TE EXTRACTOS Y CONCENTRADOS DE TE</t>
        </is>
      </c>
      <c r="BL1471" s="151" t="n"/>
      <c r="BM1471" s="151" t="n"/>
      <c r="BN1471" s="151" t="n"/>
      <c r="BO1471" s="151" t="n"/>
      <c r="BP1471" s="151" t="n"/>
      <c r="BQ1471" s="151" t="n"/>
      <c r="BR1471" s="151" t="n"/>
      <c r="BS1471" s="151" t="n"/>
      <c r="BT1471" s="151" t="n"/>
    </row>
    <row r="1472">
      <c r="BJ1472" s="151" t="n">
        <v>312129</v>
      </c>
      <c r="BK1472" s="151" t="inlineStr">
        <is>
          <t>ELABORACION DE PRODUCTOS ALIMENTICIOS CONSUMO HUMANO</t>
        </is>
      </c>
      <c r="BL1472" s="151" t="n"/>
      <c r="BM1472" s="151" t="n"/>
      <c r="BN1472" s="151" t="n"/>
      <c r="BO1472" s="151" t="n"/>
      <c r="BP1472" s="151" t="n"/>
      <c r="BQ1472" s="151" t="n"/>
      <c r="BR1472" s="151" t="n"/>
      <c r="BS1472" s="151" t="n"/>
      <c r="BT1472" s="151" t="n"/>
    </row>
    <row r="1473">
      <c r="BJ1473" s="151" t="n">
        <v>312200</v>
      </c>
      <c r="BK1473" s="151" t="inlineStr">
        <is>
          <t>PREPARACION Y MEZCLA DE ALIMENTOS PARA ANIMALES</t>
        </is>
      </c>
      <c r="BL1473" s="151" t="n"/>
      <c r="BM1473" s="151" t="n"/>
      <c r="BN1473" s="151" t="n"/>
      <c r="BO1473" s="151" t="n"/>
      <c r="BP1473" s="151" t="n"/>
      <c r="BQ1473" s="151" t="n"/>
      <c r="BR1473" s="151" t="n"/>
      <c r="BS1473" s="151" t="n"/>
      <c r="BT1473" s="151" t="n"/>
    </row>
    <row r="1474">
      <c r="BJ1474" s="151" t="n">
        <v>313011</v>
      </c>
      <c r="BK1474" s="151" t="inlineStr">
        <is>
          <t>ELABORACION DE BEBIDAS DESTILADAS DE AGAVES</t>
        </is>
      </c>
      <c r="BL1474" s="151" t="n"/>
      <c r="BM1474" s="151" t="n"/>
      <c r="BN1474" s="151" t="n"/>
      <c r="BO1474" s="151" t="n"/>
      <c r="BP1474" s="151" t="n"/>
      <c r="BQ1474" s="151" t="n"/>
      <c r="BR1474" s="151" t="n"/>
      <c r="BS1474" s="151" t="n"/>
      <c r="BT1474" s="151" t="n"/>
    </row>
    <row r="1475">
      <c r="BJ1475" s="151" t="n">
        <v>313012</v>
      </c>
      <c r="BK1475" s="151" t="inlineStr">
        <is>
          <t>ELABORACION DE BEBIDAS DESTILADAS DE CAÑA</t>
        </is>
      </c>
      <c r="BL1475" s="151" t="n"/>
      <c r="BM1475" s="151" t="n"/>
      <c r="BN1475" s="151" t="n"/>
      <c r="BO1475" s="151" t="n"/>
      <c r="BP1475" s="151" t="n"/>
      <c r="BQ1475" s="151" t="n"/>
      <c r="BR1475" s="151" t="n"/>
      <c r="BS1475" s="151" t="n"/>
      <c r="BT1475" s="151" t="n"/>
    </row>
    <row r="1476">
      <c r="BJ1476" s="151" t="n">
        <v>313013</v>
      </c>
      <c r="BK1476" s="151" t="inlineStr">
        <is>
          <t>ELABORACION DE BEBIDAS DESTILADAS DE UVA</t>
        </is>
      </c>
      <c r="BL1476" s="151" t="n"/>
      <c r="BM1476" s="151" t="n"/>
      <c r="BN1476" s="151" t="n"/>
      <c r="BO1476" s="151" t="n"/>
      <c r="BP1476" s="151" t="n"/>
      <c r="BQ1476" s="151" t="n"/>
      <c r="BR1476" s="151" t="n"/>
      <c r="BS1476" s="151" t="n"/>
      <c r="BT1476" s="151" t="n"/>
    </row>
    <row r="1477">
      <c r="BJ1477" s="151" t="n">
        <v>313014</v>
      </c>
      <c r="BK1477" s="151" t="inlineStr">
        <is>
          <t>ELABORACION DE OTRAS BEBIDAS ALCOHOLICAS DESTILADAS</t>
        </is>
      </c>
      <c r="BL1477" s="151" t="n"/>
      <c r="BM1477" s="151" t="n"/>
      <c r="BN1477" s="151" t="n"/>
      <c r="BO1477" s="151" t="n"/>
      <c r="BP1477" s="151" t="n"/>
      <c r="BQ1477" s="151" t="n"/>
      <c r="BR1477" s="151" t="n"/>
      <c r="BS1477" s="151" t="n"/>
      <c r="BT1477" s="151" t="n"/>
    </row>
    <row r="1478">
      <c r="BJ1478" s="151" t="n">
        <v>313020</v>
      </c>
      <c r="BK1478" s="151" t="inlineStr">
        <is>
          <t>DESTILACION DE ALCOHOL ETILICO</t>
        </is>
      </c>
      <c r="BL1478" s="151" t="n"/>
      <c r="BM1478" s="151" t="n"/>
      <c r="BN1478" s="151" t="n"/>
      <c r="BO1478" s="151" t="n"/>
      <c r="BP1478" s="151" t="n"/>
      <c r="BQ1478" s="151" t="n"/>
      <c r="BR1478" s="151" t="n"/>
      <c r="BS1478" s="151" t="n"/>
      <c r="BT1478" s="151" t="n"/>
    </row>
    <row r="1479">
      <c r="BJ1479" s="151" t="n">
        <v>313031</v>
      </c>
      <c r="BK1479" s="151" t="inlineStr">
        <is>
          <t>VINIFICACION</t>
        </is>
      </c>
      <c r="BL1479" s="151" t="n"/>
      <c r="BM1479" s="151" t="n"/>
      <c r="BN1479" s="151" t="n"/>
      <c r="BO1479" s="151" t="n"/>
      <c r="BP1479" s="151" t="n"/>
      <c r="BQ1479" s="151" t="n"/>
      <c r="BR1479" s="151" t="n"/>
      <c r="BS1479" s="151" t="n"/>
      <c r="BT1479" s="151" t="n"/>
    </row>
    <row r="1480">
      <c r="BJ1480" s="151" t="n">
        <v>313032</v>
      </c>
      <c r="BK1480" s="151" t="inlineStr">
        <is>
          <t>ELABORACION DE OTRAS BEBIDAS FERMENTADAS</t>
        </is>
      </c>
      <c r="BL1480" s="151" t="n"/>
      <c r="BM1480" s="151" t="n"/>
      <c r="BN1480" s="151" t="n"/>
      <c r="BO1480" s="151" t="n"/>
      <c r="BP1480" s="151" t="n"/>
      <c r="BQ1480" s="151" t="n"/>
      <c r="BR1480" s="151" t="n"/>
      <c r="BS1480" s="151" t="n"/>
      <c r="BT1480" s="151" t="n"/>
    </row>
    <row r="1481">
      <c r="BJ1481" s="151" t="n">
        <v>313040</v>
      </c>
      <c r="BK1481" s="151" t="inlineStr">
        <is>
          <t>INDUSTRIA DE LA CERVEZA Y LA MALTA</t>
        </is>
      </c>
      <c r="BL1481" s="151" t="n"/>
      <c r="BM1481" s="151" t="n"/>
      <c r="BN1481" s="151" t="n"/>
      <c r="BO1481" s="151" t="n"/>
      <c r="BP1481" s="151" t="n"/>
      <c r="BQ1481" s="151" t="n"/>
      <c r="BR1481" s="151" t="n"/>
      <c r="BS1481" s="151" t="n"/>
      <c r="BT1481" s="151" t="n"/>
    </row>
    <row r="1482">
      <c r="BJ1482" s="151" t="n">
        <v>313050</v>
      </c>
      <c r="BK1482" s="151" t="inlineStr">
        <is>
          <t>INDUSTRIA DE LAS BEBIDAS NO ALCOHOLICAS</t>
        </is>
      </c>
      <c r="BL1482" s="151" t="n"/>
      <c r="BM1482" s="151" t="n"/>
      <c r="BN1482" s="151" t="n"/>
      <c r="BO1482" s="151" t="n"/>
      <c r="BP1482" s="151" t="n"/>
      <c r="BQ1482" s="151" t="n"/>
      <c r="BR1482" s="151" t="n"/>
      <c r="BS1482" s="151" t="n"/>
      <c r="BT1482" s="151" t="n"/>
    </row>
    <row r="1483">
      <c r="BJ1483" s="151" t="n">
        <v>314001</v>
      </c>
      <c r="BK1483" s="151" t="inlineStr">
        <is>
          <t>BENEFICIO DEL TABACO</t>
        </is>
      </c>
      <c r="BL1483" s="151" t="n"/>
      <c r="BM1483" s="151" t="n"/>
      <c r="BN1483" s="151" t="n"/>
      <c r="BO1483" s="151" t="n"/>
      <c r="BP1483" s="151" t="n"/>
      <c r="BQ1483" s="151" t="n"/>
      <c r="BR1483" s="151" t="n"/>
      <c r="BS1483" s="151" t="n"/>
      <c r="BT1483" s="151" t="n"/>
    </row>
    <row r="1484">
      <c r="BJ1484" s="151" t="n">
        <v>314002</v>
      </c>
      <c r="BK1484" s="151" t="inlineStr">
        <is>
          <t>FABRICACION DE CIGARROS</t>
        </is>
      </c>
      <c r="BL1484" s="151" t="n"/>
      <c r="BM1484" s="151" t="n"/>
      <c r="BN1484" s="151" t="n"/>
      <c r="BO1484" s="151" t="n"/>
      <c r="BP1484" s="151" t="n"/>
      <c r="BQ1484" s="151" t="n"/>
      <c r="BR1484" s="151" t="n"/>
      <c r="BS1484" s="151" t="n"/>
      <c r="BT1484" s="151" t="n"/>
    </row>
    <row r="1485">
      <c r="BJ1485" s="151" t="n">
        <v>314003</v>
      </c>
      <c r="BK1485" s="151" t="inlineStr">
        <is>
          <t>FABRICACION DE PUROS Y OTROS PRODUCTOS DEL TABACO</t>
        </is>
      </c>
      <c r="BL1485" s="151" t="n"/>
      <c r="BM1485" s="151" t="n"/>
      <c r="BN1485" s="151" t="n"/>
      <c r="BO1485" s="151" t="n"/>
      <c r="BP1485" s="151" t="n"/>
      <c r="BQ1485" s="151" t="n"/>
      <c r="BR1485" s="151" t="n"/>
      <c r="BS1485" s="151" t="n"/>
      <c r="BT1485" s="151" t="n"/>
    </row>
    <row r="1486">
      <c r="BJ1486" s="151" t="n">
        <v>321111</v>
      </c>
      <c r="BK1486" s="151" t="inlineStr">
        <is>
          <t>PREPARACION DE FIBRA DE HENEQUEN</t>
        </is>
      </c>
      <c r="BL1486" s="151" t="n"/>
      <c r="BM1486" s="151" t="n"/>
      <c r="BN1486" s="151" t="n"/>
      <c r="BO1486" s="151" t="n"/>
      <c r="BP1486" s="151" t="n"/>
      <c r="BQ1486" s="151" t="n"/>
      <c r="BR1486" s="151" t="n"/>
      <c r="BS1486" s="151" t="n"/>
      <c r="BT1486" s="151" t="n"/>
    </row>
    <row r="1487">
      <c r="BJ1487" s="151" t="n">
        <v>321112</v>
      </c>
      <c r="BK1487" s="151" t="inlineStr">
        <is>
          <t>HILADO Y TEJIDO DE HENEQUEN</t>
        </is>
      </c>
      <c r="BL1487" s="151" t="n"/>
      <c r="BM1487" s="151" t="n"/>
      <c r="BN1487" s="151" t="n"/>
      <c r="BO1487" s="151" t="n"/>
      <c r="BP1487" s="151" t="n"/>
      <c r="BQ1487" s="151" t="n"/>
      <c r="BR1487" s="151" t="n"/>
      <c r="BS1487" s="151" t="n"/>
      <c r="BT1487" s="151" t="n"/>
    </row>
    <row r="1488">
      <c r="BJ1488" s="151" t="n">
        <v>321113</v>
      </c>
      <c r="BK1488" s="151" t="inlineStr">
        <is>
          <t>HILADO Y TEJIDOS DE IXTLE PALMA Y OTRAS FIBRAS DURAS</t>
        </is>
      </c>
      <c r="BL1488" s="151" t="n"/>
      <c r="BM1488" s="151" t="n"/>
      <c r="BN1488" s="151" t="n"/>
      <c r="BO1488" s="151" t="n"/>
      <c r="BP1488" s="151" t="n"/>
      <c r="BQ1488" s="151" t="n"/>
      <c r="BR1488" s="151" t="n"/>
      <c r="BS1488" s="151" t="n"/>
      <c r="BT1488" s="151" t="n"/>
    </row>
    <row r="1489">
      <c r="BJ1489" s="151" t="n">
        <v>321114</v>
      </c>
      <c r="BK1489" s="151" t="inlineStr">
        <is>
          <t>PREPARACION Y ACONDICIONAMIENTO DE CERDAS Y CRINES ANIMALES</t>
        </is>
      </c>
      <c r="BL1489" s="151" t="n"/>
      <c r="BM1489" s="151" t="n"/>
      <c r="BN1489" s="151" t="n"/>
      <c r="BO1489" s="151" t="n"/>
      <c r="BP1489" s="151" t="n"/>
      <c r="BQ1489" s="151" t="n"/>
      <c r="BR1489" s="151" t="n"/>
      <c r="BS1489" s="151" t="n"/>
      <c r="BT1489" s="151" t="n"/>
    </row>
    <row r="1490">
      <c r="BJ1490" s="151" t="n">
        <v>321115</v>
      </c>
      <c r="BK1490" s="151" t="inlineStr">
        <is>
          <t>TEJIDO DE ALFOMBRAS Y TAPETES DE FIBRAS DURAS</t>
        </is>
      </c>
      <c r="BL1490" s="151" t="n"/>
      <c r="BM1490" s="151" t="n"/>
      <c r="BN1490" s="151" t="n"/>
      <c r="BO1490" s="151" t="n"/>
      <c r="BP1490" s="151" t="n"/>
      <c r="BQ1490" s="151" t="n"/>
      <c r="BR1490" s="151" t="n"/>
      <c r="BS1490" s="151" t="n"/>
      <c r="BT1490" s="151" t="n"/>
    </row>
    <row r="1491">
      <c r="BJ1491" s="151" t="n">
        <v>321120</v>
      </c>
      <c r="BK1491" s="151" t="inlineStr">
        <is>
          <t>FABRICACION DE CORDELERIA FIBRAS BLANDAS NATURALES</t>
        </is>
      </c>
      <c r="BL1491" s="151" t="n"/>
      <c r="BM1491" s="151" t="n"/>
      <c r="BN1491" s="151" t="n"/>
      <c r="BO1491" s="151" t="n"/>
      <c r="BP1491" s="151" t="n"/>
      <c r="BQ1491" s="151" t="n"/>
      <c r="BR1491" s="151" t="n"/>
      <c r="BS1491" s="151" t="n"/>
      <c r="BT1491" s="151" t="n"/>
    </row>
    <row r="1492">
      <c r="BJ1492" s="151" t="n">
        <v>321201</v>
      </c>
      <c r="BK1492" s="151" t="inlineStr">
        <is>
          <t>DESPEPITE DE ALGODON</t>
        </is>
      </c>
      <c r="BL1492" s="151" t="n"/>
      <c r="BM1492" s="151" t="n"/>
      <c r="BN1492" s="151" t="n"/>
      <c r="BO1492" s="151" t="n"/>
      <c r="BP1492" s="151" t="n"/>
      <c r="BQ1492" s="151" t="n"/>
      <c r="BR1492" s="151" t="n"/>
      <c r="BS1492" s="151" t="n"/>
      <c r="BT1492" s="151" t="n"/>
    </row>
    <row r="1493">
      <c r="BJ1493" s="151" t="n">
        <v>321202</v>
      </c>
      <c r="BK1493" s="151" t="inlineStr">
        <is>
          <t>HILADO DE FIBRAS BLANDAS</t>
        </is>
      </c>
      <c r="BL1493" s="151" t="n"/>
      <c r="BM1493" s="151" t="n"/>
      <c r="BN1493" s="151" t="n"/>
      <c r="BO1493" s="151" t="n"/>
      <c r="BP1493" s="151" t="n"/>
      <c r="BQ1493" s="151" t="n"/>
      <c r="BR1493" s="151" t="n"/>
      <c r="BS1493" s="151" t="n"/>
      <c r="BT1493" s="151" t="n"/>
    </row>
    <row r="1494">
      <c r="BJ1494" s="151" t="n">
        <v>321203</v>
      </c>
      <c r="BK1494" s="151" t="inlineStr">
        <is>
          <t>FABRICACION DE HILO PARA COSER BORDAR Y TEJER</t>
        </is>
      </c>
      <c r="BL1494" s="151" t="n"/>
      <c r="BM1494" s="151" t="n"/>
      <c r="BN1494" s="151" t="n"/>
      <c r="BO1494" s="151" t="n"/>
      <c r="BP1494" s="151" t="n"/>
      <c r="BQ1494" s="151" t="n"/>
      <c r="BR1494" s="151" t="n"/>
      <c r="BS1494" s="151" t="n"/>
      <c r="BT1494" s="151" t="n"/>
    </row>
    <row r="1495">
      <c r="BJ1495" s="151" t="n">
        <v>321204</v>
      </c>
      <c r="BK1495" s="151" t="inlineStr">
        <is>
          <t>FABRICACION DE ESTAMBRES DE LANA Y FIBRAS QUIMICAS</t>
        </is>
      </c>
      <c r="BL1495" s="151" t="n"/>
      <c r="BM1495" s="151" t="n"/>
      <c r="BN1495" s="151" t="n"/>
      <c r="BO1495" s="151" t="n"/>
      <c r="BP1495" s="151" t="n"/>
      <c r="BQ1495" s="151" t="n"/>
      <c r="BR1495" s="151" t="n"/>
      <c r="BS1495" s="151" t="n"/>
      <c r="BT1495" s="151" t="n"/>
    </row>
    <row r="1496">
      <c r="BJ1496" s="151" t="n">
        <v>321205</v>
      </c>
      <c r="BK1496" s="151" t="inlineStr">
        <is>
          <t>FABRICACION DE TELAS DE LANA Y SUS MEZCLAS</t>
        </is>
      </c>
      <c r="BL1496" s="151" t="n"/>
      <c r="BM1496" s="151" t="n"/>
      <c r="BN1496" s="151" t="n"/>
      <c r="BO1496" s="151" t="n"/>
      <c r="BP1496" s="151" t="n"/>
      <c r="BQ1496" s="151" t="n"/>
      <c r="BR1496" s="151" t="n"/>
      <c r="BS1496" s="151" t="n"/>
      <c r="BT1496" s="151" t="n"/>
    </row>
    <row r="1497">
      <c r="BJ1497" s="151" t="n">
        <v>321206</v>
      </c>
      <c r="BK1497" s="151" t="inlineStr">
        <is>
          <t>TEJIDO DE FIBRAS BLANDAS</t>
        </is>
      </c>
      <c r="BL1497" s="151" t="n"/>
      <c r="BM1497" s="151" t="n"/>
      <c r="BN1497" s="151" t="n"/>
      <c r="BO1497" s="151" t="n"/>
      <c r="BP1497" s="151" t="n"/>
      <c r="BQ1497" s="151" t="n"/>
      <c r="BR1497" s="151" t="n"/>
      <c r="BS1497" s="151" t="n"/>
      <c r="BT1497" s="151" t="n"/>
    </row>
    <row r="1498">
      <c r="BJ1498" s="151" t="n">
        <v>321207</v>
      </c>
      <c r="BK1498" s="151" t="inlineStr">
        <is>
          <t>FABRICACION DE TELAS PARA COLCHAS</t>
        </is>
      </c>
      <c r="BL1498" s="151" t="n"/>
      <c r="BM1498" s="151" t="n"/>
      <c r="BN1498" s="151" t="n"/>
      <c r="BO1498" s="151" t="n"/>
      <c r="BP1498" s="151" t="n"/>
      <c r="BQ1498" s="151" t="n"/>
      <c r="BR1498" s="151" t="n"/>
      <c r="BS1498" s="151" t="n"/>
      <c r="BT1498" s="151" t="n"/>
    </row>
    <row r="1499">
      <c r="BJ1499" s="151" t="n">
        <v>321208</v>
      </c>
      <c r="BK1499" s="151" t="inlineStr">
        <is>
          <t>ACABADO DE HILOS Y TELAS DE FIBRAS BLANDAS</t>
        </is>
      </c>
      <c r="BL1499" s="151" t="n"/>
      <c r="BM1499" s="151" t="n"/>
      <c r="BN1499" s="151" t="n"/>
      <c r="BO1499" s="151" t="n"/>
      <c r="BP1499" s="151" t="n"/>
      <c r="BQ1499" s="151" t="n"/>
      <c r="BR1499" s="151" t="n"/>
      <c r="BS1499" s="151" t="n"/>
      <c r="BT1499" s="151" t="n"/>
    </row>
    <row r="1500">
      <c r="BJ1500" s="151" t="n">
        <v>321209</v>
      </c>
      <c r="BK1500" s="151" t="inlineStr">
        <is>
          <t>FABRICACION ENCAJES CINTAS ETIQUETAS PASAMANERIAS</t>
        </is>
      </c>
      <c r="BL1500" s="151" t="n"/>
      <c r="BM1500" s="151" t="n"/>
      <c r="BN1500" s="151" t="n"/>
      <c r="BO1500" s="151" t="n"/>
      <c r="BP1500" s="151" t="n"/>
      <c r="BQ1500" s="151" t="n"/>
      <c r="BR1500" s="151" t="n"/>
      <c r="BS1500" s="151" t="n"/>
      <c r="BT1500" s="151" t="n"/>
    </row>
    <row r="1501">
      <c r="BJ1501" s="151" t="n">
        <v>321210</v>
      </c>
      <c r="BK1501" s="151" t="inlineStr">
        <is>
          <t>FABRICACION DE FILTROS Y ENTRETELAS DE FIBRAS BLANDAS</t>
        </is>
      </c>
      <c r="BL1501" s="151" t="n"/>
      <c r="BM1501" s="151" t="n"/>
      <c r="BN1501" s="151" t="n"/>
      <c r="BO1501" s="151" t="n"/>
      <c r="BP1501" s="151" t="n"/>
      <c r="BQ1501" s="151" t="n"/>
      <c r="BR1501" s="151" t="n"/>
      <c r="BS1501" s="151" t="n"/>
      <c r="BT1501" s="151" t="n"/>
    </row>
    <row r="1502">
      <c r="BJ1502" s="151" t="n">
        <v>321211</v>
      </c>
      <c r="BK1502" s="151" t="inlineStr">
        <is>
          <t>FABRICACION DE HILOS Y HULES TEXTURIZADOS TASLANIZADOS</t>
        </is>
      </c>
      <c r="BL1502" s="151" t="n"/>
      <c r="BM1502" s="151" t="n"/>
      <c r="BN1502" s="151" t="n"/>
      <c r="BO1502" s="151" t="n"/>
      <c r="BP1502" s="151" t="n"/>
      <c r="BQ1502" s="151" t="n"/>
      <c r="BR1502" s="151" t="n"/>
      <c r="BS1502" s="151" t="n"/>
      <c r="BT1502" s="151" t="n"/>
    </row>
    <row r="1503">
      <c r="BJ1503" s="151" t="n">
        <v>321212</v>
      </c>
      <c r="BK1503" s="151" t="inlineStr">
        <is>
          <t>FABRICACION DE HILADOS Y TEJIDOS DE PAPEL</t>
        </is>
      </c>
      <c r="BL1503" s="151" t="n"/>
      <c r="BM1503" s="151" t="n"/>
      <c r="BN1503" s="151" t="n"/>
      <c r="BO1503" s="151" t="n"/>
      <c r="BP1503" s="151" t="n"/>
      <c r="BQ1503" s="151" t="n"/>
      <c r="BR1503" s="151" t="n"/>
      <c r="BS1503" s="151" t="n"/>
      <c r="BT1503" s="151" t="n"/>
    </row>
    <row r="1504">
      <c r="BJ1504" s="151" t="n">
        <v>321213</v>
      </c>
      <c r="BK1504" s="151" t="inlineStr">
        <is>
          <t>TEJIDO DE FIBRAS POLIOLEFINAS</t>
        </is>
      </c>
      <c r="BL1504" s="151" t="n"/>
      <c r="BM1504" s="151" t="n"/>
      <c r="BN1504" s="151" t="n"/>
      <c r="BO1504" s="151" t="n"/>
      <c r="BP1504" s="151" t="n"/>
      <c r="BQ1504" s="151" t="n"/>
      <c r="BR1504" s="151" t="n"/>
      <c r="BS1504" s="151" t="n"/>
      <c r="BT1504" s="151" t="n"/>
    </row>
    <row r="1505">
      <c r="BJ1505" s="151" t="n">
        <v>321214</v>
      </c>
      <c r="BK1505" s="151" t="inlineStr">
        <is>
          <t>TEJIDO DE REDES Y PAÑO PARA PESCA CON FIBRAS BLANDAS</t>
        </is>
      </c>
      <c r="BL1505" s="151" t="n"/>
      <c r="BM1505" s="151" t="n"/>
      <c r="BN1505" s="151" t="n"/>
      <c r="BO1505" s="151" t="n"/>
      <c r="BP1505" s="151" t="n"/>
      <c r="BQ1505" s="151" t="n"/>
      <c r="BR1505" s="151" t="n"/>
      <c r="BS1505" s="151" t="n"/>
      <c r="BT1505" s="151" t="n"/>
    </row>
    <row r="1506">
      <c r="BJ1506" s="151" t="n">
        <v>321215</v>
      </c>
      <c r="BK1506" s="151" t="inlineStr">
        <is>
          <t>HILADOS Y TEJIDOS DE REGENERADOS</t>
        </is>
      </c>
      <c r="BL1506" s="151" t="n"/>
      <c r="BM1506" s="151" t="n"/>
      <c r="BN1506" s="151" t="n"/>
      <c r="BO1506" s="151" t="n"/>
      <c r="BP1506" s="151" t="n"/>
      <c r="BQ1506" s="151" t="n"/>
      <c r="BR1506" s="151" t="n"/>
      <c r="BS1506" s="151" t="n"/>
      <c r="BT1506" s="151" t="n"/>
    </row>
    <row r="1507">
      <c r="BJ1507" s="151" t="n">
        <v>321216</v>
      </c>
      <c r="BK1507" s="151" t="inlineStr">
        <is>
          <t>FABRICACION DE TELAS NO TEJIDAS</t>
        </is>
      </c>
      <c r="BL1507" s="151" t="n"/>
      <c r="BM1507" s="151" t="n"/>
      <c r="BN1507" s="151" t="n"/>
      <c r="BO1507" s="151" t="n"/>
      <c r="BP1507" s="151" t="n"/>
      <c r="BQ1507" s="151" t="n"/>
      <c r="BR1507" s="151" t="n"/>
      <c r="BS1507" s="151" t="n"/>
      <c r="BT1507" s="151" t="n"/>
    </row>
    <row r="1508">
      <c r="BJ1508" s="151" t="n">
        <v>321311</v>
      </c>
      <c r="BK1508" s="151" t="inlineStr">
        <is>
          <t>CONFECCION DE BLANCOS</t>
        </is>
      </c>
      <c r="BL1508" s="151" t="n"/>
      <c r="BM1508" s="151" t="n"/>
      <c r="BN1508" s="151" t="n"/>
      <c r="BO1508" s="151" t="n"/>
      <c r="BP1508" s="151" t="n"/>
      <c r="BQ1508" s="151" t="n"/>
      <c r="BR1508" s="151" t="n"/>
      <c r="BS1508" s="151" t="n"/>
      <c r="BT1508" s="151" t="n"/>
    </row>
    <row r="1509">
      <c r="BJ1509" s="151" t="n">
        <v>321312</v>
      </c>
      <c r="BK1509" s="151" t="inlineStr">
        <is>
          <t>ELABORACION DE BORDADOS Y DESHILADOS</t>
        </is>
      </c>
      <c r="BL1509" s="151" t="n"/>
      <c r="BM1509" s="151" t="n"/>
      <c r="BN1509" s="151" t="n"/>
      <c r="BO1509" s="151" t="n"/>
      <c r="BP1509" s="151" t="n"/>
      <c r="BQ1509" s="151" t="n"/>
      <c r="BR1509" s="151" t="n"/>
      <c r="BS1509" s="151" t="n"/>
      <c r="BT1509" s="151" t="n"/>
    </row>
    <row r="1510">
      <c r="BJ1510" s="151" t="n">
        <v>321313</v>
      </c>
      <c r="BK1510" s="151" t="inlineStr">
        <is>
          <t>CONFECCION DE TOLDOS Y TIENDAS DE CAMPAÑAS</t>
        </is>
      </c>
      <c r="BL1510" s="151" t="n"/>
      <c r="BM1510" s="151" t="n"/>
      <c r="BN1510" s="151" t="n"/>
      <c r="BO1510" s="151" t="n"/>
      <c r="BP1510" s="151" t="n"/>
      <c r="BQ1510" s="151" t="n"/>
      <c r="BR1510" s="151" t="n"/>
      <c r="BS1510" s="151" t="n"/>
      <c r="BT1510" s="151" t="n"/>
    </row>
    <row r="1511">
      <c r="BJ1511" s="151" t="n">
        <v>321314</v>
      </c>
      <c r="BK1511" s="151" t="inlineStr">
        <is>
          <t>CONFECCIONES  DE ARTICULOS OTROS MATERIALES TEXTILES NACIONALES SINTETICOS</t>
        </is>
      </c>
      <c r="BL1511" s="151" t="n"/>
      <c r="BM1511" s="151" t="n"/>
      <c r="BN1511" s="151" t="n"/>
      <c r="BO1511" s="151" t="n"/>
      <c r="BP1511" s="151" t="n"/>
      <c r="BQ1511" s="151" t="n"/>
      <c r="BR1511" s="151" t="n"/>
      <c r="BS1511" s="151" t="n"/>
      <c r="BT1511" s="151" t="n"/>
    </row>
    <row r="1512">
      <c r="BJ1512" s="151" t="n">
        <v>321321</v>
      </c>
      <c r="BK1512" s="151" t="inlineStr">
        <is>
          <t>TEJIDO A MANO DE ALFOMBRAS Y TAPETES CON FIBRAS BLANDAS</t>
        </is>
      </c>
      <c r="BL1512" s="151" t="n"/>
      <c r="BM1512" s="151" t="n"/>
      <c r="BN1512" s="151" t="n"/>
      <c r="BO1512" s="151" t="n"/>
      <c r="BP1512" s="151" t="n"/>
      <c r="BQ1512" s="151" t="n"/>
      <c r="BR1512" s="151" t="n"/>
      <c r="BS1512" s="151" t="n"/>
      <c r="BT1512" s="151" t="n"/>
    </row>
    <row r="1513">
      <c r="BJ1513" s="151" t="n">
        <v>321322</v>
      </c>
      <c r="BK1513" s="151" t="inlineStr">
        <is>
          <t>TEJIDO A MAQUINA DE ALFOMBRAS Y TAPETES CON FIBRAS BLANDAS</t>
        </is>
      </c>
      <c r="BL1513" s="151" t="n"/>
      <c r="BM1513" s="151" t="n"/>
      <c r="BN1513" s="151" t="n"/>
      <c r="BO1513" s="151" t="n"/>
      <c r="BP1513" s="151" t="n"/>
      <c r="BQ1513" s="151" t="n"/>
      <c r="BR1513" s="151" t="n"/>
      <c r="BS1513" s="151" t="n"/>
      <c r="BT1513" s="151" t="n"/>
    </row>
    <row r="1514">
      <c r="BJ1514" s="151" t="n">
        <v>321330</v>
      </c>
      <c r="BK1514" s="151" t="inlineStr">
        <is>
          <t>FABRICACION DE TEXTILES RECUBIERTOS O CON BAÑO</t>
        </is>
      </c>
      <c r="BL1514" s="151" t="n"/>
      <c r="BM1514" s="151" t="n"/>
      <c r="BN1514" s="151" t="n"/>
      <c r="BO1514" s="151" t="n"/>
      <c r="BP1514" s="151" t="n"/>
      <c r="BQ1514" s="151" t="n"/>
      <c r="BR1514" s="151" t="n"/>
      <c r="BS1514" s="151" t="n"/>
      <c r="BT1514" s="151" t="n"/>
    </row>
    <row r="1515">
      <c r="BJ1515" s="151" t="n">
        <v>321401</v>
      </c>
      <c r="BK1515" s="151" t="inlineStr">
        <is>
          <t>FABRICACION DE MEDIAS Y CALCETINES</t>
        </is>
      </c>
      <c r="BL1515" s="151" t="n"/>
      <c r="BM1515" s="151" t="n"/>
      <c r="BN1515" s="151" t="n"/>
      <c r="BO1515" s="151" t="n"/>
      <c r="BP1515" s="151" t="n"/>
      <c r="BQ1515" s="151" t="n"/>
      <c r="BR1515" s="151" t="n"/>
      <c r="BS1515" s="151" t="n"/>
      <c r="BT1515" s="151" t="n"/>
    </row>
    <row r="1516">
      <c r="BJ1516" s="151" t="n">
        <v>321402</v>
      </c>
      <c r="BK1516" s="151" t="inlineStr">
        <is>
          <t>FABRICACION DE SUETERES</t>
        </is>
      </c>
      <c r="BL1516" s="151" t="n"/>
      <c r="BM1516" s="151" t="n"/>
      <c r="BN1516" s="151" t="n"/>
      <c r="BO1516" s="151" t="n"/>
      <c r="BP1516" s="151" t="n"/>
      <c r="BQ1516" s="151" t="n"/>
      <c r="BR1516" s="151" t="n"/>
      <c r="BS1516" s="151" t="n"/>
      <c r="BT1516" s="151" t="n"/>
    </row>
    <row r="1517">
      <c r="BJ1517" s="151" t="n">
        <v>321403</v>
      </c>
      <c r="BK1517" s="151" t="inlineStr">
        <is>
          <t>FABRICACION DE ROPA INTERIOR DE TEJIDO DE PUNTO</t>
        </is>
      </c>
      <c r="BL1517" s="151" t="n"/>
      <c r="BM1517" s="151" t="n"/>
      <c r="BN1517" s="151" t="n"/>
      <c r="BO1517" s="151" t="n"/>
      <c r="BP1517" s="151" t="n"/>
      <c r="BQ1517" s="151" t="n"/>
      <c r="BR1517" s="151" t="n"/>
      <c r="BS1517" s="151" t="n"/>
      <c r="BT1517" s="151" t="n"/>
    </row>
    <row r="1518">
      <c r="BJ1518" s="151" t="n">
        <v>321404</v>
      </c>
      <c r="BK1518" s="151" t="inlineStr">
        <is>
          <t>FABRICACION DE TELAS TEJIDAS DE PUNTO</t>
        </is>
      </c>
      <c r="BL1518" s="151" t="n"/>
      <c r="BM1518" s="151" t="n"/>
      <c r="BN1518" s="151" t="n"/>
      <c r="BO1518" s="151" t="n"/>
      <c r="BP1518" s="151" t="n"/>
      <c r="BQ1518" s="151" t="n"/>
      <c r="BR1518" s="151" t="n"/>
      <c r="BS1518" s="151" t="n"/>
      <c r="BT1518" s="151" t="n"/>
    </row>
    <row r="1519">
      <c r="BJ1519" s="151" t="n">
        <v>321405</v>
      </c>
      <c r="BK1519" s="151" t="inlineStr">
        <is>
          <t>FABRICACION DE ROPA EXTERIOR DE TEJIDO DE PUNTO OTROS ARTICULOS</t>
        </is>
      </c>
      <c r="BL1519" s="151" t="n"/>
      <c r="BM1519" s="151" t="n"/>
      <c r="BN1519" s="151" t="n"/>
      <c r="BO1519" s="151" t="n"/>
      <c r="BP1519" s="151" t="n"/>
      <c r="BQ1519" s="151" t="n"/>
      <c r="BR1519" s="151" t="n"/>
      <c r="BS1519" s="151" t="n"/>
      <c r="BT1519" s="151" t="n"/>
    </row>
    <row r="1520">
      <c r="BJ1520" s="151" t="n">
        <v>322001</v>
      </c>
      <c r="BK1520" s="151" t="inlineStr">
        <is>
          <t>CONFECCION ROPA EXTERIOR CABALLERO HECHA EN SERIE</t>
        </is>
      </c>
      <c r="BL1520" s="151" t="n"/>
      <c r="BM1520" s="151" t="n"/>
      <c r="BN1520" s="151" t="n"/>
      <c r="BO1520" s="151" t="n"/>
      <c r="BP1520" s="151" t="n"/>
      <c r="BQ1520" s="151" t="n"/>
      <c r="BR1520" s="151" t="n"/>
      <c r="BS1520" s="151" t="n"/>
      <c r="BT1520" s="151" t="n"/>
    </row>
    <row r="1521">
      <c r="BJ1521" s="151" t="n">
        <v>322002</v>
      </c>
      <c r="BK1521" s="151" t="inlineStr">
        <is>
          <t>CONFECCION ROPA EXTERIOR CABALLERO HECHA SOBRE MEDIDA</t>
        </is>
      </c>
      <c r="BL1521" s="151" t="n"/>
      <c r="BM1521" s="151" t="n"/>
      <c r="BN1521" s="151" t="n"/>
      <c r="BO1521" s="151" t="n"/>
      <c r="BP1521" s="151" t="n"/>
      <c r="BQ1521" s="151" t="n"/>
      <c r="BR1521" s="151" t="n"/>
      <c r="BS1521" s="151" t="n"/>
      <c r="BT1521" s="151" t="n"/>
    </row>
    <row r="1522">
      <c r="BJ1522" s="151" t="n">
        <v>322003</v>
      </c>
      <c r="BK1522" s="151" t="inlineStr">
        <is>
          <t>CONFECCION ROPA EXTERIOR DAMA HECHA EN SERIE</t>
        </is>
      </c>
      <c r="BL1522" s="151" t="n"/>
      <c r="BM1522" s="151" t="n"/>
      <c r="BN1522" s="151" t="n"/>
      <c r="BO1522" s="151" t="n"/>
      <c r="BP1522" s="151" t="n"/>
      <c r="BQ1522" s="151" t="n"/>
      <c r="BR1522" s="151" t="n"/>
      <c r="BS1522" s="151" t="n"/>
      <c r="BT1522" s="151" t="n"/>
    </row>
    <row r="1523">
      <c r="BJ1523" s="151" t="n">
        <v>322004</v>
      </c>
      <c r="BK1523" s="151" t="inlineStr">
        <is>
          <t>CONFECCION ROPA EXTERIOR DAMA HECHA SOBRE MEDIDA</t>
        </is>
      </c>
      <c r="BL1523" s="151" t="n"/>
      <c r="BM1523" s="151" t="n"/>
      <c r="BN1523" s="151" t="n"/>
      <c r="BO1523" s="151" t="n"/>
      <c r="BP1523" s="151" t="n"/>
      <c r="BQ1523" s="151" t="n"/>
      <c r="BR1523" s="151" t="n"/>
      <c r="BS1523" s="151" t="n"/>
      <c r="BT1523" s="151" t="n"/>
    </row>
    <row r="1524">
      <c r="BJ1524" s="151" t="n">
        <v>322005</v>
      </c>
      <c r="BK1524" s="151" t="inlineStr">
        <is>
          <t>CONFECCION DE CAMISAS</t>
        </is>
      </c>
      <c r="BL1524" s="151" t="n"/>
      <c r="BM1524" s="151" t="n"/>
      <c r="BN1524" s="151" t="n"/>
      <c r="BO1524" s="151" t="n"/>
      <c r="BP1524" s="151" t="n"/>
      <c r="BQ1524" s="151" t="n"/>
      <c r="BR1524" s="151" t="n"/>
      <c r="BS1524" s="151" t="n"/>
      <c r="BT1524" s="151" t="n"/>
    </row>
    <row r="1525">
      <c r="BJ1525" s="151" t="n">
        <v>322006</v>
      </c>
      <c r="BK1525" s="151" t="inlineStr">
        <is>
          <t>CONFECCION DE UNIFORMES</t>
        </is>
      </c>
      <c r="BL1525" s="151" t="n"/>
      <c r="BM1525" s="151" t="n"/>
      <c r="BN1525" s="151" t="n"/>
      <c r="BO1525" s="151" t="n"/>
      <c r="BP1525" s="151" t="n"/>
      <c r="BQ1525" s="151" t="n"/>
      <c r="BR1525" s="151" t="n"/>
      <c r="BS1525" s="151" t="n"/>
      <c r="BT1525" s="151" t="n"/>
    </row>
    <row r="1526">
      <c r="BJ1526" s="151" t="n">
        <v>322007</v>
      </c>
      <c r="BK1526" s="151" t="inlineStr">
        <is>
          <t>CONFECCION PRENDAS DE VESTIR DE CUERO Y PIEL</t>
        </is>
      </c>
      <c r="BL1526" s="151" t="n"/>
      <c r="BM1526" s="151" t="n"/>
      <c r="BN1526" s="151" t="n"/>
      <c r="BO1526" s="151" t="n"/>
      <c r="BP1526" s="151" t="n"/>
      <c r="BQ1526" s="151" t="n"/>
      <c r="BR1526" s="151" t="n"/>
      <c r="BS1526" s="151" t="n"/>
      <c r="BT1526" s="151" t="n"/>
    </row>
    <row r="1527">
      <c r="BJ1527" s="151" t="n">
        <v>322008</v>
      </c>
      <c r="BK1527" s="151" t="inlineStr">
        <is>
          <t>CONFECCION DE EXTERIOR PARA NIÑOS Y NIÑAS</t>
        </is>
      </c>
      <c r="BL1527" s="151" t="n"/>
      <c r="BM1527" s="151" t="n"/>
      <c r="BN1527" s="151" t="n"/>
      <c r="BO1527" s="151" t="n"/>
      <c r="BP1527" s="151" t="n"/>
      <c r="BQ1527" s="151" t="n"/>
      <c r="BR1527" s="151" t="n"/>
      <c r="BS1527" s="151" t="n"/>
      <c r="BT1527" s="151" t="n"/>
    </row>
    <row r="1528">
      <c r="BJ1528" s="151" t="n">
        <v>322009</v>
      </c>
      <c r="BK1528" s="151" t="inlineStr">
        <is>
          <t>CONFECCION DE OTRAS PRENDAS EXTERIORES DE VESTIR</t>
        </is>
      </c>
      <c r="BL1528" s="151" t="n"/>
      <c r="BM1528" s="151" t="n"/>
      <c r="BN1528" s="151" t="n"/>
      <c r="BO1528" s="151" t="n"/>
      <c r="BP1528" s="151" t="n"/>
      <c r="BQ1528" s="151" t="n"/>
      <c r="BR1528" s="151" t="n"/>
      <c r="BS1528" s="151" t="n"/>
      <c r="BT1528" s="151" t="n"/>
    </row>
    <row r="1529">
      <c r="BJ1529" s="151" t="n">
        <v>322010</v>
      </c>
      <c r="BK1529" s="151" t="inlineStr">
        <is>
          <t>FABRICACION DE CORSETERIA</t>
        </is>
      </c>
      <c r="BL1529" s="151" t="n"/>
      <c r="BM1529" s="151" t="n"/>
      <c r="BN1529" s="151" t="n"/>
      <c r="BO1529" s="151" t="n"/>
      <c r="BP1529" s="151" t="n"/>
      <c r="BQ1529" s="151" t="n"/>
      <c r="BR1529" s="151" t="n"/>
      <c r="BS1529" s="151" t="n"/>
      <c r="BT1529" s="151" t="n"/>
    </row>
    <row r="1530">
      <c r="BJ1530" s="151" t="n">
        <v>322011</v>
      </c>
      <c r="BK1530" s="151" t="inlineStr">
        <is>
          <t>CONFECCION DE OTRA ROPA INTERIOR</t>
        </is>
      </c>
      <c r="BL1530" s="151" t="n"/>
      <c r="BM1530" s="151" t="n"/>
      <c r="BN1530" s="151" t="n"/>
      <c r="BO1530" s="151" t="n"/>
      <c r="BP1530" s="151" t="n"/>
      <c r="BQ1530" s="151" t="n"/>
      <c r="BR1530" s="151" t="n"/>
      <c r="BS1530" s="151" t="n"/>
      <c r="BT1530" s="151" t="n"/>
    </row>
    <row r="1531">
      <c r="BJ1531" s="151" t="n">
        <v>322012</v>
      </c>
      <c r="BK1531" s="151" t="inlineStr">
        <is>
          <t>FABRICACION DE SOMBREROS GORRAS Y SIMILARES</t>
        </is>
      </c>
      <c r="BL1531" s="151" t="n"/>
      <c r="BM1531" s="151" t="n"/>
      <c r="BN1531" s="151" t="n"/>
      <c r="BO1531" s="151" t="n"/>
      <c r="BP1531" s="151" t="n"/>
      <c r="BQ1531" s="151" t="n"/>
      <c r="BR1531" s="151" t="n"/>
      <c r="BS1531" s="151" t="n"/>
      <c r="BT1531" s="151" t="n"/>
    </row>
    <row r="1532">
      <c r="BJ1532" s="151" t="n">
        <v>322013</v>
      </c>
      <c r="BK1532" s="151" t="inlineStr">
        <is>
          <t>FABRICACION DE GUANTES CORBATAS PAÑUELOS Y SIMILARES</t>
        </is>
      </c>
      <c r="BL1532" s="151" t="n"/>
      <c r="BM1532" s="151" t="n"/>
      <c r="BN1532" s="151" t="n"/>
      <c r="BO1532" s="151" t="n"/>
      <c r="BP1532" s="151" t="n"/>
      <c r="BQ1532" s="151" t="n"/>
      <c r="BR1532" s="151" t="n"/>
      <c r="BS1532" s="151" t="n"/>
      <c r="BT1532" s="151" t="n"/>
    </row>
    <row r="1533">
      <c r="BJ1533" s="151" t="n">
        <v>323001</v>
      </c>
      <c r="BK1533" s="151" t="inlineStr">
        <is>
          <t>CURTIDO Y ACABADO DE CUERO</t>
        </is>
      </c>
      <c r="BL1533" s="151" t="n"/>
      <c r="BM1533" s="151" t="n"/>
      <c r="BN1533" s="151" t="n"/>
      <c r="BO1533" s="151" t="n"/>
      <c r="BP1533" s="151" t="n"/>
      <c r="BQ1533" s="151" t="n"/>
      <c r="BR1533" s="151" t="n"/>
      <c r="BS1533" s="151" t="n"/>
      <c r="BT1533" s="151" t="n"/>
    </row>
    <row r="1534">
      <c r="BJ1534" s="151" t="n">
        <v>323002</v>
      </c>
      <c r="BK1534" s="151" t="inlineStr">
        <is>
          <t>CURTIDO Y ACABADO DE PIELES SIN DEPILAR</t>
        </is>
      </c>
      <c r="BL1534" s="151" t="n"/>
      <c r="BM1534" s="151" t="n"/>
      <c r="BN1534" s="151" t="n"/>
      <c r="BO1534" s="151" t="n"/>
      <c r="BP1534" s="151" t="n"/>
      <c r="BQ1534" s="151" t="n"/>
      <c r="BR1534" s="151" t="n"/>
      <c r="BS1534" s="151" t="n"/>
      <c r="BT1534" s="151" t="n"/>
    </row>
    <row r="1535">
      <c r="BJ1535" s="151" t="n">
        <v>323003</v>
      </c>
      <c r="BK1535" s="151" t="inlineStr">
        <is>
          <t>FABRICACION DE PRODUCTOS DE CUERO PIEL Y MATERIALES SUCEDANEOS</t>
        </is>
      </c>
      <c r="BL1535" s="151" t="n"/>
      <c r="BM1535" s="151" t="n"/>
      <c r="BN1535" s="151" t="n"/>
      <c r="BO1535" s="151" t="n"/>
      <c r="BP1535" s="151" t="n"/>
      <c r="BQ1535" s="151" t="n"/>
      <c r="BR1535" s="151" t="n"/>
      <c r="BS1535" s="151" t="n"/>
      <c r="BT1535" s="151" t="n"/>
    </row>
    <row r="1536">
      <c r="BJ1536" s="151" t="n">
        <v>324001</v>
      </c>
      <c r="BK1536" s="151" t="inlineStr">
        <is>
          <t>FABRICACION DE CALZADO DE CUERO</t>
        </is>
      </c>
      <c r="BL1536" s="151" t="n"/>
      <c r="BM1536" s="151" t="n"/>
      <c r="BN1536" s="151" t="n"/>
      <c r="BO1536" s="151" t="n"/>
      <c r="BP1536" s="151" t="n"/>
      <c r="BQ1536" s="151" t="n"/>
      <c r="BR1536" s="151" t="n"/>
      <c r="BS1536" s="151" t="n"/>
      <c r="BT1536" s="151" t="n"/>
    </row>
    <row r="1537">
      <c r="BJ1537" s="151" t="n">
        <v>324002</v>
      </c>
      <c r="BK1537" s="151" t="inlineStr">
        <is>
          <t>FABRICACION DE CALZADO DE TELA CON SUELA  Y HULE SINTETICO</t>
        </is>
      </c>
      <c r="BL1537" s="151" t="n"/>
      <c r="BM1537" s="151" t="n"/>
      <c r="BN1537" s="151" t="n"/>
      <c r="BO1537" s="151" t="n"/>
      <c r="BP1537" s="151" t="n"/>
      <c r="BQ1537" s="151" t="n"/>
      <c r="BR1537" s="151" t="n"/>
      <c r="BS1537" s="151" t="n"/>
      <c r="BT1537" s="151" t="n"/>
    </row>
    <row r="1538">
      <c r="BJ1538" s="151" t="n">
        <v>324003</v>
      </c>
      <c r="BK1538" s="151" t="inlineStr">
        <is>
          <t>FABRICACION DE CALZADO POR INYECCION</t>
        </is>
      </c>
      <c r="BL1538" s="151" t="n"/>
      <c r="BM1538" s="151" t="n"/>
      <c r="BN1538" s="151" t="n"/>
      <c r="BO1538" s="151" t="n"/>
      <c r="BP1538" s="151" t="n"/>
      <c r="BQ1538" s="151" t="n"/>
      <c r="BR1538" s="151" t="n"/>
      <c r="BS1538" s="151" t="n"/>
      <c r="BT1538" s="151" t="n"/>
    </row>
    <row r="1539">
      <c r="BJ1539" s="151" t="n">
        <v>324004</v>
      </c>
      <c r="BK1539" s="151" t="inlineStr">
        <is>
          <t>FABRICACION DE CALZADO DE MADERA</t>
        </is>
      </c>
      <c r="BL1539" s="151" t="n"/>
      <c r="BM1539" s="151" t="n"/>
      <c r="BN1539" s="151" t="n"/>
      <c r="BO1539" s="151" t="n"/>
      <c r="BP1539" s="151" t="n"/>
      <c r="BQ1539" s="151" t="n"/>
      <c r="BR1539" s="151" t="n"/>
      <c r="BS1539" s="151" t="n"/>
      <c r="BT1539" s="151" t="n"/>
    </row>
    <row r="1540">
      <c r="BJ1540" s="151" t="n">
        <v>324005</v>
      </c>
      <c r="BK1540" s="151" t="inlineStr">
        <is>
          <t>FABRICACION DE OTRO TIPO CALZADO NO ESPECIFICADO ANTERIORMENTE</t>
        </is>
      </c>
      <c r="BL1540" s="151" t="n"/>
      <c r="BM1540" s="151" t="n"/>
      <c r="BN1540" s="151" t="n"/>
      <c r="BO1540" s="151" t="n"/>
      <c r="BP1540" s="151" t="n"/>
      <c r="BQ1540" s="151" t="n"/>
      <c r="BR1540" s="151" t="n"/>
      <c r="BS1540" s="151" t="n"/>
      <c r="BT1540" s="151" t="n"/>
    </row>
    <row r="1541">
      <c r="BJ1541" s="151" t="n">
        <v>331101</v>
      </c>
      <c r="BK1541" s="151" t="inlineStr">
        <is>
          <t>OBTENCION DE PRODUCTOS DE ASERRADERO</t>
        </is>
      </c>
      <c r="BL1541" s="151" t="n"/>
      <c r="BM1541" s="151" t="n"/>
      <c r="BN1541" s="151" t="n"/>
      <c r="BO1541" s="151" t="n"/>
      <c r="BP1541" s="151" t="n"/>
      <c r="BQ1541" s="151" t="n"/>
      <c r="BR1541" s="151" t="n"/>
      <c r="BS1541" s="151" t="n"/>
      <c r="BT1541" s="151" t="n"/>
    </row>
    <row r="1542">
      <c r="BJ1542" s="151" t="n">
        <v>331102</v>
      </c>
      <c r="BK1542" s="151" t="inlineStr">
        <is>
          <t>FABRICACION DE TRIPLAY FIBRACEL Y TABLEROS AGLUTINADOS</t>
        </is>
      </c>
      <c r="BL1542" s="151" t="n"/>
      <c r="BM1542" s="151" t="n"/>
      <c r="BN1542" s="151" t="n"/>
      <c r="BO1542" s="151" t="n"/>
      <c r="BP1542" s="151" t="n"/>
      <c r="BQ1542" s="151" t="n"/>
      <c r="BR1542" s="151" t="n"/>
      <c r="BS1542" s="151" t="n"/>
      <c r="BT1542" s="151" t="n"/>
    </row>
    <row r="1543">
      <c r="BJ1543" s="151" t="n">
        <v>331103</v>
      </c>
      <c r="BK1543" s="151" t="inlineStr">
        <is>
          <t>FABRICACION DE PRODUCTOS DE MADERA PARA CONSTRUCCION</t>
        </is>
      </c>
      <c r="BL1543" s="151" t="n"/>
      <c r="BM1543" s="151" t="n"/>
      <c r="BN1543" s="151" t="n"/>
      <c r="BO1543" s="151" t="n"/>
      <c r="BP1543" s="151" t="n"/>
      <c r="BQ1543" s="151" t="n"/>
      <c r="BR1543" s="151" t="n"/>
      <c r="BS1543" s="151" t="n"/>
      <c r="BT1543" s="151" t="n"/>
    </row>
    <row r="1544">
      <c r="BJ1544" s="151" t="n">
        <v>331201</v>
      </c>
      <c r="BK1544" s="151" t="inlineStr">
        <is>
          <t>FABRICACION DE ENVASES DE MADERA</t>
        </is>
      </c>
      <c r="BL1544" s="151" t="n"/>
      <c r="BM1544" s="151" t="n"/>
      <c r="BN1544" s="151" t="n"/>
      <c r="BO1544" s="151" t="n"/>
      <c r="BP1544" s="151" t="n"/>
      <c r="BQ1544" s="151" t="n"/>
      <c r="BR1544" s="151" t="n"/>
      <c r="BS1544" s="151" t="n"/>
      <c r="BT1544" s="151" t="n"/>
    </row>
    <row r="1545">
      <c r="BJ1545" s="151" t="n">
        <v>331202</v>
      </c>
      <c r="BK1545" s="151" t="inlineStr">
        <is>
          <t>FABRICACION DE ARTICULOS DE PALMA VARA CARRIZO Y MIMBRE</t>
        </is>
      </c>
      <c r="BL1545" s="151" t="n"/>
      <c r="BM1545" s="151" t="n"/>
      <c r="BN1545" s="151" t="n"/>
      <c r="BO1545" s="151" t="n"/>
      <c r="BP1545" s="151" t="n"/>
      <c r="BQ1545" s="151" t="n"/>
      <c r="BR1545" s="151" t="n"/>
      <c r="BS1545" s="151" t="n"/>
      <c r="BT1545" s="151" t="n"/>
    </row>
    <row r="1546">
      <c r="BJ1546" s="151" t="n">
        <v>331203</v>
      </c>
      <c r="BK1546" s="151" t="inlineStr">
        <is>
          <t>FABRICACION DE ATAUDES</t>
        </is>
      </c>
      <c r="BL1546" s="151" t="n"/>
      <c r="BM1546" s="151" t="n"/>
      <c r="BN1546" s="151" t="n"/>
      <c r="BO1546" s="151" t="n"/>
      <c r="BP1546" s="151" t="n"/>
      <c r="BQ1546" s="151" t="n"/>
      <c r="BR1546" s="151" t="n"/>
      <c r="BS1546" s="151" t="n"/>
      <c r="BT1546" s="151" t="n"/>
    </row>
    <row r="1547">
      <c r="BJ1547" s="151" t="n">
        <v>331204</v>
      </c>
      <c r="BK1547" s="151" t="inlineStr">
        <is>
          <t>FABRICACION DE PRODUCTOS DE CORCHO</t>
        </is>
      </c>
      <c r="BL1547" s="151" t="n"/>
      <c r="BM1547" s="151" t="n"/>
      <c r="BN1547" s="151" t="n"/>
      <c r="BO1547" s="151" t="n"/>
      <c r="BP1547" s="151" t="n"/>
      <c r="BQ1547" s="151" t="n"/>
      <c r="BR1547" s="151" t="n"/>
      <c r="BS1547" s="151" t="n"/>
      <c r="BT1547" s="151" t="n"/>
    </row>
    <row r="1548">
      <c r="BJ1548" s="151" t="n">
        <v>331205</v>
      </c>
      <c r="BK1548" s="151" t="inlineStr">
        <is>
          <t>FABRICACION DE OTROS PRODUCTOS DE MADERA</t>
        </is>
      </c>
      <c r="BL1548" s="151" t="n"/>
      <c r="BM1548" s="151" t="n"/>
      <c r="BN1548" s="151" t="n"/>
      <c r="BO1548" s="151" t="n"/>
      <c r="BP1548" s="151" t="n"/>
      <c r="BQ1548" s="151" t="n"/>
      <c r="BR1548" s="151" t="n"/>
      <c r="BS1548" s="151" t="n"/>
      <c r="BT1548" s="151" t="n"/>
    </row>
    <row r="1549">
      <c r="BJ1549" s="151" t="n">
        <v>332001</v>
      </c>
      <c r="BK1549" s="151" t="inlineStr">
        <is>
          <t>FABRICACION Y REPARACION DE MUEBLES NO METALICOS</t>
        </is>
      </c>
      <c r="BL1549" s="151" t="n"/>
      <c r="BM1549" s="151" t="n"/>
      <c r="BN1549" s="151" t="n"/>
      <c r="BO1549" s="151" t="n"/>
      <c r="BP1549" s="151" t="n"/>
      <c r="BQ1549" s="151" t="n"/>
      <c r="BR1549" s="151" t="n"/>
      <c r="BS1549" s="151" t="n"/>
      <c r="BT1549" s="151" t="n"/>
    </row>
    <row r="1550">
      <c r="BJ1550" s="151" t="n">
        <v>332002</v>
      </c>
      <c r="BK1550" s="151" t="inlineStr">
        <is>
          <t>FABRICACION Y REPARACION DE VESTIDURA PARA AUTOMOVILES Y TAPICERIA PARA MUEBLES</t>
        </is>
      </c>
      <c r="BL1550" s="151" t="n"/>
      <c r="BM1550" s="151" t="n"/>
      <c r="BN1550" s="151" t="n"/>
      <c r="BO1550" s="151" t="n"/>
      <c r="BP1550" s="151" t="n"/>
      <c r="BQ1550" s="151" t="n"/>
      <c r="BR1550" s="151" t="n"/>
      <c r="BS1550" s="151" t="n"/>
      <c r="BT1550" s="151" t="n"/>
    </row>
    <row r="1551">
      <c r="BJ1551" s="151" t="n">
        <v>332003</v>
      </c>
      <c r="BK1551" s="151" t="inlineStr">
        <is>
          <t>FABRICACION DE PARTES Y PIEZAS PARA MUEBLES</t>
        </is>
      </c>
      <c r="BL1551" s="151" t="n"/>
      <c r="BM1551" s="151" t="n"/>
      <c r="BN1551" s="151" t="n"/>
      <c r="BO1551" s="151" t="n"/>
      <c r="BP1551" s="151" t="n"/>
      <c r="BQ1551" s="151" t="n"/>
      <c r="BR1551" s="151" t="n"/>
      <c r="BS1551" s="151" t="n"/>
      <c r="BT1551" s="151" t="n"/>
    </row>
    <row r="1552">
      <c r="BJ1552" s="151" t="n">
        <v>332004</v>
      </c>
      <c r="BK1552" s="151" t="inlineStr">
        <is>
          <t>FABRICACION DE COLCHONES ALMOHADAS Y COJINES</t>
        </is>
      </c>
      <c r="BL1552" s="151" t="n"/>
      <c r="BM1552" s="151" t="n"/>
      <c r="BN1552" s="151" t="n"/>
      <c r="BO1552" s="151" t="n"/>
      <c r="BP1552" s="151" t="n"/>
      <c r="BQ1552" s="151" t="n"/>
      <c r="BR1552" s="151" t="n"/>
      <c r="BS1552" s="151" t="n"/>
      <c r="BT1552" s="151" t="n"/>
    </row>
    <row r="1553">
      <c r="BJ1553" s="151" t="n">
        <v>332005</v>
      </c>
      <c r="BK1553" s="151" t="inlineStr">
        <is>
          <t>FABRICACION Y REPARACION DE PERSIANAS</t>
        </is>
      </c>
      <c r="BL1553" s="151" t="n"/>
      <c r="BM1553" s="151" t="n"/>
      <c r="BN1553" s="151" t="n"/>
      <c r="BO1553" s="151" t="n"/>
      <c r="BP1553" s="151" t="n"/>
      <c r="BQ1553" s="151" t="n"/>
      <c r="BR1553" s="151" t="n"/>
      <c r="BS1553" s="151" t="n"/>
      <c r="BT1553" s="151" t="n"/>
    </row>
    <row r="1554">
      <c r="BJ1554" s="151" t="n">
        <v>341010</v>
      </c>
      <c r="BK1554" s="151" t="inlineStr">
        <is>
          <t>FABRICACION DE CELULOSA</t>
        </is>
      </c>
      <c r="BL1554" s="151" t="n"/>
      <c r="BM1554" s="151" t="n"/>
      <c r="BN1554" s="151" t="n"/>
      <c r="BO1554" s="151" t="n"/>
      <c r="BP1554" s="151" t="n"/>
      <c r="BQ1554" s="151" t="n"/>
      <c r="BR1554" s="151" t="n"/>
      <c r="BS1554" s="151" t="n"/>
      <c r="BT1554" s="151" t="n"/>
    </row>
    <row r="1555">
      <c r="BJ1555" s="151" t="n">
        <v>341021</v>
      </c>
      <c r="BK1555" s="151" t="inlineStr">
        <is>
          <t>FABRICACION DE PAPEL</t>
        </is>
      </c>
      <c r="BL1555" s="151" t="n"/>
      <c r="BM1555" s="151" t="n"/>
      <c r="BN1555" s="151" t="n"/>
      <c r="BO1555" s="151" t="n"/>
      <c r="BP1555" s="151" t="n"/>
      <c r="BQ1555" s="151" t="n"/>
      <c r="BR1555" s="151" t="n"/>
      <c r="BS1555" s="151" t="n"/>
      <c r="BT1555" s="151" t="n"/>
    </row>
    <row r="1556">
      <c r="BJ1556" s="151" t="n">
        <v>341022</v>
      </c>
      <c r="BK1556" s="151" t="inlineStr">
        <is>
          <t>FABRICACION DE CARTON Y CARTONCILLO</t>
        </is>
      </c>
      <c r="BL1556" s="151" t="n"/>
      <c r="BM1556" s="151" t="n"/>
      <c r="BN1556" s="151" t="n"/>
      <c r="BO1556" s="151" t="n"/>
      <c r="BP1556" s="151" t="n"/>
      <c r="BQ1556" s="151" t="n"/>
      <c r="BR1556" s="151" t="n"/>
      <c r="BS1556" s="151" t="n"/>
      <c r="BT1556" s="151" t="n"/>
    </row>
    <row r="1557">
      <c r="BJ1557" s="151" t="n">
        <v>341031</v>
      </c>
      <c r="BK1557" s="151" t="inlineStr">
        <is>
          <t>FABRICACION DE ENVASES DE PAPEL Y CARTON</t>
        </is>
      </c>
      <c r="BL1557" s="151" t="n"/>
      <c r="BM1557" s="151" t="n"/>
      <c r="BN1557" s="151" t="n"/>
      <c r="BO1557" s="151" t="n"/>
      <c r="BP1557" s="151" t="n"/>
      <c r="BQ1557" s="151" t="n"/>
      <c r="BR1557" s="151" t="n"/>
      <c r="BS1557" s="151" t="n"/>
      <c r="BT1557" s="151" t="n"/>
    </row>
    <row r="1558">
      <c r="BJ1558" s="151" t="n">
        <v>341032</v>
      </c>
      <c r="BK1558" s="151" t="inlineStr">
        <is>
          <t>FABRICACION DE PRODUCTOS DE PAPELERIA</t>
        </is>
      </c>
      <c r="BL1558" s="151" t="n"/>
      <c r="BM1558" s="151" t="n"/>
      <c r="BN1558" s="151" t="n"/>
      <c r="BO1558" s="151" t="n"/>
      <c r="BP1558" s="151" t="n"/>
      <c r="BQ1558" s="151" t="n"/>
      <c r="BR1558" s="151" t="n"/>
      <c r="BS1558" s="151" t="n"/>
      <c r="BT1558" s="151" t="n"/>
    </row>
    <row r="1559">
      <c r="BJ1559" s="151" t="n">
        <v>341033</v>
      </c>
      <c r="BK1559" s="151" t="inlineStr">
        <is>
          <t>FABRICACION DE OTROS PRODUCTOS DE PAPEL CARTON Y PASTA CELULOSA</t>
        </is>
      </c>
      <c r="BL1559" s="151" t="n"/>
      <c r="BM1559" s="151" t="n"/>
      <c r="BN1559" s="151" t="n"/>
      <c r="BO1559" s="151" t="n"/>
      <c r="BP1559" s="151" t="n"/>
      <c r="BQ1559" s="151" t="n"/>
      <c r="BR1559" s="151" t="n"/>
      <c r="BS1559" s="151" t="n"/>
      <c r="BT1559" s="151" t="n"/>
    </row>
    <row r="1560">
      <c r="BJ1560" s="151" t="n">
        <v>342001</v>
      </c>
      <c r="BK1560" s="151" t="inlineStr">
        <is>
          <t>EDICION DE PERIODICOS Y REVISTAS</t>
        </is>
      </c>
      <c r="BL1560" s="151" t="n"/>
      <c r="BM1560" s="151" t="n"/>
      <c r="BN1560" s="151" t="n"/>
      <c r="BO1560" s="151" t="n"/>
      <c r="BP1560" s="151" t="n"/>
      <c r="BQ1560" s="151" t="n"/>
      <c r="BR1560" s="151" t="n"/>
      <c r="BS1560" s="151" t="n"/>
      <c r="BT1560" s="151" t="n"/>
    </row>
    <row r="1561">
      <c r="BJ1561" s="151" t="n">
        <v>342002</v>
      </c>
      <c r="BK1561" s="151" t="inlineStr">
        <is>
          <t>EDICION DE LIBROS Y SIMILARES</t>
        </is>
      </c>
      <c r="BL1561" s="151" t="n"/>
      <c r="BM1561" s="151" t="n"/>
      <c r="BN1561" s="151" t="n"/>
      <c r="BO1561" s="151" t="n"/>
      <c r="BP1561" s="151" t="n"/>
      <c r="BQ1561" s="151" t="n"/>
      <c r="BR1561" s="151" t="n"/>
      <c r="BS1561" s="151" t="n"/>
      <c r="BT1561" s="151" t="n"/>
    </row>
    <row r="1562">
      <c r="BJ1562" s="151" t="n">
        <v>342003</v>
      </c>
      <c r="BK1562" s="151" t="inlineStr">
        <is>
          <t>IMPRESION Y ENCUADERNACION</t>
        </is>
      </c>
      <c r="BL1562" s="151" t="n"/>
      <c r="BM1562" s="151" t="n"/>
      <c r="BN1562" s="151" t="n"/>
      <c r="BO1562" s="151" t="n"/>
      <c r="BP1562" s="151" t="n"/>
      <c r="BQ1562" s="151" t="n"/>
      <c r="BR1562" s="151" t="n"/>
      <c r="BS1562" s="151" t="n"/>
      <c r="BT1562" s="151" t="n"/>
    </row>
    <row r="1563">
      <c r="BJ1563" s="151" t="n">
        <v>342004</v>
      </c>
      <c r="BK1563" s="151" t="inlineStr">
        <is>
          <t>INDUSTRIAS AUXILIARES A LA EDICION E IMPRESIÓN</t>
        </is>
      </c>
      <c r="BL1563" s="151" t="n"/>
      <c r="BM1563" s="151" t="n"/>
      <c r="BN1563" s="151" t="n"/>
      <c r="BO1563" s="151" t="n"/>
      <c r="BP1563" s="151" t="n"/>
      <c r="BQ1563" s="151" t="n"/>
      <c r="BR1563" s="151" t="n"/>
      <c r="BS1563" s="151" t="n"/>
      <c r="BT1563" s="151" t="n"/>
    </row>
    <row r="1564">
      <c r="BJ1564" s="151" t="n">
        <v>351100</v>
      </c>
      <c r="BK1564" s="151" t="inlineStr">
        <is>
          <t>FABRICACION DE PRODUCTOS PETROQUIMICOS BASICOS</t>
        </is>
      </c>
      <c r="BL1564" s="151" t="n"/>
      <c r="BM1564" s="151" t="n"/>
      <c r="BN1564" s="151" t="n"/>
      <c r="BO1564" s="151" t="n"/>
      <c r="BP1564" s="151" t="n"/>
      <c r="BQ1564" s="151" t="n"/>
      <c r="BR1564" s="151" t="n"/>
      <c r="BS1564" s="151" t="n"/>
      <c r="BT1564" s="151" t="n"/>
    </row>
    <row r="1565">
      <c r="BJ1565" s="151" t="n">
        <v>351211</v>
      </c>
      <c r="BK1565" s="151" t="inlineStr">
        <is>
          <t>FABRICACION DE PRODUCTOS QUIMICOS BASICO-ORGANICOS</t>
        </is>
      </c>
      <c r="BL1565" s="151" t="n"/>
      <c r="BM1565" s="151" t="n"/>
      <c r="BN1565" s="151" t="n"/>
      <c r="BO1565" s="151" t="n"/>
      <c r="BP1565" s="151" t="n"/>
      <c r="BQ1565" s="151" t="n"/>
      <c r="BR1565" s="151" t="n"/>
      <c r="BS1565" s="151" t="n"/>
      <c r="BT1565" s="151" t="n"/>
    </row>
    <row r="1566">
      <c r="BJ1566" s="151" t="n">
        <v>351212</v>
      </c>
      <c r="BK1566" s="151" t="inlineStr">
        <is>
          <t>FABRICACION DE PRODUCTOS QUIMICOS BASICOS-INORGANICOS</t>
        </is>
      </c>
      <c r="BL1566" s="151" t="n"/>
      <c r="BM1566" s="151" t="n"/>
      <c r="BN1566" s="151" t="n"/>
      <c r="BO1566" s="151" t="n"/>
      <c r="BP1566" s="151" t="n"/>
      <c r="BQ1566" s="151" t="n"/>
      <c r="BR1566" s="151" t="n"/>
      <c r="BS1566" s="151" t="n"/>
      <c r="BT1566" s="151" t="n"/>
    </row>
    <row r="1567">
      <c r="BJ1567" s="151" t="n">
        <v>351213</v>
      </c>
      <c r="BK1567" s="151" t="inlineStr">
        <is>
          <t>FABRICACION DE COLORANTES Y PIGMENTOS</t>
        </is>
      </c>
      <c r="BL1567" s="151" t="n"/>
      <c r="BM1567" s="151" t="n"/>
      <c r="BN1567" s="151" t="n"/>
      <c r="BO1567" s="151" t="n"/>
      <c r="BP1567" s="151" t="n"/>
      <c r="BQ1567" s="151" t="n"/>
      <c r="BR1567" s="151" t="n"/>
      <c r="BS1567" s="151" t="n"/>
      <c r="BT1567" s="151" t="n"/>
    </row>
    <row r="1568">
      <c r="BJ1568" s="151" t="n">
        <v>351214</v>
      </c>
      <c r="BK1568" s="151" t="inlineStr">
        <is>
          <t>FABRICACION DE GASES INDUSTRIALES</t>
        </is>
      </c>
      <c r="BL1568" s="151" t="n"/>
      <c r="BM1568" s="151" t="n"/>
      <c r="BN1568" s="151" t="n"/>
      <c r="BO1568" s="151" t="n"/>
      <c r="BP1568" s="151" t="n"/>
      <c r="BQ1568" s="151" t="n"/>
      <c r="BR1568" s="151" t="n"/>
      <c r="BS1568" s="151" t="n"/>
      <c r="BT1568" s="151" t="n"/>
    </row>
    <row r="1569">
      <c r="BJ1569" s="151" t="n">
        <v>351215</v>
      </c>
      <c r="BK1569" s="151" t="inlineStr">
        <is>
          <t>FABRICACION DE AGUARRAS Y BREA O COLOFONIA</t>
        </is>
      </c>
      <c r="BL1569" s="151" t="n"/>
      <c r="BM1569" s="151" t="n"/>
      <c r="BN1569" s="151" t="n"/>
      <c r="BO1569" s="151" t="n"/>
      <c r="BP1569" s="151" t="n"/>
      <c r="BQ1569" s="151" t="n"/>
      <c r="BR1569" s="151" t="n"/>
      <c r="BS1569" s="151" t="n"/>
      <c r="BT1569" s="151" t="n"/>
    </row>
    <row r="1570">
      <c r="BJ1570" s="151" t="n">
        <v>351216</v>
      </c>
      <c r="BK1570" s="151" t="inlineStr">
        <is>
          <t>FABRICACION DE OTROS PRODUCTOS QUIMICOS BASICOS</t>
        </is>
      </c>
      <c r="BL1570" s="151" t="n"/>
      <c r="BM1570" s="151" t="n"/>
      <c r="BN1570" s="151" t="n"/>
      <c r="BO1570" s="151" t="n"/>
      <c r="BP1570" s="151" t="n"/>
      <c r="BQ1570" s="151" t="n"/>
      <c r="BR1570" s="151" t="n"/>
      <c r="BS1570" s="151" t="n"/>
      <c r="BT1570" s="151" t="n"/>
    </row>
    <row r="1571">
      <c r="BJ1571" s="151" t="n">
        <v>351221</v>
      </c>
      <c r="BK1571" s="151" t="inlineStr">
        <is>
          <t>FABRICACION DE FERTILIZANTES</t>
        </is>
      </c>
      <c r="BL1571" s="151" t="n"/>
      <c r="BM1571" s="151" t="n"/>
      <c r="BN1571" s="151" t="n"/>
      <c r="BO1571" s="151" t="n"/>
      <c r="BP1571" s="151" t="n"/>
      <c r="BQ1571" s="151" t="n"/>
      <c r="BR1571" s="151" t="n"/>
      <c r="BS1571" s="151" t="n"/>
      <c r="BT1571" s="151" t="n"/>
    </row>
    <row r="1572">
      <c r="BJ1572" s="151" t="n">
        <v>351222</v>
      </c>
      <c r="BK1572" s="151" t="inlineStr">
        <is>
          <t>MEZCLA INSECTICIDAS Y PLAGUICIDAS</t>
        </is>
      </c>
      <c r="BL1572" s="151" t="n"/>
      <c r="BM1572" s="151" t="n"/>
      <c r="BN1572" s="151" t="n"/>
      <c r="BO1572" s="151" t="n"/>
      <c r="BP1572" s="151" t="n"/>
      <c r="BQ1572" s="151" t="n"/>
      <c r="BR1572" s="151" t="n"/>
      <c r="BS1572" s="151" t="n"/>
      <c r="BT1572" s="151" t="n"/>
    </row>
    <row r="1573">
      <c r="BJ1573" s="151" t="n">
        <v>351231</v>
      </c>
      <c r="BK1573" s="151" t="inlineStr">
        <is>
          <t>FABRICACION DE RESINAS SINTETICAS Y PLASTIFICANTES</t>
        </is>
      </c>
      <c r="BL1573" s="151" t="n"/>
      <c r="BM1573" s="151" t="n"/>
      <c r="BN1573" s="151" t="n"/>
      <c r="BO1573" s="151" t="n"/>
      <c r="BP1573" s="151" t="n"/>
      <c r="BQ1573" s="151" t="n"/>
      <c r="BR1573" s="151" t="n"/>
      <c r="BS1573" s="151" t="n"/>
      <c r="BT1573" s="151" t="n"/>
    </row>
    <row r="1574">
      <c r="BJ1574" s="151" t="n">
        <v>351232</v>
      </c>
      <c r="BK1574" s="151" t="inlineStr">
        <is>
          <t>FABRICACION DE HULE SINTETICO</t>
        </is>
      </c>
      <c r="BL1574" s="151" t="n"/>
      <c r="BM1574" s="151" t="n"/>
      <c r="BN1574" s="151" t="n"/>
      <c r="BO1574" s="151" t="n"/>
      <c r="BP1574" s="151" t="n"/>
      <c r="BQ1574" s="151" t="n"/>
      <c r="BR1574" s="151" t="n"/>
      <c r="BS1574" s="151" t="n"/>
      <c r="BT1574" s="151" t="n"/>
    </row>
    <row r="1575">
      <c r="BJ1575" s="151" t="n">
        <v>351300</v>
      </c>
      <c r="BK1575" s="151" t="inlineStr">
        <is>
          <t>FABRICACION DE FIBRAS QUIMICAS</t>
        </is>
      </c>
      <c r="BL1575" s="151" t="n"/>
      <c r="BM1575" s="151" t="n"/>
      <c r="BN1575" s="151" t="n"/>
      <c r="BO1575" s="151" t="n"/>
      <c r="BP1575" s="151" t="n"/>
      <c r="BQ1575" s="151" t="n"/>
      <c r="BR1575" s="151" t="n"/>
      <c r="BS1575" s="151" t="n"/>
      <c r="BT1575" s="151" t="n"/>
    </row>
    <row r="1576">
      <c r="BJ1576" s="151" t="n">
        <v>352100</v>
      </c>
      <c r="BK1576" s="151" t="inlineStr">
        <is>
          <t>FABRICACION DE PRODUCTOS FARMACEUTICOS</t>
        </is>
      </c>
      <c r="BL1576" s="151" t="n"/>
      <c r="BM1576" s="151" t="n"/>
      <c r="BN1576" s="151" t="n"/>
      <c r="BO1576" s="151" t="n"/>
      <c r="BP1576" s="151" t="n"/>
      <c r="BQ1576" s="151" t="n"/>
      <c r="BR1576" s="151" t="n"/>
      <c r="BS1576" s="151" t="n"/>
      <c r="BT1576" s="151" t="n"/>
    </row>
    <row r="1577">
      <c r="BJ1577" s="151" t="n">
        <v>352210</v>
      </c>
      <c r="BK1577" s="151" t="inlineStr">
        <is>
          <t>ELABORACION DE PINTURAS BARNICES LACAS Y SIMILARES</t>
        </is>
      </c>
      <c r="BL1577" s="151" t="n"/>
      <c r="BM1577" s="151" t="n"/>
      <c r="BN1577" s="151" t="n"/>
      <c r="BO1577" s="151" t="n"/>
      <c r="BP1577" s="151" t="n"/>
      <c r="BQ1577" s="151" t="n"/>
      <c r="BR1577" s="151" t="n"/>
      <c r="BS1577" s="151" t="n"/>
      <c r="BT1577" s="151" t="n"/>
    </row>
    <row r="1578">
      <c r="BJ1578" s="151" t="n">
        <v>352221</v>
      </c>
      <c r="BK1578" s="151" t="inlineStr">
        <is>
          <t>FABRICACION DE PERFUMES COSMETICOS Y SIMILARES</t>
        </is>
      </c>
      <c r="BL1578" s="151" t="n"/>
      <c r="BM1578" s="151" t="n"/>
      <c r="BN1578" s="151" t="n"/>
      <c r="BO1578" s="151" t="n"/>
      <c r="BP1578" s="151" t="n"/>
      <c r="BQ1578" s="151" t="n"/>
      <c r="BR1578" s="151" t="n"/>
      <c r="BS1578" s="151" t="n"/>
      <c r="BT1578" s="151" t="n"/>
    </row>
    <row r="1579">
      <c r="BJ1579" s="151" t="n">
        <v>352222</v>
      </c>
      <c r="BK1579" s="151" t="inlineStr">
        <is>
          <t>FABRICACION DE JABONES DETERGENTES Y DENTIFRICOS</t>
        </is>
      </c>
      <c r="BL1579" s="151" t="n"/>
      <c r="BM1579" s="151" t="n"/>
      <c r="BN1579" s="151" t="n"/>
      <c r="BO1579" s="151" t="n"/>
      <c r="BP1579" s="151" t="n"/>
      <c r="BQ1579" s="151" t="n"/>
      <c r="BR1579" s="151" t="n"/>
      <c r="BS1579" s="151" t="n"/>
      <c r="BT1579" s="151" t="n"/>
    </row>
    <row r="1580">
      <c r="BJ1580" s="151" t="n">
        <v>352231</v>
      </c>
      <c r="BK1580" s="151" t="inlineStr">
        <is>
          <t>FABRICACION DE ADHESIVOS IMPERMEABILIZANTES Y SIMILARES</t>
        </is>
      </c>
      <c r="BL1580" s="151" t="n"/>
      <c r="BM1580" s="151" t="n"/>
      <c r="BN1580" s="151" t="n"/>
      <c r="BO1580" s="151" t="n"/>
      <c r="BP1580" s="151" t="n"/>
      <c r="BQ1580" s="151" t="n"/>
      <c r="BR1580" s="151" t="n"/>
      <c r="BS1580" s="151" t="n"/>
      <c r="BT1580" s="151" t="n"/>
    </row>
    <row r="1581">
      <c r="BJ1581" s="151" t="n">
        <v>352232</v>
      </c>
      <c r="BK1581" s="151" t="inlineStr">
        <is>
          <t>FABRICACION DE TINTAS PARA IMPRESION Y ESCRITURA</t>
        </is>
      </c>
      <c r="BL1581" s="151" t="n"/>
      <c r="BM1581" s="151" t="n"/>
      <c r="BN1581" s="151" t="n"/>
      <c r="BO1581" s="151" t="n"/>
      <c r="BP1581" s="151" t="n"/>
      <c r="BQ1581" s="151" t="n"/>
      <c r="BR1581" s="151" t="n"/>
      <c r="BS1581" s="151" t="n"/>
      <c r="BT1581" s="151" t="n"/>
    </row>
    <row r="1582">
      <c r="BJ1582" s="151" t="n">
        <v>352233</v>
      </c>
      <c r="BK1582" s="151" t="inlineStr">
        <is>
          <t>FABRICACION DE CERILLOS</t>
        </is>
      </c>
      <c r="BL1582" s="151" t="n"/>
      <c r="BM1582" s="151" t="n"/>
      <c r="BN1582" s="151" t="n"/>
      <c r="BO1582" s="151" t="n"/>
      <c r="BP1582" s="151" t="n"/>
      <c r="BQ1582" s="151" t="n"/>
      <c r="BR1582" s="151" t="n"/>
      <c r="BS1582" s="151" t="n"/>
      <c r="BT1582" s="151" t="n"/>
    </row>
    <row r="1583">
      <c r="BJ1583" s="151" t="n">
        <v>352234</v>
      </c>
      <c r="BK1583" s="151" t="inlineStr">
        <is>
          <t>FABRICACION DE PELICULAS PLACAS Y PAPEL SENSIBLE PARA FOTO</t>
        </is>
      </c>
      <c r="BL1583" s="151" t="n"/>
      <c r="BM1583" s="151" t="n"/>
      <c r="BN1583" s="151" t="n"/>
      <c r="BO1583" s="151" t="n"/>
      <c r="BP1583" s="151" t="n"/>
      <c r="BQ1583" s="151" t="n"/>
      <c r="BR1583" s="151" t="n"/>
      <c r="BS1583" s="151" t="n"/>
      <c r="BT1583" s="151" t="n"/>
    </row>
    <row r="1584">
      <c r="BJ1584" s="151" t="n">
        <v>352235</v>
      </c>
      <c r="BK1584" s="151" t="inlineStr">
        <is>
          <t>FABRICACION DE VELAS Y VELADORAS</t>
        </is>
      </c>
      <c r="BL1584" s="151" t="n"/>
      <c r="BM1584" s="151" t="n"/>
      <c r="BN1584" s="151" t="n"/>
      <c r="BO1584" s="151" t="n"/>
      <c r="BP1584" s="151" t="n"/>
      <c r="BQ1584" s="151" t="n"/>
      <c r="BR1584" s="151" t="n"/>
      <c r="BS1584" s="151" t="n"/>
      <c r="BT1584" s="151" t="n"/>
    </row>
    <row r="1585">
      <c r="BJ1585" s="151" t="n">
        <v>352236</v>
      </c>
      <c r="BK1585" s="151" t="inlineStr">
        <is>
          <t>FABRICACION DE EXPLOSIVOS Y FUEGOS ARTIFICIALES</t>
        </is>
      </c>
      <c r="BL1585" s="151" t="n"/>
      <c r="BM1585" s="151" t="n"/>
      <c r="BN1585" s="151" t="n"/>
      <c r="BO1585" s="151" t="n"/>
      <c r="BP1585" s="151" t="n"/>
      <c r="BQ1585" s="151" t="n"/>
      <c r="BR1585" s="151" t="n"/>
      <c r="BS1585" s="151" t="n"/>
      <c r="BT1585" s="151" t="n"/>
    </row>
    <row r="1586">
      <c r="BJ1586" s="151" t="n">
        <v>352237</v>
      </c>
      <c r="BK1586" s="151" t="inlineStr">
        <is>
          <t>FABRICACION DE LIMPIADORES AROMATIZANTES Y SIMILARES</t>
        </is>
      </c>
      <c r="BL1586" s="151" t="n"/>
      <c r="BM1586" s="151" t="n"/>
      <c r="BN1586" s="151" t="n"/>
      <c r="BO1586" s="151" t="n"/>
      <c r="BP1586" s="151" t="n"/>
      <c r="BQ1586" s="151" t="n"/>
      <c r="BR1586" s="151" t="n"/>
      <c r="BS1586" s="151" t="n"/>
      <c r="BT1586" s="151" t="n"/>
    </row>
    <row r="1587">
      <c r="BJ1587" s="151" t="n">
        <v>352238</v>
      </c>
      <c r="BK1587" s="151" t="inlineStr">
        <is>
          <t>ELABORACION DE ACEITES ESENCIALES</t>
        </is>
      </c>
      <c r="BL1587" s="151" t="n"/>
      <c r="BM1587" s="151" t="n"/>
      <c r="BN1587" s="151" t="n"/>
      <c r="BO1587" s="151" t="n"/>
      <c r="BP1587" s="151" t="n"/>
      <c r="BQ1587" s="151" t="n"/>
      <c r="BR1587" s="151" t="n"/>
      <c r="BS1587" s="151" t="n"/>
      <c r="BT1587" s="151" t="n"/>
    </row>
    <row r="1588">
      <c r="BJ1588" s="151" t="n">
        <v>352239</v>
      </c>
      <c r="BK1588" s="151" t="inlineStr">
        <is>
          <t>REFINACION DE GRASAS Y ACEITES ANIMALES NO COMESTIBLES</t>
        </is>
      </c>
      <c r="BL1588" s="151" t="n"/>
      <c r="BM1588" s="151" t="n"/>
      <c r="BN1588" s="151" t="n"/>
      <c r="BO1588" s="151" t="n"/>
      <c r="BP1588" s="151" t="n"/>
      <c r="BQ1588" s="151" t="n"/>
      <c r="BR1588" s="151" t="n"/>
      <c r="BS1588" s="151" t="n"/>
      <c r="BT1588" s="151" t="n"/>
    </row>
    <row r="1589">
      <c r="BJ1589" s="151" t="n">
        <v>352240</v>
      </c>
      <c r="BK1589" s="151" t="inlineStr">
        <is>
          <t>FABRICACION DE OTROS PRODUCTOS QUIMICOS SECUNDARIOS</t>
        </is>
      </c>
      <c r="BL1589" s="151" t="n"/>
      <c r="BM1589" s="151" t="n"/>
      <c r="BN1589" s="151" t="n"/>
      <c r="BO1589" s="151" t="n"/>
      <c r="BP1589" s="151" t="n"/>
      <c r="BQ1589" s="151" t="n"/>
      <c r="BR1589" s="151" t="n"/>
      <c r="BS1589" s="151" t="n"/>
      <c r="BT1589" s="151" t="n"/>
    </row>
    <row r="1590">
      <c r="BJ1590" s="151" t="n">
        <v>353000</v>
      </c>
      <c r="BK1590" s="151" t="inlineStr">
        <is>
          <t>REFINACION DE PETROLEO</t>
        </is>
      </c>
      <c r="BL1590" s="151" t="n"/>
      <c r="BM1590" s="151" t="n"/>
      <c r="BN1590" s="151" t="n"/>
      <c r="BO1590" s="151" t="n"/>
      <c r="BP1590" s="151" t="n"/>
      <c r="BQ1590" s="151" t="n"/>
      <c r="BR1590" s="151" t="n"/>
      <c r="BS1590" s="151" t="n"/>
      <c r="BT1590" s="151" t="n"/>
    </row>
    <row r="1591">
      <c r="BJ1591" s="151" t="n">
        <v>354001</v>
      </c>
      <c r="BK1591" s="151" t="inlineStr">
        <is>
          <t>FABRICACION DE COQUE Y OTROS DERIVADOS DEL CARBON MINERAL</t>
        </is>
      </c>
      <c r="BL1591" s="151" t="n"/>
      <c r="BM1591" s="151" t="n"/>
      <c r="BN1591" s="151" t="n"/>
      <c r="BO1591" s="151" t="n"/>
      <c r="BP1591" s="151" t="n"/>
      <c r="BQ1591" s="151" t="n"/>
      <c r="BR1591" s="151" t="n"/>
      <c r="BS1591" s="151" t="n"/>
      <c r="BT1591" s="151" t="n"/>
    </row>
    <row r="1592">
      <c r="BJ1592" s="151" t="n">
        <v>354002</v>
      </c>
      <c r="BK1592" s="151" t="inlineStr">
        <is>
          <t>ELABORACION DE ACEITES LUBRICANTES Y ADITIVOS</t>
        </is>
      </c>
      <c r="BL1592" s="151" t="n"/>
      <c r="BM1592" s="151" t="n"/>
      <c r="BN1592" s="151" t="n"/>
      <c r="BO1592" s="151" t="n"/>
      <c r="BP1592" s="151" t="n"/>
      <c r="BQ1592" s="151" t="n"/>
      <c r="BR1592" s="151" t="n"/>
      <c r="BS1592" s="151" t="n"/>
      <c r="BT1592" s="151" t="n"/>
    </row>
    <row r="1593">
      <c r="BJ1593" s="151" t="n">
        <v>354003</v>
      </c>
      <c r="BK1593" s="151" t="inlineStr">
        <is>
          <t>FABRICACION DE MATERIALES PARA PAVIMENTACION Y TECHADO ASFALTO</t>
        </is>
      </c>
      <c r="BL1593" s="151" t="n"/>
      <c r="BM1593" s="151" t="n"/>
      <c r="BN1593" s="151" t="n"/>
      <c r="BO1593" s="151" t="n"/>
      <c r="BP1593" s="151" t="n"/>
      <c r="BQ1593" s="151" t="n"/>
      <c r="BR1593" s="151" t="n"/>
      <c r="BS1593" s="151" t="n"/>
      <c r="BT1593" s="151" t="n"/>
    </row>
    <row r="1594">
      <c r="BJ1594" s="151" t="n">
        <v>355001</v>
      </c>
      <c r="BK1594" s="151" t="inlineStr">
        <is>
          <t>FABRICACION DE LLANTAS Y CAMARAS</t>
        </is>
      </c>
      <c r="BL1594" s="151" t="n"/>
      <c r="BM1594" s="151" t="n"/>
      <c r="BN1594" s="151" t="n"/>
      <c r="BO1594" s="151" t="n"/>
      <c r="BP1594" s="151" t="n"/>
      <c r="BQ1594" s="151" t="n"/>
      <c r="BR1594" s="151" t="n"/>
      <c r="BS1594" s="151" t="n"/>
      <c r="BT1594" s="151" t="n"/>
    </row>
    <row r="1595">
      <c r="BJ1595" s="151" t="n">
        <v>355002</v>
      </c>
      <c r="BK1595" s="151" t="inlineStr">
        <is>
          <t>VULCANIZACION DE LLANTAS Y CAMARAS</t>
        </is>
      </c>
      <c r="BL1595" s="151" t="n"/>
      <c r="BM1595" s="151" t="n"/>
      <c r="BN1595" s="151" t="n"/>
      <c r="BO1595" s="151" t="n"/>
      <c r="BP1595" s="151" t="n"/>
      <c r="BQ1595" s="151" t="n"/>
      <c r="BR1595" s="151" t="n"/>
      <c r="BS1595" s="151" t="n"/>
      <c r="BT1595" s="151" t="n"/>
    </row>
    <row r="1596">
      <c r="BJ1596" s="151" t="n">
        <v>355003</v>
      </c>
      <c r="BK1596" s="151" t="inlineStr">
        <is>
          <t>FABRICACION DE PIEZAS Y ARTICULOS DE HULE EXCEPTO LLANTAS</t>
        </is>
      </c>
      <c r="BL1596" s="151" t="n"/>
      <c r="BM1596" s="151" t="n"/>
      <c r="BN1596" s="151" t="n"/>
      <c r="BO1596" s="151" t="n"/>
      <c r="BP1596" s="151" t="n"/>
      <c r="BQ1596" s="151" t="n"/>
      <c r="BR1596" s="151" t="n"/>
      <c r="BS1596" s="151" t="n"/>
      <c r="BT1596" s="151" t="n"/>
    </row>
    <row r="1597">
      <c r="BJ1597" s="151" t="n">
        <v>356001</v>
      </c>
      <c r="BK1597" s="151" t="inlineStr">
        <is>
          <t>FABRICACION DE PELICULA Y BOLSAS DE POLIETILENO</t>
        </is>
      </c>
      <c r="BL1597" s="151" t="n"/>
      <c r="BM1597" s="151" t="n"/>
      <c r="BN1597" s="151" t="n"/>
      <c r="BO1597" s="151" t="n"/>
      <c r="BP1597" s="151" t="n"/>
      <c r="BQ1597" s="151" t="n"/>
      <c r="BR1597" s="151" t="n"/>
      <c r="BS1597" s="151" t="n"/>
      <c r="BT1597" s="151" t="n"/>
    </row>
    <row r="1598">
      <c r="BJ1598" s="151" t="n">
        <v>356002</v>
      </c>
      <c r="BK1598" s="151" t="inlineStr">
        <is>
          <t>FABRICACION DE PERFILES TUBERIA Y CONEXIONES DE RESINAS</t>
        </is>
      </c>
      <c r="BL1598" s="151" t="n"/>
      <c r="BM1598" s="151" t="n"/>
      <c r="BN1598" s="151" t="n"/>
      <c r="BO1598" s="151" t="n"/>
      <c r="BP1598" s="151" t="n"/>
      <c r="BQ1598" s="151" t="n"/>
      <c r="BR1598" s="151" t="n"/>
      <c r="BS1598" s="151" t="n"/>
      <c r="BT1598" s="151" t="n"/>
    </row>
    <row r="1599">
      <c r="BJ1599" s="151" t="n">
        <v>356003</v>
      </c>
      <c r="BK1599" s="151" t="inlineStr">
        <is>
          <t>FABRICACION DE PRODUCTOS DIVERSOS DE PVC Y VINILO</t>
        </is>
      </c>
      <c r="BL1599" s="151" t="n"/>
      <c r="BM1599" s="151" t="n"/>
      <c r="BN1599" s="151" t="n"/>
      <c r="BO1599" s="151" t="n"/>
      <c r="BP1599" s="151" t="n"/>
      <c r="BQ1599" s="151" t="n"/>
      <c r="BR1599" s="151" t="n"/>
      <c r="BS1599" s="151" t="n"/>
      <c r="BT1599" s="151" t="n"/>
    </row>
    <row r="1600">
      <c r="BJ1600" s="151" t="n">
        <v>356004</v>
      </c>
      <c r="BK1600" s="151" t="inlineStr">
        <is>
          <t>FABRICACION DE ENVASES Y PIEZAS DIVERSAS DE PLASTICO SOPLADO</t>
        </is>
      </c>
      <c r="BL1600" s="151" t="n"/>
      <c r="BM1600" s="151" t="n"/>
      <c r="BN1600" s="151" t="n"/>
      <c r="BO1600" s="151" t="n"/>
      <c r="BP1600" s="151" t="n"/>
      <c r="BQ1600" s="151" t="n"/>
      <c r="BR1600" s="151" t="n"/>
      <c r="BS1600" s="151" t="n"/>
      <c r="BT1600" s="151" t="n"/>
    </row>
    <row r="1601">
      <c r="BJ1601" s="151" t="n">
        <v>356005</v>
      </c>
      <c r="BK1601" s="151" t="inlineStr">
        <is>
          <t>FABRICACION DE ARTICULOS PLASTICOS PARA HOGAR INCLUYE BOTONES</t>
        </is>
      </c>
      <c r="BL1601" s="151" t="n"/>
      <c r="BM1601" s="151" t="n"/>
      <c r="BN1601" s="151" t="n"/>
      <c r="BO1601" s="151" t="n"/>
      <c r="BP1601" s="151" t="n"/>
      <c r="BQ1601" s="151" t="n"/>
      <c r="BR1601" s="151" t="n"/>
      <c r="BS1601" s="151" t="n"/>
      <c r="BT1601" s="151" t="n"/>
    </row>
    <row r="1602">
      <c r="BJ1602" s="151" t="n">
        <v>356006</v>
      </c>
      <c r="BK1602" s="151" t="inlineStr">
        <is>
          <t>FABRICACION DE PIEZAS INDUSTRIALES MOLDEADAS CON RESINAS</t>
        </is>
      </c>
      <c r="BL1602" s="151" t="n"/>
      <c r="BM1602" s="151" t="n"/>
      <c r="BN1602" s="151" t="n"/>
      <c r="BO1602" s="151" t="n"/>
      <c r="BP1602" s="151" t="n"/>
      <c r="BQ1602" s="151" t="n"/>
      <c r="BR1602" s="151" t="n"/>
      <c r="BS1602" s="151" t="n"/>
      <c r="BT1602" s="151" t="n"/>
    </row>
    <row r="1603">
      <c r="BJ1603" s="151" t="n">
        <v>356007</v>
      </c>
      <c r="BK1603" s="151" t="inlineStr">
        <is>
          <t>FABRICACION DE ARTICULOS PLASTICOS REFORZADOS DE  POLIESTER  Y FIBRA DE VIDRIO</t>
        </is>
      </c>
      <c r="BL1603" s="151" t="n"/>
      <c r="BM1603" s="151" t="n"/>
      <c r="BN1603" s="151" t="n"/>
      <c r="BO1603" s="151" t="n"/>
      <c r="BP1603" s="151" t="n"/>
      <c r="BQ1603" s="151" t="n"/>
      <c r="BR1603" s="151" t="n"/>
      <c r="BS1603" s="151" t="n"/>
      <c r="BT1603" s="151" t="n"/>
    </row>
    <row r="1604">
      <c r="BJ1604" s="151" t="n">
        <v>356008</v>
      </c>
      <c r="BK1604" s="151" t="inlineStr">
        <is>
          <t>FABRICACION DE LAMINADOS DECORATIVOS E INDUSTRIALES</t>
        </is>
      </c>
      <c r="BL1604" s="151" t="n"/>
      <c r="BM1604" s="151" t="n"/>
      <c r="BN1604" s="151" t="n"/>
      <c r="BO1604" s="151" t="n"/>
      <c r="BP1604" s="151" t="n"/>
      <c r="BQ1604" s="151" t="n"/>
      <c r="BR1604" s="151" t="n"/>
      <c r="BS1604" s="151" t="n"/>
      <c r="BT1604" s="151" t="n"/>
    </row>
    <row r="1605">
      <c r="BJ1605" s="151" t="n">
        <v>356009</v>
      </c>
      <c r="BK1605" s="151" t="inlineStr">
        <is>
          <t>FABRICACION DE ESPUMAS URETANICAS Y SUS PRODUCTOS</t>
        </is>
      </c>
      <c r="BL1605" s="151" t="n"/>
      <c r="BM1605" s="151" t="n"/>
      <c r="BN1605" s="151" t="n"/>
      <c r="BO1605" s="151" t="n"/>
      <c r="BP1605" s="151" t="n"/>
      <c r="BQ1605" s="151" t="n"/>
      <c r="BR1605" s="151" t="n"/>
      <c r="BS1605" s="151" t="n"/>
      <c r="BT1605" s="151" t="n"/>
    </row>
    <row r="1606">
      <c r="BJ1606" s="151" t="n">
        <v>356010</v>
      </c>
      <c r="BK1606" s="151" t="inlineStr">
        <is>
          <t>FABRICACION DE PRODUCTOS PLASTICOS NO ENUMERADOS ANTERIORMENTE</t>
        </is>
      </c>
      <c r="BL1606" s="151" t="n"/>
      <c r="BM1606" s="151" t="n"/>
      <c r="BN1606" s="151" t="n"/>
      <c r="BO1606" s="151" t="n"/>
      <c r="BP1606" s="151" t="n"/>
      <c r="BQ1606" s="151" t="n"/>
      <c r="BR1606" s="151" t="n"/>
      <c r="BS1606" s="151" t="n"/>
      <c r="BT1606" s="151" t="n"/>
    </row>
    <row r="1607">
      <c r="BJ1607" s="151" t="n">
        <v>361100</v>
      </c>
      <c r="BK1607" s="151" t="inlineStr">
        <is>
          <t>ALFARERIA Y CERÁMICA</t>
        </is>
      </c>
      <c r="BL1607" s="151" t="n"/>
      <c r="BM1607" s="151" t="n"/>
      <c r="BN1607" s="151" t="n"/>
      <c r="BO1607" s="151" t="n"/>
      <c r="BP1607" s="151" t="n"/>
      <c r="BQ1607" s="151" t="n"/>
      <c r="BR1607" s="151" t="n"/>
      <c r="BS1607" s="151" t="n"/>
      <c r="BT1607" s="151" t="n"/>
    </row>
    <row r="1608">
      <c r="BJ1608" s="151" t="n">
        <v>361201</v>
      </c>
      <c r="BK1608" s="151" t="inlineStr">
        <is>
          <t>FABRICACION DE ARTICULOS SANITARIOS DE CERAMICA</t>
        </is>
      </c>
      <c r="BL1608" s="151" t="n"/>
      <c r="BM1608" s="151" t="n"/>
      <c r="BN1608" s="151" t="n"/>
      <c r="BO1608" s="151" t="n"/>
      <c r="BP1608" s="151" t="n"/>
      <c r="BQ1608" s="151" t="n"/>
      <c r="BR1608" s="151" t="n"/>
      <c r="BS1608" s="151" t="n"/>
      <c r="BT1608" s="151" t="n"/>
    </row>
    <row r="1609">
      <c r="BJ1609" s="151" t="n">
        <v>361202</v>
      </c>
      <c r="BK1609" s="151" t="inlineStr">
        <is>
          <t>FABRICACION DE AZULEJOS</t>
        </is>
      </c>
      <c r="BL1609" s="151" t="n"/>
      <c r="BM1609" s="151" t="n"/>
      <c r="BN1609" s="151" t="n"/>
      <c r="BO1609" s="151" t="n"/>
      <c r="BP1609" s="151" t="n"/>
      <c r="BQ1609" s="151" t="n"/>
      <c r="BR1609" s="151" t="n"/>
      <c r="BS1609" s="151" t="n"/>
      <c r="BT1609" s="151" t="n"/>
    </row>
    <row r="1610">
      <c r="BJ1610" s="151" t="n">
        <v>361203</v>
      </c>
      <c r="BK1610" s="151" t="inlineStr">
        <is>
          <t>FABRICACION DE LADRILLOS TABIQUE Y TEJAS ARCILLA NO REFINADOS</t>
        </is>
      </c>
      <c r="BL1610" s="151" t="n"/>
      <c r="BM1610" s="151" t="n"/>
      <c r="BN1610" s="151" t="n"/>
      <c r="BO1610" s="151" t="n"/>
      <c r="BP1610" s="151" t="n"/>
      <c r="BQ1610" s="151" t="n"/>
      <c r="BR1610" s="151" t="n"/>
      <c r="BS1610" s="151" t="n"/>
      <c r="BT1610" s="151" t="n"/>
    </row>
    <row r="1611">
      <c r="BJ1611" s="151" t="n">
        <v>361204</v>
      </c>
      <c r="BK1611" s="151" t="inlineStr">
        <is>
          <t>FABRICACION DE LADRILLOS TABIQUE Y PRODUCTOS ARCILLA REFINADOS</t>
        </is>
      </c>
      <c r="BL1611" s="151" t="n"/>
      <c r="BM1611" s="151" t="n"/>
      <c r="BN1611" s="151" t="n"/>
      <c r="BO1611" s="151" t="n"/>
      <c r="BP1611" s="151" t="n"/>
      <c r="BQ1611" s="151" t="n"/>
      <c r="BR1611" s="151" t="n"/>
      <c r="BS1611" s="151" t="n"/>
      <c r="BT1611" s="151" t="n"/>
    </row>
    <row r="1612">
      <c r="BJ1612" s="151" t="n">
        <v>362011</v>
      </c>
      <c r="BK1612" s="151" t="inlineStr">
        <is>
          <t>FABRICACION DE VIDRIO PLANO LISO Y LABRADO</t>
        </is>
      </c>
      <c r="BL1612" s="151" t="n"/>
      <c r="BM1612" s="151" t="n"/>
      <c r="BN1612" s="151" t="n"/>
      <c r="BO1612" s="151" t="n"/>
      <c r="BP1612" s="151" t="n"/>
      <c r="BQ1612" s="151" t="n"/>
      <c r="BR1612" s="151" t="n"/>
      <c r="BS1612" s="151" t="n"/>
      <c r="BT1612" s="151" t="n"/>
    </row>
    <row r="1613">
      <c r="BJ1613" s="151" t="n">
        <v>362012</v>
      </c>
      <c r="BK1613" s="151" t="inlineStr">
        <is>
          <t>FABRICACION DE ESPEJOS LUNAS EMPLOMADOS Y SIMILARES</t>
        </is>
      </c>
      <c r="BL1613" s="151" t="n"/>
      <c r="BM1613" s="151" t="n"/>
      <c r="BN1613" s="151" t="n"/>
      <c r="BO1613" s="151" t="n"/>
      <c r="BP1613" s="151" t="n"/>
      <c r="BQ1613" s="151" t="n"/>
      <c r="BR1613" s="151" t="n"/>
      <c r="BS1613" s="151" t="n"/>
      <c r="BT1613" s="151" t="n"/>
    </row>
    <row r="1614">
      <c r="BJ1614" s="151" t="n">
        <v>362013</v>
      </c>
      <c r="BK1614" s="151" t="inlineStr">
        <is>
          <t>FABRICACION DE FIBRA DE VIDRIO Y SUS PRODUCTOS</t>
        </is>
      </c>
      <c r="BL1614" s="151" t="n"/>
      <c r="BM1614" s="151" t="n"/>
      <c r="BN1614" s="151" t="n"/>
      <c r="BO1614" s="151" t="n"/>
      <c r="BP1614" s="151" t="n"/>
      <c r="BQ1614" s="151" t="n"/>
      <c r="BR1614" s="151" t="n"/>
      <c r="BS1614" s="151" t="n"/>
      <c r="BT1614" s="151" t="n"/>
    </row>
    <row r="1615">
      <c r="BJ1615" s="151" t="n">
        <v>362021</v>
      </c>
      <c r="BK1615" s="151" t="inlineStr">
        <is>
          <t>FABRICACION DE ENVASES Y AMPOLLETAS DE VIDRIO</t>
        </is>
      </c>
      <c r="BL1615" s="151" t="n"/>
      <c r="BM1615" s="151" t="n"/>
      <c r="BN1615" s="151" t="n"/>
      <c r="BO1615" s="151" t="n"/>
      <c r="BP1615" s="151" t="n"/>
      <c r="BQ1615" s="151" t="n"/>
      <c r="BR1615" s="151" t="n"/>
      <c r="BS1615" s="151" t="n"/>
      <c r="BT1615" s="151" t="n"/>
    </row>
    <row r="1616">
      <c r="BJ1616" s="151" t="n">
        <v>362022</v>
      </c>
      <c r="BK1616" s="151" t="inlineStr">
        <is>
          <t>FABRICACION DE VIDRIO Y CRISTAL REFRACTARIO Y TECNICO</t>
        </is>
      </c>
      <c r="BL1616" s="151" t="n"/>
      <c r="BM1616" s="151" t="n"/>
      <c r="BN1616" s="151" t="n"/>
      <c r="BO1616" s="151" t="n"/>
      <c r="BP1616" s="151" t="n"/>
      <c r="BQ1616" s="151" t="n"/>
      <c r="BR1616" s="151" t="n"/>
      <c r="BS1616" s="151" t="n"/>
      <c r="BT1616" s="151" t="n"/>
    </row>
    <row r="1617">
      <c r="BJ1617" s="151" t="n">
        <v>362023</v>
      </c>
      <c r="BK1617" s="151" t="inlineStr">
        <is>
          <t>INDUSTRIA ARTESANAL DEL VIDRIO</t>
        </is>
      </c>
      <c r="BL1617" s="151" t="n"/>
      <c r="BM1617" s="151" t="n"/>
      <c r="BN1617" s="151" t="n"/>
      <c r="BO1617" s="151" t="n"/>
      <c r="BP1617" s="151" t="n"/>
      <c r="BQ1617" s="151" t="n"/>
      <c r="BR1617" s="151" t="n"/>
      <c r="BS1617" s="151" t="n"/>
      <c r="BT1617" s="151" t="n"/>
    </row>
    <row r="1618">
      <c r="BJ1618" s="151" t="n">
        <v>362024</v>
      </c>
      <c r="BK1618" s="151" t="inlineStr">
        <is>
          <t>FABRICACION DE OTROS ARTICULOS DE VIDRIO CRISTAL NO ESPECIFICO</t>
        </is>
      </c>
      <c r="BL1618" s="151" t="n"/>
      <c r="BM1618" s="151" t="n"/>
      <c r="BN1618" s="151" t="n"/>
      <c r="BO1618" s="151" t="n"/>
      <c r="BP1618" s="151" t="n"/>
      <c r="BQ1618" s="151" t="n"/>
      <c r="BR1618" s="151" t="n"/>
      <c r="BS1618" s="151" t="n"/>
      <c r="BT1618" s="151" t="n"/>
    </row>
    <row r="1619">
      <c r="BJ1619" s="151" t="n">
        <v>369111</v>
      </c>
      <c r="BK1619" s="151" t="inlineStr">
        <is>
          <t>FABRICACION DE CEMENTO HIDRAULICO</t>
        </is>
      </c>
      <c r="BL1619" s="151" t="n"/>
      <c r="BM1619" s="151" t="n"/>
      <c r="BN1619" s="151" t="n"/>
      <c r="BO1619" s="151" t="n"/>
      <c r="BP1619" s="151" t="n"/>
      <c r="BQ1619" s="151" t="n"/>
      <c r="BR1619" s="151" t="n"/>
      <c r="BS1619" s="151" t="n"/>
      <c r="BT1619" s="151" t="n"/>
    </row>
    <row r="1620">
      <c r="BJ1620" s="151" t="n">
        <v>369112</v>
      </c>
      <c r="BK1620" s="151" t="inlineStr">
        <is>
          <t>ELABORACION DE CAL</t>
        </is>
      </c>
      <c r="BL1620" s="151" t="n"/>
      <c r="BM1620" s="151" t="n"/>
      <c r="BN1620" s="151" t="n"/>
      <c r="BO1620" s="151" t="n"/>
      <c r="BP1620" s="151" t="n"/>
      <c r="BQ1620" s="151" t="n"/>
      <c r="BR1620" s="151" t="n"/>
      <c r="BS1620" s="151" t="n"/>
      <c r="BT1620" s="151" t="n"/>
    </row>
    <row r="1621">
      <c r="BJ1621" s="151" t="n">
        <v>369113</v>
      </c>
      <c r="BK1621" s="151" t="inlineStr">
        <is>
          <t>ELABORACION DE YESO Y SUS PRODUCTOS</t>
        </is>
      </c>
      <c r="BL1621" s="151" t="n"/>
      <c r="BM1621" s="151" t="n"/>
      <c r="BN1621" s="151" t="n"/>
      <c r="BO1621" s="151" t="n"/>
      <c r="BP1621" s="151" t="n"/>
      <c r="BQ1621" s="151" t="n"/>
      <c r="BR1621" s="151" t="n"/>
      <c r="BS1621" s="151" t="n"/>
      <c r="BT1621" s="151" t="n"/>
    </row>
    <row r="1622">
      <c r="BJ1622" s="151" t="n">
        <v>369121</v>
      </c>
      <c r="BK1622" s="151" t="inlineStr">
        <is>
          <t>FABRICACION DE CONCRETO PREMEZCLADO</t>
        </is>
      </c>
      <c r="BL1622" s="151" t="n"/>
      <c r="BM1622" s="151" t="n"/>
      <c r="BN1622" s="151" t="n"/>
      <c r="BO1622" s="151" t="n"/>
      <c r="BP1622" s="151" t="n"/>
      <c r="BQ1622" s="151" t="n"/>
      <c r="BR1622" s="151" t="n"/>
      <c r="BS1622" s="151" t="n"/>
      <c r="BT1622" s="151" t="n"/>
    </row>
    <row r="1623">
      <c r="BJ1623" s="151" t="n">
        <v>369122</v>
      </c>
      <c r="BK1623" s="151" t="inlineStr">
        <is>
          <t>FABRICACION DE ELEMENTOS PREFABRICADOS DE CONCRETO PARA CONSTRUCCION</t>
        </is>
      </c>
      <c r="BL1623" s="151" t="n"/>
      <c r="BM1623" s="151" t="n"/>
      <c r="BN1623" s="151" t="n"/>
      <c r="BO1623" s="151" t="n"/>
      <c r="BP1623" s="151" t="n"/>
      <c r="BQ1623" s="151" t="n"/>
      <c r="BR1623" s="151" t="n"/>
      <c r="BS1623" s="151" t="n"/>
      <c r="BT1623" s="151" t="n"/>
    </row>
    <row r="1624">
      <c r="BJ1624" s="151" t="n">
        <v>369123</v>
      </c>
      <c r="BK1624" s="151" t="inlineStr">
        <is>
          <t>FABRICACION DE MOSAICOS TUBOS POSTES DE CEMENTO</t>
        </is>
      </c>
      <c r="BL1624" s="151" t="n"/>
      <c r="BM1624" s="151" t="n"/>
      <c r="BN1624" s="151" t="n"/>
      <c r="BO1624" s="151" t="n"/>
      <c r="BP1624" s="151" t="n"/>
      <c r="BQ1624" s="151" t="n"/>
      <c r="BR1624" s="151" t="n"/>
      <c r="BS1624" s="151" t="n"/>
      <c r="BT1624" s="151" t="n"/>
    </row>
    <row r="1625">
      <c r="BJ1625" s="151" t="n">
        <v>369124</v>
      </c>
      <c r="BK1625" s="151" t="inlineStr">
        <is>
          <t>FABRICACION DE PRODUCTOS DE ASBESTO - CEMENTO</t>
        </is>
      </c>
      <c r="BL1625" s="151" t="n"/>
      <c r="BM1625" s="151" t="n"/>
      <c r="BN1625" s="151" t="n"/>
      <c r="BO1625" s="151" t="n"/>
      <c r="BP1625" s="151" t="n"/>
      <c r="BQ1625" s="151" t="n"/>
      <c r="BR1625" s="151" t="n"/>
      <c r="BS1625" s="151" t="n"/>
      <c r="BT1625" s="151" t="n"/>
    </row>
    <row r="1626">
      <c r="BJ1626" s="151" t="n">
        <v>369131</v>
      </c>
      <c r="BK1626" s="151" t="inlineStr">
        <is>
          <t>FABRICACION DE ABRASIVOS</t>
        </is>
      </c>
      <c r="BL1626" s="151" t="n"/>
      <c r="BM1626" s="151" t="n"/>
      <c r="BN1626" s="151" t="n"/>
      <c r="BO1626" s="151" t="n"/>
      <c r="BP1626" s="151" t="n"/>
      <c r="BQ1626" s="151" t="n"/>
      <c r="BR1626" s="151" t="n"/>
      <c r="BS1626" s="151" t="n"/>
      <c r="BT1626" s="151" t="n"/>
    </row>
    <row r="1627">
      <c r="BJ1627" s="151" t="n">
        <v>369132</v>
      </c>
      <c r="BK1627" s="151" t="inlineStr">
        <is>
          <t>CORTE PULIDO LAMINADOS MARMOL Y OTRAS PIEDRAS</t>
        </is>
      </c>
      <c r="BL1627" s="151" t="n"/>
      <c r="BM1627" s="151" t="n"/>
      <c r="BN1627" s="151" t="n"/>
      <c r="BO1627" s="151" t="n"/>
      <c r="BP1627" s="151" t="n"/>
      <c r="BQ1627" s="151" t="n"/>
      <c r="BR1627" s="151" t="n"/>
      <c r="BS1627" s="151" t="n"/>
      <c r="BT1627" s="151" t="n"/>
    </row>
    <row r="1628">
      <c r="BJ1628" s="151" t="n">
        <v>369133</v>
      </c>
      <c r="BK1628" s="151" t="inlineStr">
        <is>
          <t>FABRICACION DE OTROS PRODUCTOS MINERALES Y AISLANTES</t>
        </is>
      </c>
      <c r="BL1628" s="151" t="n"/>
      <c r="BM1628" s="151" t="n"/>
      <c r="BN1628" s="151" t="n"/>
      <c r="BO1628" s="151" t="n"/>
      <c r="BP1628" s="151" t="n"/>
      <c r="BQ1628" s="151" t="n"/>
      <c r="BR1628" s="151" t="n"/>
      <c r="BS1628" s="151" t="n"/>
      <c r="BT1628" s="151" t="n"/>
    </row>
    <row r="1629">
      <c r="BJ1629" s="151" t="n">
        <v>371001</v>
      </c>
      <c r="BK1629" s="151" t="inlineStr">
        <is>
          <t>FUNDICION DE FIERRO PRIMARIA ARABIO O ESPONJA</t>
        </is>
      </c>
      <c r="BL1629" s="151" t="n"/>
      <c r="BM1629" s="151" t="n"/>
      <c r="BN1629" s="151" t="n"/>
      <c r="BO1629" s="151" t="n"/>
      <c r="BP1629" s="151" t="n"/>
      <c r="BQ1629" s="151" t="n"/>
      <c r="BR1629" s="151" t="n"/>
      <c r="BS1629" s="151" t="n"/>
      <c r="BT1629" s="151" t="n"/>
    </row>
    <row r="1630">
      <c r="BJ1630" s="151" t="n">
        <v>371002</v>
      </c>
      <c r="BK1630" s="151" t="inlineStr">
        <is>
          <t>FABRICACION DE FERROALEACIONES</t>
        </is>
      </c>
      <c r="BL1630" s="151" t="n"/>
      <c r="BM1630" s="151" t="n"/>
      <c r="BN1630" s="151" t="n"/>
      <c r="BO1630" s="151" t="n"/>
      <c r="BP1630" s="151" t="n"/>
      <c r="BQ1630" s="151" t="n"/>
      <c r="BR1630" s="151" t="n"/>
      <c r="BS1630" s="151" t="n"/>
      <c r="BT1630" s="151" t="n"/>
    </row>
    <row r="1631">
      <c r="BJ1631" s="151" t="n">
        <v>371003</v>
      </c>
      <c r="BK1631" s="151" t="inlineStr">
        <is>
          <t>FABRICACION DE ACERO</t>
        </is>
      </c>
      <c r="BL1631" s="151" t="n"/>
      <c r="BM1631" s="151" t="n"/>
      <c r="BN1631" s="151" t="n"/>
      <c r="BO1631" s="151" t="n"/>
      <c r="BP1631" s="151" t="n"/>
      <c r="BQ1631" s="151" t="n"/>
      <c r="BR1631" s="151" t="n"/>
      <c r="BS1631" s="151" t="n"/>
      <c r="BT1631" s="151" t="n"/>
    </row>
    <row r="1632">
      <c r="BJ1632" s="151" t="n">
        <v>371004</v>
      </c>
      <c r="BK1632" s="151" t="inlineStr">
        <is>
          <t>FUNDICION DE PIEZAS DE FIERRO Y ACERO DE SIDERURGIA BASICA</t>
        </is>
      </c>
      <c r="BL1632" s="151" t="n"/>
      <c r="BM1632" s="151" t="n"/>
      <c r="BN1632" s="151" t="n"/>
      <c r="BO1632" s="151" t="n"/>
      <c r="BP1632" s="151" t="n"/>
      <c r="BQ1632" s="151" t="n"/>
      <c r="BR1632" s="151" t="n"/>
      <c r="BS1632" s="151" t="n"/>
      <c r="BT1632" s="151" t="n"/>
    </row>
    <row r="1633">
      <c r="BJ1633" s="151" t="n">
        <v>371005</v>
      </c>
      <c r="BK1633" s="151" t="inlineStr">
        <is>
          <t>ELABORACION DE DESBASTES PRIMARIOS</t>
        </is>
      </c>
      <c r="BL1633" s="151" t="n"/>
      <c r="BM1633" s="151" t="n"/>
      <c r="BN1633" s="151" t="n"/>
      <c r="BO1633" s="151" t="n"/>
      <c r="BP1633" s="151" t="n"/>
      <c r="BQ1633" s="151" t="n"/>
      <c r="BR1633" s="151" t="n"/>
      <c r="BS1633" s="151" t="n"/>
      <c r="BT1633" s="151" t="n"/>
    </row>
    <row r="1634">
      <c r="BJ1634" s="151" t="n">
        <v>371006</v>
      </c>
      <c r="BK1634" s="151" t="inlineStr">
        <is>
          <t>FABRICACION DE LAMINADOS Y TUBOS SIN COSTURA</t>
        </is>
      </c>
      <c r="BL1634" s="151" t="n"/>
      <c r="BM1634" s="151" t="n"/>
      <c r="BN1634" s="151" t="n"/>
      <c r="BO1634" s="151" t="n"/>
      <c r="BP1634" s="151" t="n"/>
      <c r="BQ1634" s="151" t="n"/>
      <c r="BR1634" s="151" t="n"/>
      <c r="BS1634" s="151" t="n"/>
      <c r="BT1634" s="151" t="n"/>
    </row>
    <row r="1635">
      <c r="BJ1635" s="151" t="n">
        <v>371007</v>
      </c>
      <c r="BK1635" s="151" t="inlineStr">
        <is>
          <t>FABRICACION DE OTROS PRODUCTOS DE ACERO</t>
        </is>
      </c>
      <c r="BL1635" s="151" t="n"/>
      <c r="BM1635" s="151" t="n"/>
      <c r="BN1635" s="151" t="n"/>
      <c r="BO1635" s="151" t="n"/>
      <c r="BP1635" s="151" t="n"/>
      <c r="BQ1635" s="151" t="n"/>
      <c r="BR1635" s="151" t="n"/>
      <c r="BS1635" s="151" t="n"/>
      <c r="BT1635" s="151" t="n"/>
    </row>
    <row r="1636">
      <c r="BJ1636" s="151" t="n">
        <v>372001</v>
      </c>
      <c r="BK1636" s="151" t="inlineStr">
        <is>
          <t>FUNDICION Y/O REFINACION DE METALES NO FERROSOS</t>
        </is>
      </c>
      <c r="BL1636" s="151" t="n"/>
      <c r="BM1636" s="151" t="n"/>
      <c r="BN1636" s="151" t="n"/>
      <c r="BO1636" s="151" t="n"/>
      <c r="BP1636" s="151" t="n"/>
      <c r="BQ1636" s="151" t="n"/>
      <c r="BR1636" s="151" t="n"/>
      <c r="BS1636" s="151" t="n"/>
      <c r="BT1636" s="151" t="n"/>
    </row>
    <row r="1637">
      <c r="BJ1637" s="151" t="n">
        <v>372002</v>
      </c>
      <c r="BK1637" s="151" t="inlineStr">
        <is>
          <t>LAMINAS EXTRUSION Y/O ESTIRAJE METALES NO FERROSOS</t>
        </is>
      </c>
      <c r="BL1637" s="151" t="n"/>
      <c r="BM1637" s="151" t="n"/>
      <c r="BN1637" s="151" t="n"/>
      <c r="BO1637" s="151" t="n"/>
      <c r="BP1637" s="151" t="n"/>
      <c r="BQ1637" s="151" t="n"/>
      <c r="BR1637" s="151" t="n"/>
      <c r="BS1637" s="151" t="n"/>
      <c r="BT1637" s="151" t="n"/>
    </row>
    <row r="1638">
      <c r="BJ1638" s="151" t="n">
        <v>372003</v>
      </c>
      <c r="BK1638" s="151" t="inlineStr">
        <is>
          <t>FUNDICION Y/O REFINACION DE COBRE</t>
        </is>
      </c>
      <c r="BL1638" s="151" t="n"/>
      <c r="BM1638" s="151" t="n"/>
      <c r="BN1638" s="151" t="n"/>
      <c r="BO1638" s="151" t="n"/>
      <c r="BP1638" s="151" t="n"/>
      <c r="BQ1638" s="151" t="n"/>
      <c r="BR1638" s="151" t="n"/>
      <c r="BS1638" s="151" t="n"/>
      <c r="BT1638" s="151" t="n"/>
    </row>
    <row r="1639">
      <c r="BJ1639" s="151" t="n">
        <v>372004</v>
      </c>
      <c r="BK1639" s="151" t="inlineStr">
        <is>
          <t>LAMINAS EXTRUSION Y/O ESTIRAJE COBRE ALEACIONES</t>
        </is>
      </c>
      <c r="BL1639" s="151" t="n"/>
      <c r="BM1639" s="151" t="n"/>
      <c r="BN1639" s="151" t="n"/>
      <c r="BO1639" s="151" t="n"/>
      <c r="BP1639" s="151" t="n"/>
      <c r="BQ1639" s="151" t="n"/>
      <c r="BR1639" s="151" t="n"/>
      <c r="BS1639" s="151" t="n"/>
      <c r="BT1639" s="151" t="n"/>
    </row>
    <row r="1640">
      <c r="BJ1640" s="151" t="n">
        <v>372005</v>
      </c>
      <c r="BK1640" s="151" t="inlineStr">
        <is>
          <t>FUNDICION DE LAMINA EXTRUSION Y/O ESTIRAJE DE ALUMINIO</t>
        </is>
      </c>
      <c r="BL1640" s="151" t="n"/>
      <c r="BM1640" s="151" t="n"/>
      <c r="BN1640" s="151" t="n"/>
      <c r="BO1640" s="151" t="n"/>
      <c r="BP1640" s="151" t="n"/>
      <c r="BQ1640" s="151" t="n"/>
      <c r="BR1640" s="151" t="n"/>
      <c r="BS1640" s="151" t="n"/>
      <c r="BT1640" s="151" t="n"/>
    </row>
    <row r="1641">
      <c r="BJ1641" s="151" t="n">
        <v>372006</v>
      </c>
      <c r="BK1641" s="151" t="inlineStr">
        <is>
          <t>TRATAMIENTO DESPUES DE BENEFICIO  DE URANIO Y COMBUSTIBLES NUCLEARES</t>
        </is>
      </c>
      <c r="BL1641" s="151" t="n"/>
      <c r="BM1641" s="151" t="n"/>
      <c r="BN1641" s="151" t="n"/>
      <c r="BO1641" s="151" t="n"/>
      <c r="BP1641" s="151" t="n"/>
      <c r="BQ1641" s="151" t="n"/>
      <c r="BR1641" s="151" t="n"/>
      <c r="BS1641" s="151" t="n"/>
      <c r="BT1641" s="151" t="n"/>
    </row>
    <row r="1642">
      <c r="BJ1642" s="151" t="n">
        <v>372007</v>
      </c>
      <c r="BK1642" s="151" t="inlineStr">
        <is>
          <t>FABRICACION DE SOLDADURA A BASE DE METALES NO FERROSOS</t>
        </is>
      </c>
      <c r="BL1642" s="151" t="n"/>
      <c r="BM1642" s="151" t="n"/>
      <c r="BN1642" s="151" t="n"/>
      <c r="BO1642" s="151" t="n"/>
      <c r="BP1642" s="151" t="n"/>
      <c r="BQ1642" s="151" t="n"/>
      <c r="BR1642" s="151" t="n"/>
      <c r="BS1642" s="151" t="n"/>
      <c r="BT1642" s="151" t="n"/>
    </row>
    <row r="1643">
      <c r="BJ1643" s="151" t="n">
        <v>381100</v>
      </c>
      <c r="BK1643" s="151" t="inlineStr">
        <is>
          <t>FUNDICION Y MOLDEO DE PIEZAS METALICAS</t>
        </is>
      </c>
      <c r="BL1643" s="151" t="n"/>
      <c r="BM1643" s="151" t="n"/>
      <c r="BN1643" s="151" t="n"/>
      <c r="BO1643" s="151" t="n"/>
      <c r="BP1643" s="151" t="n"/>
      <c r="BQ1643" s="151" t="n"/>
      <c r="BR1643" s="151" t="n"/>
      <c r="BS1643" s="151" t="n"/>
      <c r="BT1643" s="151" t="n"/>
    </row>
    <row r="1644">
      <c r="BJ1644" s="151" t="n">
        <v>381201</v>
      </c>
      <c r="BK1644" s="151" t="inlineStr">
        <is>
          <t>FABRICACION DE ESTRUCTURAS METALICAS PARA CONSTRUCCION</t>
        </is>
      </c>
      <c r="BL1644" s="151" t="n"/>
      <c r="BM1644" s="151" t="n"/>
      <c r="BN1644" s="151" t="n"/>
      <c r="BO1644" s="151" t="n"/>
      <c r="BP1644" s="151" t="n"/>
      <c r="BQ1644" s="151" t="n"/>
      <c r="BR1644" s="151" t="n"/>
      <c r="BS1644" s="151" t="n"/>
      <c r="BT1644" s="151" t="n"/>
    </row>
    <row r="1645">
      <c r="BJ1645" s="151" t="n">
        <v>381202</v>
      </c>
      <c r="BK1645" s="151" t="inlineStr">
        <is>
          <t>FABRICACION DE TANQUES METALICOS Y CALDERAS INDUSTRIALES</t>
        </is>
      </c>
      <c r="BL1645" s="151" t="n"/>
      <c r="BM1645" s="151" t="n"/>
      <c r="BN1645" s="151" t="n"/>
      <c r="BO1645" s="151" t="n"/>
      <c r="BP1645" s="151" t="n"/>
      <c r="BQ1645" s="151" t="n"/>
      <c r="BR1645" s="151" t="n"/>
      <c r="BS1645" s="151" t="n"/>
      <c r="BT1645" s="151" t="n"/>
    </row>
    <row r="1646">
      <c r="BJ1646" s="151" t="n">
        <v>381203</v>
      </c>
      <c r="BK1646" s="151" t="inlineStr">
        <is>
          <t>FABRICACION Y TRABAJOS DE HERRERIA PUERTAS Y CORTINAS</t>
        </is>
      </c>
      <c r="BL1646" s="151" t="n"/>
      <c r="BM1646" s="151" t="n"/>
      <c r="BN1646" s="151" t="n"/>
      <c r="BO1646" s="151" t="n"/>
      <c r="BP1646" s="151" t="n"/>
      <c r="BQ1646" s="151" t="n"/>
      <c r="BR1646" s="151" t="n"/>
      <c r="BS1646" s="151" t="n"/>
      <c r="BT1646" s="151" t="n"/>
    </row>
    <row r="1647">
      <c r="BJ1647" s="151" t="n">
        <v>381300</v>
      </c>
      <c r="BK1647" s="151" t="inlineStr">
        <is>
          <t>FABRICACION Y REPARACION DE MUEBLES METALES Y ACCESORIOS</t>
        </is>
      </c>
      <c r="BL1647" s="151" t="n"/>
      <c r="BM1647" s="151" t="n"/>
      <c r="BN1647" s="151" t="n"/>
      <c r="BO1647" s="151" t="n"/>
      <c r="BP1647" s="151" t="n"/>
      <c r="BQ1647" s="151" t="n"/>
      <c r="BR1647" s="151" t="n"/>
      <c r="BS1647" s="151" t="n"/>
      <c r="BT1647" s="151" t="n"/>
    </row>
    <row r="1648">
      <c r="BJ1648" s="151" t="n">
        <v>381401</v>
      </c>
      <c r="BK1648" s="151" t="inlineStr">
        <is>
          <t>FABRICACION DE REPARACION Y UTENSILIOS DE MANO SIN MOTOR</t>
        </is>
      </c>
      <c r="BL1648" s="151" t="n"/>
      <c r="BM1648" s="151" t="n"/>
      <c r="BN1648" s="151" t="n"/>
      <c r="BO1648" s="151" t="n"/>
      <c r="BP1648" s="151" t="n"/>
      <c r="BQ1648" s="151" t="n"/>
      <c r="BR1648" s="151" t="n"/>
      <c r="BS1648" s="151" t="n"/>
      <c r="BT1648" s="151" t="n"/>
    </row>
    <row r="1649">
      <c r="BJ1649" s="151" t="n">
        <v>381402</v>
      </c>
      <c r="BK1649" s="151" t="inlineStr">
        <is>
          <t>FABRICACION DE HOJAS DE AFEITAR Y SIMILARES</t>
        </is>
      </c>
      <c r="BL1649" s="151" t="n"/>
      <c r="BM1649" s="151" t="n"/>
      <c r="BN1649" s="151" t="n"/>
      <c r="BO1649" s="151" t="n"/>
      <c r="BP1649" s="151" t="n"/>
      <c r="BQ1649" s="151" t="n"/>
      <c r="BR1649" s="151" t="n"/>
      <c r="BS1649" s="151" t="n"/>
      <c r="BT1649" s="151" t="n"/>
    </row>
    <row r="1650">
      <c r="BJ1650" s="151" t="n">
        <v>381403</v>
      </c>
      <c r="BK1650" s="151" t="inlineStr">
        <is>
          <t>FABRICACION DE CHAPAS CANDADOS Y SIMILARES</t>
        </is>
      </c>
      <c r="BL1650" s="151" t="n"/>
      <c r="BM1650" s="151" t="n"/>
      <c r="BN1650" s="151" t="n"/>
      <c r="BO1650" s="151" t="n"/>
      <c r="BP1650" s="151" t="n"/>
      <c r="BQ1650" s="151" t="n"/>
      <c r="BR1650" s="151" t="n"/>
      <c r="BS1650" s="151" t="n"/>
      <c r="BT1650" s="151" t="n"/>
    </row>
    <row r="1651">
      <c r="BJ1651" s="151" t="n">
        <v>381404</v>
      </c>
      <c r="BK1651" s="151" t="inlineStr">
        <is>
          <t>FABRICACION DE ALAMBRE Y PRODUCTOS DE ALAMBRE</t>
        </is>
      </c>
      <c r="BL1651" s="151" t="n"/>
      <c r="BM1651" s="151" t="n"/>
      <c r="BN1651" s="151" t="n"/>
      <c r="BO1651" s="151" t="n"/>
      <c r="BP1651" s="151" t="n"/>
      <c r="BQ1651" s="151" t="n"/>
      <c r="BR1651" s="151" t="n"/>
      <c r="BS1651" s="151" t="n"/>
      <c r="BT1651" s="151" t="n"/>
    </row>
    <row r="1652">
      <c r="BJ1652" s="151" t="n">
        <v>381405</v>
      </c>
      <c r="BK1652" s="151" t="inlineStr">
        <is>
          <t>FABRICACION DE TORNILLOS TUERCAS REMACHES Y SIMILARES</t>
        </is>
      </c>
      <c r="BL1652" s="151" t="n"/>
      <c r="BM1652" s="151" t="n"/>
      <c r="BN1652" s="151" t="n"/>
      <c r="BO1652" s="151" t="n"/>
      <c r="BP1652" s="151" t="n"/>
      <c r="BQ1652" s="151" t="n"/>
      <c r="BR1652" s="151" t="n"/>
      <c r="BS1652" s="151" t="n"/>
      <c r="BT1652" s="151" t="n"/>
    </row>
    <row r="1653">
      <c r="BJ1653" s="151" t="n">
        <v>381406</v>
      </c>
      <c r="BK1653" s="151" t="inlineStr">
        <is>
          <t>FABRICACION DE CLAVOS TACHUELAS GRAPAS Y SIMILARES</t>
        </is>
      </c>
      <c r="BL1653" s="151" t="n"/>
      <c r="BM1653" s="151" t="n"/>
      <c r="BN1653" s="151" t="n"/>
      <c r="BO1653" s="151" t="n"/>
      <c r="BP1653" s="151" t="n"/>
      <c r="BQ1653" s="151" t="n"/>
      <c r="BR1653" s="151" t="n"/>
      <c r="BS1653" s="151" t="n"/>
      <c r="BT1653" s="151" t="n"/>
    </row>
    <row r="1654">
      <c r="BJ1654" s="151" t="n">
        <v>381407</v>
      </c>
      <c r="BK1654" s="151" t="inlineStr">
        <is>
          <t>FABRICACION DE ENVASES Y PRODUCTOS DE HOJALATA Y LAMINA</t>
        </is>
      </c>
      <c r="BL1654" s="151" t="n"/>
      <c r="BM1654" s="151" t="n"/>
      <c r="BN1654" s="151" t="n"/>
      <c r="BO1654" s="151" t="n"/>
      <c r="BP1654" s="151" t="n"/>
      <c r="BQ1654" s="151" t="n"/>
      <c r="BR1654" s="151" t="n"/>
      <c r="BS1654" s="151" t="n"/>
      <c r="BT1654" s="151" t="n"/>
    </row>
    <row r="1655">
      <c r="BJ1655" s="151" t="n">
        <v>381408</v>
      </c>
      <c r="BK1655" s="151" t="inlineStr">
        <is>
          <t>FABRICACION DE CORCHOLATAS Y OTROS PRODUCTOS TROQUELADOS</t>
        </is>
      </c>
      <c r="BL1655" s="151" t="n"/>
      <c r="BM1655" s="151" t="n"/>
      <c r="BN1655" s="151" t="n"/>
      <c r="BO1655" s="151" t="n"/>
      <c r="BP1655" s="151" t="n"/>
      <c r="BQ1655" s="151" t="n"/>
      <c r="BR1655" s="151" t="n"/>
      <c r="BS1655" s="151" t="n"/>
      <c r="BT1655" s="151" t="n"/>
    </row>
    <row r="1656">
      <c r="BJ1656" s="151" t="n">
        <v>381409</v>
      </c>
      <c r="BK1656" s="151" t="inlineStr">
        <is>
          <t>FABRICACION DE VALVULAS METALICAS</t>
        </is>
      </c>
      <c r="BL1656" s="151" t="n"/>
      <c r="BM1656" s="151" t="n"/>
      <c r="BN1656" s="151" t="n"/>
      <c r="BO1656" s="151" t="n"/>
      <c r="BP1656" s="151" t="n"/>
      <c r="BQ1656" s="151" t="n"/>
      <c r="BR1656" s="151" t="n"/>
      <c r="BS1656" s="151" t="n"/>
      <c r="BT1656" s="151" t="n"/>
    </row>
    <row r="1657">
      <c r="BJ1657" s="151" t="n">
        <v>381410</v>
      </c>
      <c r="BK1657" s="151" t="inlineStr">
        <is>
          <t>FABRICACION DE QUEMADORES Y EQUIPOS DE CALEFACCION</t>
        </is>
      </c>
      <c r="BL1657" s="151" t="n"/>
      <c r="BM1657" s="151" t="n"/>
      <c r="BN1657" s="151" t="n"/>
      <c r="BO1657" s="151" t="n"/>
      <c r="BP1657" s="151" t="n"/>
      <c r="BQ1657" s="151" t="n"/>
      <c r="BR1657" s="151" t="n"/>
      <c r="BS1657" s="151" t="n"/>
      <c r="BT1657" s="151" t="n"/>
    </row>
    <row r="1658">
      <c r="BJ1658" s="151" t="n">
        <v>381411</v>
      </c>
      <c r="BK1658" s="151" t="inlineStr">
        <is>
          <t>FABRICACION DE BATERIAS DE COCINA Y OLLAS EXPRESS</t>
        </is>
      </c>
      <c r="BL1658" s="151" t="n"/>
      <c r="BM1658" s="151" t="n"/>
      <c r="BN1658" s="151" t="n"/>
      <c r="BO1658" s="151" t="n"/>
      <c r="BP1658" s="151" t="n"/>
      <c r="BQ1658" s="151" t="n"/>
      <c r="BR1658" s="151" t="n"/>
      <c r="BS1658" s="151" t="n"/>
      <c r="BT1658" s="151" t="n"/>
    </row>
    <row r="1659">
      <c r="BJ1659" s="151" t="n">
        <v>381412</v>
      </c>
      <c r="BK1659" s="151" t="inlineStr">
        <is>
          <t>GALVANOPLASTIA EN PIEZAS METALICAS</t>
        </is>
      </c>
      <c r="BL1659" s="151" t="n"/>
      <c r="BM1659" s="151" t="n"/>
      <c r="BN1659" s="151" t="n"/>
      <c r="BO1659" s="151" t="n"/>
      <c r="BP1659" s="151" t="n"/>
      <c r="BQ1659" s="151" t="n"/>
      <c r="BR1659" s="151" t="n"/>
      <c r="BS1659" s="151" t="n"/>
      <c r="BT1659" s="151" t="n"/>
    </row>
    <row r="1660">
      <c r="BJ1660" s="151" t="n">
        <v>381413</v>
      </c>
      <c r="BK1660" s="151" t="inlineStr">
        <is>
          <t>FABRICACION DE PRODUCTOS METALICOS EXCEPTO MAQUINARIA</t>
        </is>
      </c>
      <c r="BL1660" s="151" t="n"/>
      <c r="BM1660" s="151" t="n"/>
      <c r="BN1660" s="151" t="n"/>
      <c r="BO1660" s="151" t="n"/>
      <c r="BP1660" s="151" t="n"/>
      <c r="BQ1660" s="151" t="n"/>
      <c r="BR1660" s="151" t="n"/>
      <c r="BS1660" s="151" t="n"/>
      <c r="BT1660" s="151" t="n"/>
    </row>
    <row r="1661">
      <c r="BJ1661" s="151" t="n">
        <v>382101</v>
      </c>
      <c r="BK1661" s="151" t="inlineStr">
        <is>
          <t>FABRICACION ENSAMBLE Y REPARACION DE TRACTORES</t>
        </is>
      </c>
      <c r="BL1661" s="151" t="n"/>
      <c r="BM1661" s="151" t="n"/>
      <c r="BN1661" s="151" t="n"/>
      <c r="BO1661" s="151" t="n"/>
      <c r="BP1661" s="151" t="n"/>
      <c r="BQ1661" s="151" t="n"/>
      <c r="BR1661" s="151" t="n"/>
      <c r="BS1661" s="151" t="n"/>
      <c r="BT1661" s="151" t="n"/>
    </row>
    <row r="1662">
      <c r="BJ1662" s="151" t="n">
        <v>382102</v>
      </c>
      <c r="BK1662" s="151" t="inlineStr">
        <is>
          <t>FABRICACION ENSAMBLE Y REPARACION DE MAQUINARIA Y  EQUIPO PARA MADERA</t>
        </is>
      </c>
      <c r="BL1662" s="151" t="n"/>
      <c r="BM1662" s="151" t="n"/>
      <c r="BN1662" s="151" t="n"/>
      <c r="BO1662" s="151" t="n"/>
      <c r="BP1662" s="151" t="n"/>
      <c r="BQ1662" s="151" t="n"/>
      <c r="BR1662" s="151" t="n"/>
      <c r="BS1662" s="151" t="n"/>
      <c r="BT1662" s="151" t="n"/>
    </row>
    <row r="1663">
      <c r="BJ1663" s="151" t="n">
        <v>382103</v>
      </c>
      <c r="BK1663" s="151" t="inlineStr">
        <is>
          <t>FABRICACION ENSAMBLE Y REPARACION DE EQUIPO PARA INDUSTRIAS</t>
        </is>
      </c>
      <c r="BL1663" s="151" t="n"/>
      <c r="BM1663" s="151" t="n"/>
      <c r="BN1663" s="151" t="n"/>
      <c r="BO1663" s="151" t="n"/>
      <c r="BP1663" s="151" t="n"/>
      <c r="BQ1663" s="151" t="n"/>
      <c r="BR1663" s="151" t="n"/>
      <c r="BS1663" s="151" t="n"/>
      <c r="BT1663" s="151" t="n"/>
    </row>
    <row r="1664">
      <c r="BJ1664" s="151" t="n">
        <v>382104</v>
      </c>
      <c r="BK1664" s="151" t="inlineStr">
        <is>
          <t>FABRICACION ENSAMBLE Y REPARACION DE MAQUINAS PARA INDUSTRIAS</t>
        </is>
      </c>
      <c r="BL1664" s="151" t="n"/>
      <c r="BM1664" s="151" t="n"/>
      <c r="BN1664" s="151" t="n"/>
      <c r="BO1664" s="151" t="n"/>
      <c r="BP1664" s="151" t="n"/>
      <c r="BQ1664" s="151" t="n"/>
      <c r="BR1664" s="151" t="n"/>
      <c r="BS1664" s="151" t="n"/>
      <c r="BT1664" s="151" t="n"/>
    </row>
    <row r="1665">
      <c r="BJ1665" s="151" t="n">
        <v>382105</v>
      </c>
      <c r="BK1665" s="151" t="inlineStr">
        <is>
          <t>FABRICACION ENSAMBLE Y REPARACION DEMAQUINAS PARA OTRAS INDUSTRIAS</t>
        </is>
      </c>
      <c r="BL1665" s="151" t="n"/>
      <c r="BM1665" s="151" t="n"/>
      <c r="BN1665" s="151" t="n"/>
      <c r="BO1665" s="151" t="n"/>
      <c r="BP1665" s="151" t="n"/>
      <c r="BQ1665" s="151" t="n"/>
      <c r="BR1665" s="151" t="n"/>
      <c r="BS1665" s="151" t="n"/>
      <c r="BT1665" s="151" t="n"/>
    </row>
    <row r="1666">
      <c r="BJ1666" s="151" t="n">
        <v>382201</v>
      </c>
      <c r="BK1666" s="151" t="inlineStr">
        <is>
          <t>FABRICACION ENSAMBLE Y REPARACION DE MOTORES NO ELECTRICOS</t>
        </is>
      </c>
      <c r="BL1666" s="151" t="n"/>
      <c r="BM1666" s="151" t="n"/>
      <c r="BN1666" s="151" t="n"/>
      <c r="BO1666" s="151" t="n"/>
      <c r="BP1666" s="151" t="n"/>
      <c r="BQ1666" s="151" t="n"/>
      <c r="BR1666" s="151" t="n"/>
      <c r="BS1666" s="151" t="n"/>
      <c r="BT1666" s="151" t="n"/>
    </row>
    <row r="1667">
      <c r="BJ1667" s="151" t="n">
        <v>382202</v>
      </c>
      <c r="BK1667" s="151" t="inlineStr">
        <is>
          <t>FABRICACION ENSAMBLE Y REPARACION E INSTALACION DE MAQUINAS DE TRANSPORTE</t>
        </is>
      </c>
      <c r="BL1667" s="151" t="n"/>
      <c r="BM1667" s="151" t="n"/>
      <c r="BN1667" s="151" t="n"/>
      <c r="BO1667" s="151" t="n"/>
      <c r="BP1667" s="151" t="n"/>
      <c r="BQ1667" s="151" t="n"/>
      <c r="BR1667" s="151" t="n"/>
      <c r="BS1667" s="151" t="n"/>
      <c r="BT1667" s="151" t="n"/>
    </row>
    <row r="1668">
      <c r="BJ1668" s="151" t="n">
        <v>382203</v>
      </c>
      <c r="BK1668" s="151" t="inlineStr">
        <is>
          <t>FABRICACION ENSAMBLE Y REPARACION DE MAQUINAS Y EQUIPO DE USO GENERAL</t>
        </is>
      </c>
      <c r="BL1668" s="151" t="n"/>
      <c r="BM1668" s="151" t="n"/>
      <c r="BN1668" s="151" t="n"/>
      <c r="BO1668" s="151" t="n"/>
      <c r="BP1668" s="151" t="n"/>
      <c r="BQ1668" s="151" t="n"/>
      <c r="BR1668" s="151" t="n"/>
      <c r="BS1668" s="151" t="n"/>
      <c r="BT1668" s="151" t="n"/>
    </row>
    <row r="1669">
      <c r="BJ1669" s="151" t="n">
        <v>382204</v>
      </c>
      <c r="BK1669" s="151" t="inlineStr">
        <is>
          <t>FABRICACION DE PARTES Y PIEZAS METALICAS DE MAQUINARIA Y EQUIPO EN GENERAL</t>
        </is>
      </c>
      <c r="BL1669" s="151" t="n"/>
      <c r="BM1669" s="151" t="n"/>
      <c r="BN1669" s="151" t="n"/>
      <c r="BO1669" s="151" t="n"/>
      <c r="BP1669" s="151" t="n"/>
      <c r="BQ1669" s="151" t="n"/>
      <c r="BR1669" s="151" t="n"/>
      <c r="BS1669" s="151" t="n"/>
      <c r="BT1669" s="151" t="n"/>
    </row>
    <row r="1670">
      <c r="BJ1670" s="151" t="n">
        <v>382205</v>
      </c>
      <c r="BK1670" s="151" t="inlineStr">
        <is>
          <t>FABRICACION ENSAMBLE Y REPARACION DE BOMBAS ROCIADORES Y EXTINGUIDOS</t>
        </is>
      </c>
      <c r="BL1670" s="151" t="n"/>
      <c r="BM1670" s="151" t="n"/>
      <c r="BN1670" s="151" t="n"/>
      <c r="BO1670" s="151" t="n"/>
      <c r="BP1670" s="151" t="n"/>
      <c r="BQ1670" s="151" t="n"/>
      <c r="BR1670" s="151" t="n"/>
      <c r="BS1670" s="151" t="n"/>
      <c r="BT1670" s="151" t="n"/>
    </row>
    <row r="1671">
      <c r="BJ1671" s="151" t="n">
        <v>382206</v>
      </c>
      <c r="BK1671" s="151" t="inlineStr">
        <is>
          <t>FABRICACION ENSAMBLE Y REPARACION DE MAQUINAS DE COSER DE USO INDUSTRIAL</t>
        </is>
      </c>
      <c r="BL1671" s="151" t="n"/>
      <c r="BM1671" s="151" t="n"/>
      <c r="BN1671" s="151" t="n"/>
      <c r="BO1671" s="151" t="n"/>
      <c r="BP1671" s="151" t="n"/>
      <c r="BQ1671" s="151" t="n"/>
      <c r="BR1671" s="151" t="n"/>
      <c r="BS1671" s="151" t="n"/>
      <c r="BT1671" s="151" t="n"/>
    </row>
    <row r="1672">
      <c r="BJ1672" s="151" t="n">
        <v>382207</v>
      </c>
      <c r="BK1672" s="151" t="inlineStr">
        <is>
          <t>FABRICACION DE EQUIPOS APARATOS AIRE Y REFRIGERACION</t>
        </is>
      </c>
      <c r="BL1672" s="151" t="n"/>
      <c r="BM1672" s="151" t="n"/>
      <c r="BN1672" s="151" t="n"/>
      <c r="BO1672" s="151" t="n"/>
      <c r="BP1672" s="151" t="n"/>
      <c r="BQ1672" s="151" t="n"/>
      <c r="BR1672" s="151" t="n"/>
      <c r="BS1672" s="151" t="n"/>
      <c r="BT1672" s="151" t="n"/>
    </row>
    <row r="1673">
      <c r="BJ1673" s="151" t="n">
        <v>382208</v>
      </c>
      <c r="BK1673" s="151" t="inlineStr">
        <is>
          <t>FABRICACION DE FILTROS PARA LIQUIDOS Y GASES</t>
        </is>
      </c>
      <c r="BL1673" s="151" t="n"/>
      <c r="BM1673" s="151" t="n"/>
      <c r="BN1673" s="151" t="n"/>
      <c r="BO1673" s="151" t="n"/>
      <c r="BP1673" s="151" t="n"/>
      <c r="BQ1673" s="151" t="n"/>
      <c r="BR1673" s="151" t="n"/>
      <c r="BS1673" s="151" t="n"/>
      <c r="BT1673" s="151" t="n"/>
    </row>
    <row r="1674">
      <c r="BJ1674" s="151" t="n">
        <v>382209</v>
      </c>
      <c r="BK1674" s="151" t="inlineStr">
        <is>
          <t>FABRICACION DE ARMAS DE FUEGO Y CARTUCHOS</t>
        </is>
      </c>
      <c r="BL1674" s="151" t="n"/>
      <c r="BM1674" s="151" t="n"/>
      <c r="BN1674" s="151" t="n"/>
      <c r="BO1674" s="151" t="n"/>
      <c r="BP1674" s="151" t="n"/>
      <c r="BQ1674" s="151" t="n"/>
      <c r="BR1674" s="151" t="n"/>
      <c r="BS1674" s="151" t="n"/>
      <c r="BT1674" s="151" t="n"/>
    </row>
    <row r="1675">
      <c r="BJ1675" s="151" t="n">
        <v>382301</v>
      </c>
      <c r="BK1675" s="151" t="inlineStr">
        <is>
          <t>FABRICACION ENSAMBLE Y REPARACION DE MAQUINAS PARA OFICINA</t>
        </is>
      </c>
      <c r="BL1675" s="151" t="n"/>
      <c r="BM1675" s="151" t="n"/>
      <c r="BN1675" s="151" t="n"/>
      <c r="BO1675" s="151" t="n"/>
      <c r="BP1675" s="151" t="n"/>
      <c r="BQ1675" s="151" t="n"/>
      <c r="BR1675" s="151" t="n"/>
      <c r="BS1675" s="151" t="n"/>
      <c r="BT1675" s="151" t="n"/>
    </row>
    <row r="1676">
      <c r="BJ1676" s="151" t="n">
        <v>382302</v>
      </c>
      <c r="BK1676" s="151" t="inlineStr">
        <is>
          <t>FABRICACION Y REPARACION APARATOS E INSTRUMENTOS PARA PESAR</t>
        </is>
      </c>
      <c r="BL1676" s="151" t="n"/>
      <c r="BM1676" s="151" t="n"/>
      <c r="BN1676" s="151" t="n"/>
      <c r="BO1676" s="151" t="n"/>
      <c r="BP1676" s="151" t="n"/>
      <c r="BQ1676" s="151" t="n"/>
      <c r="BR1676" s="151" t="n"/>
      <c r="BS1676" s="151" t="n"/>
      <c r="BT1676" s="151" t="n"/>
    </row>
    <row r="1677">
      <c r="BJ1677" s="151" t="n">
        <v>383101</v>
      </c>
      <c r="BK1677" s="151" t="inlineStr">
        <is>
          <t>FABRICACION ENSAMBLE Y REPARACION MOTORES ELECTRICOS</t>
        </is>
      </c>
      <c r="BL1677" s="151" t="n"/>
      <c r="BM1677" s="151" t="n"/>
      <c r="BN1677" s="151" t="n"/>
      <c r="BO1677" s="151" t="n"/>
      <c r="BP1677" s="151" t="n"/>
      <c r="BQ1677" s="151" t="n"/>
      <c r="BR1677" s="151" t="n"/>
      <c r="BS1677" s="151" t="n"/>
      <c r="BT1677" s="151" t="n"/>
    </row>
    <row r="1678">
      <c r="BJ1678" s="151" t="n">
        <v>383102</v>
      </c>
      <c r="BK1678" s="151" t="inlineStr">
        <is>
          <t>FABRICACION DE EQUIPO PARA SOLDAR</t>
        </is>
      </c>
      <c r="BL1678" s="151" t="n"/>
      <c r="BM1678" s="151" t="n"/>
      <c r="BN1678" s="151" t="n"/>
      <c r="BO1678" s="151" t="n"/>
      <c r="BP1678" s="151" t="n"/>
      <c r="BQ1678" s="151" t="n"/>
      <c r="BR1678" s="151" t="n"/>
      <c r="BS1678" s="151" t="n"/>
      <c r="BT1678" s="151" t="n"/>
    </row>
    <row r="1679">
      <c r="BJ1679" s="151" t="n">
        <v>383103</v>
      </c>
      <c r="BK1679" s="151" t="inlineStr">
        <is>
          <t>FABRICACION DE PARTES Y ACCESORIOS PARA ELECTRICIDAD AUTOMOTRIZ</t>
        </is>
      </c>
      <c r="BL1679" s="151" t="n"/>
      <c r="BM1679" s="151" t="n"/>
      <c r="BN1679" s="151" t="n"/>
      <c r="BO1679" s="151" t="n"/>
      <c r="BP1679" s="151" t="n"/>
      <c r="BQ1679" s="151" t="n"/>
      <c r="BR1679" s="151" t="n"/>
      <c r="BS1679" s="151" t="n"/>
      <c r="BT1679" s="151" t="n"/>
    </row>
    <row r="1680">
      <c r="BJ1680" s="151" t="n">
        <v>383104</v>
      </c>
      <c r="BK1680" s="151" t="inlineStr">
        <is>
          <t>FABRICACION ENSAMBLE Y REPARACION DE EQUIPOS ELECTRICOS PARA  FERROCARRIL</t>
        </is>
      </c>
      <c r="BL1680" s="151" t="n"/>
      <c r="BM1680" s="151" t="n"/>
      <c r="BN1680" s="151" t="n"/>
      <c r="BO1680" s="151" t="n"/>
      <c r="BP1680" s="151" t="n"/>
      <c r="BQ1680" s="151" t="n"/>
      <c r="BR1680" s="151" t="n"/>
      <c r="BS1680" s="151" t="n"/>
      <c r="BT1680" s="151" t="n"/>
    </row>
    <row r="1681">
      <c r="BJ1681" s="151" t="n">
        <v>383105</v>
      </c>
      <c r="BK1681" s="151" t="inlineStr">
        <is>
          <t>FABRICACION ENSAMBLE Y REPACION ELECTRICA DE EMBARCACIONES</t>
        </is>
      </c>
      <c r="BL1681" s="151" t="n"/>
      <c r="BM1681" s="151" t="n"/>
      <c r="BN1681" s="151" t="n"/>
      <c r="BO1681" s="151" t="n"/>
      <c r="BP1681" s="151" t="n"/>
      <c r="BQ1681" s="151" t="n"/>
      <c r="BR1681" s="151" t="n"/>
      <c r="BS1681" s="151" t="n"/>
      <c r="BT1681" s="151" t="n"/>
    </row>
    <row r="1682">
      <c r="BJ1682" s="151" t="n">
        <v>383106</v>
      </c>
      <c r="BK1682" s="151" t="inlineStr">
        <is>
          <t>FABRICACION ENSAMBLE Y REPARACION DE EQUIPO ELECTRICO DE AERONAVES</t>
        </is>
      </c>
      <c r="BL1682" s="151" t="n"/>
      <c r="BM1682" s="151" t="n"/>
      <c r="BN1682" s="151" t="n"/>
      <c r="BO1682" s="151" t="n"/>
      <c r="BP1682" s="151" t="n"/>
      <c r="BQ1682" s="151" t="n"/>
      <c r="BR1682" s="151" t="n"/>
      <c r="BS1682" s="151" t="n"/>
      <c r="BT1682" s="151" t="n"/>
    </row>
    <row r="1683">
      <c r="BJ1683" s="151" t="n">
        <v>383107</v>
      </c>
      <c r="BK1683" s="151" t="inlineStr">
        <is>
          <t>FABRICACION DE ACUMULADORES Y PILAS ELECTRICAS</t>
        </is>
      </c>
      <c r="BL1683" s="151" t="n"/>
      <c r="BM1683" s="151" t="n"/>
      <c r="BN1683" s="151" t="n"/>
      <c r="BO1683" s="151" t="n"/>
      <c r="BP1683" s="151" t="n"/>
      <c r="BQ1683" s="151" t="n"/>
      <c r="BR1683" s="151" t="n"/>
      <c r="BS1683" s="151" t="n"/>
      <c r="BT1683" s="151" t="n"/>
    </row>
    <row r="1684">
      <c r="BJ1684" s="151" t="n">
        <v>383108</v>
      </c>
      <c r="BK1684" s="151" t="inlineStr">
        <is>
          <t>FABRICACION ELECTRODOS CARBON Y GRAFITO CRISOLES</t>
        </is>
      </c>
      <c r="BL1684" s="151" t="n"/>
      <c r="BM1684" s="151" t="n"/>
      <c r="BN1684" s="151" t="n"/>
      <c r="BO1684" s="151" t="n"/>
      <c r="BP1684" s="151" t="n"/>
      <c r="BQ1684" s="151" t="n"/>
      <c r="BR1684" s="151" t="n"/>
      <c r="BS1684" s="151" t="n"/>
      <c r="BT1684" s="151" t="n"/>
    </row>
    <row r="1685">
      <c r="BJ1685" s="151" t="n">
        <v>383109</v>
      </c>
      <c r="BK1685" s="151" t="inlineStr">
        <is>
          <t>FABRICACION DE MATERIALES Y ACCESORIOS ELECTRICOS INCLUYE ALAMBRE CONDUCTO</t>
        </is>
      </c>
      <c r="BL1685" s="151" t="n"/>
      <c r="BM1685" s="151" t="n"/>
      <c r="BN1685" s="151" t="n"/>
      <c r="BO1685" s="151" t="n"/>
      <c r="BP1685" s="151" t="n"/>
      <c r="BQ1685" s="151" t="n"/>
      <c r="BR1685" s="151" t="n"/>
      <c r="BS1685" s="151" t="n"/>
      <c r="BT1685" s="151" t="n"/>
    </row>
    <row r="1686">
      <c r="BJ1686" s="151" t="n">
        <v>383110</v>
      </c>
      <c r="BK1686" s="151" t="inlineStr">
        <is>
          <t>FABRICACION DE TUBOS Y BOMBILLAS PARA ILUMINACION</t>
        </is>
      </c>
      <c r="BL1686" s="151" t="n"/>
      <c r="BM1686" s="151" t="n"/>
      <c r="BN1686" s="151" t="n"/>
      <c r="BO1686" s="151" t="n"/>
      <c r="BP1686" s="151" t="n"/>
      <c r="BQ1686" s="151" t="n"/>
      <c r="BR1686" s="151" t="n"/>
      <c r="BS1686" s="151" t="n"/>
      <c r="BT1686" s="151" t="n"/>
    </row>
    <row r="1687">
      <c r="BJ1687" s="151" t="n">
        <v>383111</v>
      </c>
      <c r="BK1687" s="151" t="inlineStr">
        <is>
          <t>FABRICACION DE LAMPARAS CANDILES Y EQUIPOS ELECTRICOS</t>
        </is>
      </c>
      <c r="BL1687" s="151" t="n"/>
      <c r="BM1687" s="151" t="n"/>
      <c r="BN1687" s="151" t="n"/>
      <c r="BO1687" s="151" t="n"/>
      <c r="BP1687" s="151" t="n"/>
      <c r="BQ1687" s="151" t="n"/>
      <c r="BR1687" s="151" t="n"/>
      <c r="BS1687" s="151" t="n"/>
      <c r="BT1687" s="151" t="n"/>
    </row>
    <row r="1688">
      <c r="BJ1688" s="151" t="n">
        <v>383201</v>
      </c>
      <c r="BK1688" s="151" t="inlineStr">
        <is>
          <t>FABRICACION ENSAMBLE Y REPARACION DE EQUIPO DE COMUNICACIÓN</t>
        </is>
      </c>
      <c r="BL1688" s="151" t="n"/>
      <c r="BM1688" s="151" t="n"/>
      <c r="BN1688" s="151" t="n"/>
      <c r="BO1688" s="151" t="n"/>
      <c r="BP1688" s="151" t="n"/>
      <c r="BQ1688" s="151" t="n"/>
      <c r="BR1688" s="151" t="n"/>
      <c r="BS1688" s="151" t="n"/>
      <c r="BT1688" s="151" t="n"/>
    </row>
    <row r="1689">
      <c r="BJ1689" s="151" t="n">
        <v>383202</v>
      </c>
      <c r="BK1689" s="151" t="inlineStr">
        <is>
          <t>FABRICACION DE PARTES Y REFACCIONES DE EQUIPO DE COMUNICACIONES</t>
        </is>
      </c>
      <c r="BL1689" s="151" t="n"/>
      <c r="BM1689" s="151" t="n"/>
      <c r="BN1689" s="151" t="n"/>
      <c r="BO1689" s="151" t="n"/>
      <c r="BP1689" s="151" t="n"/>
      <c r="BQ1689" s="151" t="n"/>
      <c r="BR1689" s="151" t="n"/>
      <c r="BS1689" s="151" t="n"/>
      <c r="BT1689" s="151" t="n"/>
    </row>
    <row r="1690">
      <c r="BJ1690" s="151" t="n">
        <v>383203</v>
      </c>
      <c r="BK1690" s="151" t="inlineStr">
        <is>
          <t>FABRICACION ENSAMBLE Y REPARACION DE EQUIPOS ELECTRONICOS DE USO MEDICO</t>
        </is>
      </c>
      <c r="BL1690" s="151" t="n"/>
      <c r="BM1690" s="151" t="n"/>
      <c r="BN1690" s="151" t="n"/>
      <c r="BO1690" s="151" t="n"/>
      <c r="BP1690" s="151" t="n"/>
      <c r="BQ1690" s="151" t="n"/>
      <c r="BR1690" s="151" t="n"/>
      <c r="BS1690" s="151" t="n"/>
      <c r="BT1690" s="151" t="n"/>
    </row>
    <row r="1691">
      <c r="BJ1691" s="151" t="n">
        <v>383204</v>
      </c>
      <c r="BK1691" s="151" t="inlineStr">
        <is>
          <t>FABRICACION ENSAMBLE DE RADIOS, TELEVISION Y REPRODUCTORAS DE SONIDO</t>
        </is>
      </c>
      <c r="BL1691" s="151" t="n"/>
      <c r="BM1691" s="151" t="n"/>
      <c r="BN1691" s="151" t="n"/>
      <c r="BO1691" s="151" t="n"/>
      <c r="BP1691" s="151" t="n"/>
      <c r="BQ1691" s="151" t="n"/>
      <c r="BR1691" s="151" t="n"/>
      <c r="BS1691" s="151" t="n"/>
      <c r="BT1691" s="151" t="n"/>
    </row>
    <row r="1692">
      <c r="BJ1692" s="151" t="n">
        <v>383205</v>
      </c>
      <c r="BK1692" s="151" t="inlineStr">
        <is>
          <t>FABRICACION DE DISCOS Y CINTAS MAGNETOFONICAS</t>
        </is>
      </c>
      <c r="BL1692" s="151" t="n"/>
      <c r="BM1692" s="151" t="n"/>
      <c r="BN1692" s="151" t="n"/>
      <c r="BO1692" s="151" t="n"/>
      <c r="BP1692" s="151" t="n"/>
      <c r="BQ1692" s="151" t="n"/>
      <c r="BR1692" s="151" t="n"/>
      <c r="BS1692" s="151" t="n"/>
      <c r="BT1692" s="151" t="n"/>
    </row>
    <row r="1693">
      <c r="BJ1693" s="151" t="n">
        <v>383206</v>
      </c>
      <c r="BK1693" s="151" t="inlineStr">
        <is>
          <t>FABRICACION DE COMPONENTES Y REFACCIONES RADIO TV SONIDO</t>
        </is>
      </c>
      <c r="BL1693" s="151" t="n"/>
      <c r="BM1693" s="151" t="n"/>
      <c r="BN1693" s="151" t="n"/>
      <c r="BO1693" s="151" t="n"/>
      <c r="BP1693" s="151" t="n"/>
      <c r="BQ1693" s="151" t="n"/>
      <c r="BR1693" s="151" t="n"/>
      <c r="BS1693" s="151" t="n"/>
      <c r="BT1693" s="151" t="n"/>
    </row>
    <row r="1694">
      <c r="BJ1694" s="151" t="n">
        <v>383301</v>
      </c>
      <c r="BK1694" s="151" t="inlineStr">
        <is>
          <t>FABRICACION ENSAMBLE DE ESTUFAS HORNOS DE USO DOMESTICO</t>
        </is>
      </c>
      <c r="BL1694" s="151" t="n"/>
      <c r="BM1694" s="151" t="n"/>
      <c r="BN1694" s="151" t="n"/>
      <c r="BO1694" s="151" t="n"/>
      <c r="BP1694" s="151" t="n"/>
      <c r="BQ1694" s="151" t="n"/>
      <c r="BR1694" s="151" t="n"/>
      <c r="BS1694" s="151" t="n"/>
      <c r="BT1694" s="151" t="n"/>
    </row>
    <row r="1695">
      <c r="BJ1695" s="151" t="n">
        <v>383302</v>
      </c>
      <c r="BK1695" s="151" t="inlineStr">
        <is>
          <t>FABRICACION Y ENSAMBLE DE REFRIGERADORES DE USO DOMESTICO</t>
        </is>
      </c>
      <c r="BL1695" s="151" t="n"/>
      <c r="BM1695" s="151" t="n"/>
      <c r="BN1695" s="151" t="n"/>
      <c r="BO1695" s="151" t="n"/>
      <c r="BP1695" s="151" t="n"/>
      <c r="BQ1695" s="151" t="n"/>
      <c r="BR1695" s="151" t="n"/>
      <c r="BS1695" s="151" t="n"/>
      <c r="BT1695" s="151" t="n"/>
    </row>
    <row r="1696">
      <c r="BJ1696" s="151" t="n">
        <v>383303</v>
      </c>
      <c r="BK1696" s="151" t="inlineStr">
        <is>
          <t>FABRICACION ENSAMBLE DE LAVADORAS Y SECADORAS DE USO DOMESTICO</t>
        </is>
      </c>
      <c r="BL1696" s="151" t="n"/>
      <c r="BM1696" s="151" t="n"/>
      <c r="BN1696" s="151" t="n"/>
      <c r="BO1696" s="151" t="n"/>
      <c r="BP1696" s="151" t="n"/>
      <c r="BQ1696" s="151" t="n"/>
      <c r="BR1696" s="151" t="n"/>
      <c r="BS1696" s="151" t="n"/>
      <c r="BT1696" s="151" t="n"/>
    </row>
    <row r="1697">
      <c r="BJ1697" s="151" t="n">
        <v>383304</v>
      </c>
      <c r="BK1697" s="151" t="inlineStr">
        <is>
          <t>FABRICACION Y ENSAMBLE DE ENSERES DOMESTICOS MENORES</t>
        </is>
      </c>
      <c r="BL1697" s="151" t="n"/>
      <c r="BM1697" s="151" t="n"/>
      <c r="BN1697" s="151" t="n"/>
      <c r="BO1697" s="151" t="n"/>
      <c r="BP1697" s="151" t="n"/>
      <c r="BQ1697" s="151" t="n"/>
      <c r="BR1697" s="151" t="n"/>
      <c r="BS1697" s="151" t="n"/>
      <c r="BT1697" s="151" t="n"/>
    </row>
    <row r="1698">
      <c r="BJ1698" s="151" t="n">
        <v>383305</v>
      </c>
      <c r="BK1698" s="151" t="inlineStr">
        <is>
          <t>FABRICACION Y ENSAMBLE DE MAQUINAS COSER DE USO DOMESTICO</t>
        </is>
      </c>
      <c r="BL1698" s="151" t="n"/>
      <c r="BM1698" s="151" t="n"/>
      <c r="BN1698" s="151" t="n"/>
      <c r="BO1698" s="151" t="n"/>
      <c r="BP1698" s="151" t="n"/>
      <c r="BQ1698" s="151" t="n"/>
      <c r="BR1698" s="151" t="n"/>
      <c r="BS1698" s="151" t="n"/>
      <c r="BT1698" s="151" t="n"/>
    </row>
    <row r="1699">
      <c r="BJ1699" s="151" t="n">
        <v>383306</v>
      </c>
      <c r="BK1699" s="151" t="inlineStr">
        <is>
          <t>FABRICACION ENSAMBLE DE CALENTADORES ELECTRICOS DE USO DOMESTICO</t>
        </is>
      </c>
      <c r="BL1699" s="151" t="n"/>
      <c r="BM1699" s="151" t="n"/>
      <c r="BN1699" s="151" t="n"/>
      <c r="BO1699" s="151" t="n"/>
      <c r="BP1699" s="151" t="n"/>
      <c r="BQ1699" s="151" t="n"/>
      <c r="BR1699" s="151" t="n"/>
      <c r="BS1699" s="151" t="n"/>
      <c r="BT1699" s="151" t="n"/>
    </row>
    <row r="1700">
      <c r="BJ1700" s="151" t="n">
        <v>384110</v>
      </c>
      <c r="BK1700" s="151" t="inlineStr">
        <is>
          <t>FABRICACION Y ENSAMBLE DE AUTO CAMION Y TRACTOCAMION</t>
        </is>
      </c>
      <c r="BL1700" s="151" t="n"/>
      <c r="BM1700" s="151" t="n"/>
      <c r="BN1700" s="151" t="n"/>
      <c r="BO1700" s="151" t="n"/>
      <c r="BP1700" s="151" t="n"/>
      <c r="BQ1700" s="151" t="n"/>
      <c r="BR1700" s="151" t="n"/>
      <c r="BS1700" s="151" t="n"/>
      <c r="BT1700" s="151" t="n"/>
    </row>
    <row r="1701">
      <c r="BJ1701" s="151" t="n">
        <v>384121</v>
      </c>
      <c r="BK1701" s="151" t="inlineStr">
        <is>
          <t>FABRICACION Y ENSAMBLE DE CARROCERIAS Y REMOLQUES DE AUTO CAMIONES</t>
        </is>
      </c>
      <c r="BL1701" s="151" t="n"/>
      <c r="BM1701" s="151" t="n"/>
      <c r="BN1701" s="151" t="n"/>
      <c r="BO1701" s="151" t="n"/>
      <c r="BP1701" s="151" t="n"/>
      <c r="BQ1701" s="151" t="n"/>
      <c r="BR1701" s="151" t="n"/>
      <c r="BS1701" s="151" t="n"/>
      <c r="BT1701" s="151" t="n"/>
    </row>
    <row r="1702">
      <c r="BJ1702" s="151" t="n">
        <v>384122</v>
      </c>
      <c r="BK1702" s="151" t="inlineStr">
        <is>
          <t>FABRICACION DE MOTORES PARTES PARA AUTO CAMIONES Y RECONSTRUCCION</t>
        </is>
      </c>
      <c r="BL1702" s="151" t="n"/>
      <c r="BM1702" s="151" t="n"/>
      <c r="BN1702" s="151" t="n"/>
      <c r="BO1702" s="151" t="n"/>
      <c r="BP1702" s="151" t="n"/>
      <c r="BQ1702" s="151" t="n"/>
      <c r="BR1702" s="151" t="n"/>
      <c r="BS1702" s="151" t="n"/>
      <c r="BT1702" s="151" t="n"/>
    </row>
    <row r="1703">
      <c r="BJ1703" s="151" t="n">
        <v>384123</v>
      </c>
      <c r="BK1703" s="151" t="inlineStr">
        <is>
          <t>FABRICACION DE PARTES DE TRANSMICIONES AUTO Y CAMIONES</t>
        </is>
      </c>
      <c r="BL1703" s="151" t="n"/>
      <c r="BM1703" s="151" t="n"/>
      <c r="BN1703" s="151" t="n"/>
      <c r="BO1703" s="151" t="n"/>
      <c r="BP1703" s="151" t="n"/>
      <c r="BQ1703" s="151" t="n"/>
      <c r="BR1703" s="151" t="n"/>
      <c r="BS1703" s="151" t="n"/>
      <c r="BT1703" s="151" t="n"/>
    </row>
    <row r="1704">
      <c r="BJ1704" s="151" t="n">
        <v>384124</v>
      </c>
      <c r="BK1704" s="151" t="inlineStr">
        <is>
          <t>FABRICACION DE PARTES DE SISTEMAS DE SUSPENSION PARA AUTO Y CAMIONES</t>
        </is>
      </c>
      <c r="BL1704" s="151" t="n"/>
      <c r="BM1704" s="151" t="n"/>
      <c r="BN1704" s="151" t="n"/>
      <c r="BO1704" s="151" t="n"/>
      <c r="BP1704" s="151" t="n"/>
      <c r="BQ1704" s="151" t="n"/>
      <c r="BR1704" s="151" t="n"/>
      <c r="BS1704" s="151" t="n"/>
      <c r="BT1704" s="151" t="n"/>
    </row>
    <row r="1705">
      <c r="BJ1705" s="151" t="n">
        <v>384125</v>
      </c>
      <c r="BK1705" s="151" t="inlineStr">
        <is>
          <t>FABRICACION DE PARTES DE SISTEMA FRENOS DE AUTO Y CAMIONES</t>
        </is>
      </c>
      <c r="BL1705" s="151" t="n"/>
      <c r="BM1705" s="151" t="n"/>
      <c r="BN1705" s="151" t="n"/>
      <c r="BO1705" s="151" t="n"/>
      <c r="BP1705" s="151" t="n"/>
      <c r="BQ1705" s="151" t="n"/>
      <c r="BR1705" s="151" t="n"/>
      <c r="BS1705" s="151" t="n"/>
      <c r="BT1705" s="151" t="n"/>
    </row>
    <row r="1706">
      <c r="BJ1706" s="151" t="n">
        <v>384126</v>
      </c>
      <c r="BK1706" s="151" t="inlineStr">
        <is>
          <t>FABRICACION DE OTRAS PARTES Y ACCESORIOS PARA AUTO Y CAMIONES</t>
        </is>
      </c>
      <c r="BL1706" s="151" t="n"/>
      <c r="BM1706" s="151" t="n"/>
      <c r="BN1706" s="151" t="n"/>
      <c r="BO1706" s="151" t="n"/>
      <c r="BP1706" s="151" t="n"/>
      <c r="BQ1706" s="151" t="n"/>
      <c r="BR1706" s="151" t="n"/>
      <c r="BS1706" s="151" t="n"/>
      <c r="BT1706" s="151" t="n"/>
    </row>
    <row r="1707">
      <c r="BJ1707" s="151" t="n">
        <v>384201</v>
      </c>
      <c r="BK1707" s="151" t="inlineStr">
        <is>
          <t>FABRICACION Y REPARACION DE EMBARCACIONES EXCEPTO ELECTRICOS</t>
        </is>
      </c>
      <c r="BL1707" s="151" t="n"/>
      <c r="BM1707" s="151" t="n"/>
      <c r="BN1707" s="151" t="n"/>
      <c r="BO1707" s="151" t="n"/>
      <c r="BP1707" s="151" t="n"/>
      <c r="BQ1707" s="151" t="n"/>
      <c r="BR1707" s="151" t="n"/>
      <c r="BS1707" s="151" t="n"/>
      <c r="BT1707" s="151" t="n"/>
    </row>
    <row r="1708">
      <c r="BJ1708" s="151" t="n">
        <v>384202</v>
      </c>
      <c r="BK1708" s="151" t="inlineStr">
        <is>
          <t>CONSTRUCCION Y REPARACION DE EQUIPO PARA FERROCARRIL EXCEPTO ELECTRICO</t>
        </is>
      </c>
      <c r="BL1708" s="151" t="n"/>
      <c r="BM1708" s="151" t="n"/>
      <c r="BN1708" s="151" t="n"/>
      <c r="BO1708" s="151" t="n"/>
      <c r="BP1708" s="151" t="n"/>
      <c r="BQ1708" s="151" t="n"/>
      <c r="BR1708" s="151" t="n"/>
      <c r="BS1708" s="151" t="n"/>
      <c r="BT1708" s="151" t="n"/>
    </row>
    <row r="1709">
      <c r="BJ1709" s="151" t="n">
        <v>384203</v>
      </c>
      <c r="BK1709" s="151" t="inlineStr">
        <is>
          <t>FABRICACION Y ENSAMBLE DE MOTOCICLETAS BICICLETAS Y SIMILARES</t>
        </is>
      </c>
      <c r="BL1709" s="151" t="n"/>
      <c r="BM1709" s="151" t="n"/>
      <c r="BN1709" s="151" t="n"/>
      <c r="BO1709" s="151" t="n"/>
      <c r="BP1709" s="151" t="n"/>
      <c r="BQ1709" s="151" t="n"/>
      <c r="BR1709" s="151" t="n"/>
      <c r="BS1709" s="151" t="n"/>
      <c r="BT1709" s="151" t="n"/>
    </row>
    <row r="1710">
      <c r="BJ1710" s="151" t="n">
        <v>384204</v>
      </c>
      <c r="BK1710" s="151" t="inlineStr">
        <is>
          <t>FABRICACION DE COMPONENTES Y REFACCIONES MOTO Y BICICLETAS</t>
        </is>
      </c>
      <c r="BL1710" s="151" t="n"/>
      <c r="BM1710" s="151" t="n"/>
      <c r="BN1710" s="151" t="n"/>
      <c r="BO1710" s="151" t="n"/>
      <c r="BP1710" s="151" t="n"/>
      <c r="BQ1710" s="151" t="n"/>
      <c r="BR1710" s="151" t="n"/>
      <c r="BS1710" s="151" t="n"/>
      <c r="BT1710" s="151" t="n"/>
    </row>
    <row r="1711">
      <c r="BJ1711" s="151" t="n">
        <v>384205</v>
      </c>
      <c r="BK1711" s="151" t="inlineStr">
        <is>
          <t>CONSTRUCCION ENSAMBLADORAS REPARACION AERONAVES EXCEPTO ELECTRICO</t>
        </is>
      </c>
      <c r="BL1711" s="151" t="n"/>
      <c r="BM1711" s="151" t="n"/>
      <c r="BN1711" s="151" t="n"/>
      <c r="BO1711" s="151" t="n"/>
      <c r="BP1711" s="151" t="n"/>
      <c r="BQ1711" s="151" t="n"/>
      <c r="BR1711" s="151" t="n"/>
      <c r="BS1711" s="151" t="n"/>
      <c r="BT1711" s="151" t="n"/>
    </row>
    <row r="1712">
      <c r="BJ1712" s="151" t="n">
        <v>384206</v>
      </c>
      <c r="BK1712" s="151" t="inlineStr">
        <is>
          <t>FABRICACION Y REPARACION DE OTRO MATERIAL DE TRANSPORTE ANIMAL MANUAL</t>
        </is>
      </c>
      <c r="BL1712" s="151" t="n"/>
      <c r="BM1712" s="151" t="n"/>
      <c r="BN1712" s="151" t="n"/>
      <c r="BO1712" s="151" t="n"/>
      <c r="BP1712" s="151" t="n"/>
      <c r="BQ1712" s="151" t="n"/>
      <c r="BR1712" s="151" t="n"/>
      <c r="BS1712" s="151" t="n"/>
      <c r="BT1712" s="151" t="n"/>
    </row>
    <row r="1713">
      <c r="BJ1713" s="151" t="n">
        <v>385001</v>
      </c>
      <c r="BK1713" s="151" t="inlineStr">
        <is>
          <t>FABRICACION Y REPARACION DE EQUIPO INSTRUMENTAL MEDICO</t>
        </is>
      </c>
      <c r="BL1713" s="151" t="n"/>
      <c r="BM1713" s="151" t="n"/>
      <c r="BN1713" s="151" t="n"/>
      <c r="BO1713" s="151" t="n"/>
      <c r="BP1713" s="151" t="n"/>
      <c r="BQ1713" s="151" t="n"/>
      <c r="BR1713" s="151" t="n"/>
      <c r="BS1713" s="151" t="n"/>
      <c r="BT1713" s="151" t="n"/>
    </row>
    <row r="1714">
      <c r="BJ1714" s="151" t="n">
        <v>385002</v>
      </c>
      <c r="BK1714" s="151" t="inlineStr">
        <is>
          <t>FABRICACION DE EQUIPO Y ACCESORIOS DENTALES</t>
        </is>
      </c>
      <c r="BL1714" s="151" t="n"/>
      <c r="BM1714" s="151" t="n"/>
      <c r="BN1714" s="151" t="n"/>
      <c r="BO1714" s="151" t="n"/>
      <c r="BP1714" s="151" t="n"/>
      <c r="BQ1714" s="151" t="n"/>
      <c r="BR1714" s="151" t="n"/>
      <c r="BS1714" s="151" t="n"/>
      <c r="BT1714" s="151" t="n"/>
    </row>
    <row r="1715">
      <c r="BJ1715" s="151" t="n">
        <v>385003</v>
      </c>
      <c r="BK1715" s="151" t="inlineStr">
        <is>
          <t>FABRICACION DE ALGODON ABSORBENTE VENDAS Y SIMILARES</t>
        </is>
      </c>
      <c r="BL1715" s="151" t="n"/>
      <c r="BM1715" s="151" t="n"/>
      <c r="BN1715" s="151" t="n"/>
      <c r="BO1715" s="151" t="n"/>
      <c r="BP1715" s="151" t="n"/>
      <c r="BQ1715" s="151" t="n"/>
      <c r="BR1715" s="151" t="n"/>
      <c r="BS1715" s="151" t="n"/>
      <c r="BT1715" s="151" t="n"/>
    </row>
    <row r="1716">
      <c r="BJ1716" s="151" t="n">
        <v>385004</v>
      </c>
      <c r="BK1716" s="151" t="inlineStr">
        <is>
          <t>FABRICACION Y REPARACION DE APARATOS E INSTRUMENTOS TECNICOS</t>
        </is>
      </c>
      <c r="BL1716" s="151" t="n"/>
      <c r="BM1716" s="151" t="n"/>
      <c r="BN1716" s="151" t="n"/>
      <c r="BO1716" s="151" t="n"/>
      <c r="BP1716" s="151" t="n"/>
      <c r="BQ1716" s="151" t="n"/>
      <c r="BR1716" s="151" t="n"/>
      <c r="BS1716" s="151" t="n"/>
      <c r="BT1716" s="151" t="n"/>
    </row>
    <row r="1717">
      <c r="BJ1717" s="151" t="n">
        <v>385005</v>
      </c>
      <c r="BK1717" s="151" t="inlineStr">
        <is>
          <t>FABRICACION DE ANTEOJOS APARATOS OPTICOS Y PARTES</t>
        </is>
      </c>
      <c r="BL1717" s="151" t="n"/>
      <c r="BM1717" s="151" t="n"/>
      <c r="BN1717" s="151" t="n"/>
      <c r="BO1717" s="151" t="n"/>
      <c r="BP1717" s="151" t="n"/>
      <c r="BQ1717" s="151" t="n"/>
      <c r="BR1717" s="151" t="n"/>
      <c r="BS1717" s="151" t="n"/>
      <c r="BT1717" s="151" t="n"/>
    </row>
    <row r="1718">
      <c r="BJ1718" s="151" t="n">
        <v>385006</v>
      </c>
      <c r="BK1718" s="151" t="inlineStr">
        <is>
          <t>FABRICACION DE APARATOS FOTOGRAFICOS Y PROYECTORES</t>
        </is>
      </c>
      <c r="BL1718" s="151" t="n"/>
      <c r="BM1718" s="151" t="n"/>
      <c r="BN1718" s="151" t="n"/>
      <c r="BO1718" s="151" t="n"/>
      <c r="BP1718" s="151" t="n"/>
      <c r="BQ1718" s="151" t="n"/>
      <c r="BR1718" s="151" t="n"/>
      <c r="BS1718" s="151" t="n"/>
      <c r="BT1718" s="151" t="n"/>
    </row>
    <row r="1719">
      <c r="BJ1719" s="151" t="n">
        <v>385007</v>
      </c>
      <c r="BK1719" s="151" t="inlineStr">
        <is>
          <t>FABRICACION DE MAQUINAS FOTOCOPIADORAS</t>
        </is>
      </c>
      <c r="BL1719" s="151" t="n"/>
      <c r="BM1719" s="151" t="n"/>
      <c r="BN1719" s="151" t="n"/>
      <c r="BO1719" s="151" t="n"/>
      <c r="BP1719" s="151" t="n"/>
      <c r="BQ1719" s="151" t="n"/>
      <c r="BR1719" s="151" t="n"/>
      <c r="BS1719" s="151" t="n"/>
      <c r="BT1719" s="151" t="n"/>
    </row>
    <row r="1720">
      <c r="BJ1720" s="151" t="n">
        <v>385008</v>
      </c>
      <c r="BK1720" s="151" t="inlineStr">
        <is>
          <t>FABRICACION Y ENSAMBLE DE RELOJES Y SUS PARTES</t>
        </is>
      </c>
      <c r="BL1720" s="151" t="n"/>
      <c r="BM1720" s="151" t="n"/>
      <c r="BN1720" s="151" t="n"/>
      <c r="BO1720" s="151" t="n"/>
      <c r="BP1720" s="151" t="n"/>
      <c r="BQ1720" s="151" t="n"/>
      <c r="BR1720" s="151" t="n"/>
      <c r="BS1720" s="151" t="n"/>
      <c r="BT1720" s="151" t="n"/>
    </row>
    <row r="1721">
      <c r="BJ1721" s="151" t="n">
        <v>390001</v>
      </c>
      <c r="BK1721" s="151" t="inlineStr">
        <is>
          <t>FABRICACION DE JOYAS Y ORFEBRERIA DE ORO Y PLATA</t>
        </is>
      </c>
      <c r="BL1721" s="151" t="n"/>
      <c r="BM1721" s="151" t="n"/>
      <c r="BN1721" s="151" t="n"/>
      <c r="BO1721" s="151" t="n"/>
      <c r="BP1721" s="151" t="n"/>
      <c r="BQ1721" s="151" t="n"/>
      <c r="BR1721" s="151" t="n"/>
      <c r="BS1721" s="151" t="n"/>
      <c r="BT1721" s="151" t="n"/>
    </row>
    <row r="1722">
      <c r="BJ1722" s="151" t="n">
        <v>390002</v>
      </c>
      <c r="BK1722" s="151" t="inlineStr">
        <is>
          <t>ACUÑACION DE MONEDAS</t>
        </is>
      </c>
      <c r="BL1722" s="151" t="n"/>
      <c r="BM1722" s="151" t="n"/>
      <c r="BN1722" s="151" t="n"/>
      <c r="BO1722" s="151" t="n"/>
      <c r="BP1722" s="151" t="n"/>
      <c r="BQ1722" s="151" t="n"/>
      <c r="BR1722" s="151" t="n"/>
      <c r="BS1722" s="151" t="n"/>
      <c r="BT1722" s="151" t="n"/>
    </row>
    <row r="1723">
      <c r="BJ1723" s="151" t="n">
        <v>390003</v>
      </c>
      <c r="BK1723" s="151" t="inlineStr">
        <is>
          <t>FABRICACION Y ENSAMBLE DE INSTRUMENTOS MUSICALES Y PARTES</t>
        </is>
      </c>
      <c r="BL1723" s="151" t="n"/>
      <c r="BM1723" s="151" t="n"/>
      <c r="BN1723" s="151" t="n"/>
      <c r="BO1723" s="151" t="n"/>
      <c r="BP1723" s="151" t="n"/>
      <c r="BQ1723" s="151" t="n"/>
      <c r="BR1723" s="151" t="n"/>
      <c r="BS1723" s="151" t="n"/>
      <c r="BT1723" s="151" t="n"/>
    </row>
    <row r="1724">
      <c r="BJ1724" s="151" t="n">
        <v>390004</v>
      </c>
      <c r="BK1724" s="151" t="inlineStr">
        <is>
          <t>FABRICACION DE APARATOS Y ARTICULOS DEPORTIVOS</t>
        </is>
      </c>
      <c r="BL1724" s="151" t="n"/>
      <c r="BM1724" s="151" t="n"/>
      <c r="BN1724" s="151" t="n"/>
      <c r="BO1724" s="151" t="n"/>
      <c r="BP1724" s="151" t="n"/>
      <c r="BQ1724" s="151" t="n"/>
      <c r="BR1724" s="151" t="n"/>
      <c r="BS1724" s="151" t="n"/>
      <c r="BT1724" s="151" t="n"/>
    </row>
    <row r="1725">
      <c r="BJ1725" s="151" t="n">
        <v>390005</v>
      </c>
      <c r="BK1725" s="151" t="inlineStr">
        <is>
          <t>FABRICACION DE ARTICULOS UTILES PARA OFICINA EXCEPTO CLIPS</t>
        </is>
      </c>
      <c r="BL1725" s="151" t="n"/>
      <c r="BM1725" s="151" t="n"/>
      <c r="BN1725" s="151" t="n"/>
      <c r="BO1725" s="151" t="n"/>
      <c r="BP1725" s="151" t="n"/>
      <c r="BQ1725" s="151" t="n"/>
      <c r="BR1725" s="151" t="n"/>
      <c r="BS1725" s="151" t="n"/>
      <c r="BT1725" s="151" t="n"/>
    </row>
    <row r="1726">
      <c r="BJ1726" s="151" t="n">
        <v>390006</v>
      </c>
      <c r="BK1726" s="151" t="inlineStr">
        <is>
          <t>FABRICACION DE JUGUETES</t>
        </is>
      </c>
      <c r="BL1726" s="151" t="n"/>
      <c r="BM1726" s="151" t="n"/>
      <c r="BN1726" s="151" t="n"/>
      <c r="BO1726" s="151" t="n"/>
      <c r="BP1726" s="151" t="n"/>
      <c r="BQ1726" s="151" t="n"/>
      <c r="BR1726" s="151" t="n"/>
      <c r="BS1726" s="151" t="n"/>
      <c r="BT1726" s="151" t="n"/>
    </row>
    <row r="1727">
      <c r="BJ1727" s="151" t="n">
        <v>390007</v>
      </c>
      <c r="BK1727" s="151" t="inlineStr">
        <is>
          <t>FABRICACION DE ESCOBAS CEPILLOS INCLUYE DENTALES</t>
        </is>
      </c>
      <c r="BL1727" s="151" t="n"/>
      <c r="BM1727" s="151" t="n"/>
      <c r="BN1727" s="151" t="n"/>
      <c r="BO1727" s="151" t="n"/>
      <c r="BP1727" s="151" t="n"/>
      <c r="BQ1727" s="151" t="n"/>
      <c r="BR1727" s="151" t="n"/>
      <c r="BS1727" s="151" t="n"/>
      <c r="BT1727" s="151" t="n"/>
    </row>
    <row r="1728">
      <c r="BJ1728" s="151" t="n">
        <v>390008</v>
      </c>
      <c r="BK1728" s="151" t="inlineStr">
        <is>
          <t>FABRICACION DE JOYAS FANTASIA INCLUYE TROFEOS</t>
        </is>
      </c>
      <c r="BL1728" s="151" t="n"/>
      <c r="BM1728" s="151" t="n"/>
      <c r="BN1728" s="151" t="n"/>
      <c r="BO1728" s="151" t="n"/>
      <c r="BP1728" s="151" t="n"/>
      <c r="BQ1728" s="151" t="n"/>
      <c r="BR1728" s="151" t="n"/>
      <c r="BS1728" s="151" t="n"/>
      <c r="BT1728" s="151" t="n"/>
    </row>
    <row r="1729">
      <c r="BJ1729" s="151" t="n">
        <v>390009</v>
      </c>
      <c r="BK1729" s="151" t="inlineStr">
        <is>
          <t>FABRICACION DE SELLOS METALICOS Y DE GOMA</t>
        </is>
      </c>
      <c r="BL1729" s="151" t="n"/>
      <c r="BM1729" s="151" t="n"/>
      <c r="BN1729" s="151" t="n"/>
      <c r="BO1729" s="151" t="n"/>
      <c r="BP1729" s="151" t="n"/>
      <c r="BQ1729" s="151" t="n"/>
      <c r="BR1729" s="151" t="n"/>
      <c r="BS1729" s="151" t="n"/>
      <c r="BT1729" s="151" t="n"/>
    </row>
    <row r="1730">
      <c r="BJ1730" s="151" t="n">
        <v>390010</v>
      </c>
      <c r="BK1730" s="151" t="inlineStr">
        <is>
          <t>FABRICACION DE PRODUCTOS NO CLASIFICADOS EN OTRA PARTE</t>
        </is>
      </c>
      <c r="BL1730" s="151" t="n"/>
      <c r="BM1730" s="151" t="n"/>
      <c r="BN1730" s="151" t="n"/>
      <c r="BO1730" s="151" t="n"/>
      <c r="BP1730" s="151" t="n"/>
      <c r="BQ1730" s="151" t="n"/>
      <c r="BR1730" s="151" t="n"/>
      <c r="BS1730" s="151" t="n"/>
      <c r="BT1730" s="151" t="n"/>
    </row>
    <row r="1731">
      <c r="BJ1731" s="151" t="n">
        <v>410001</v>
      </c>
      <c r="BK1731" s="151" t="inlineStr">
        <is>
          <t>GENERACION Y TRANSMISION DE ENERGIA ELECTRICA</t>
        </is>
      </c>
      <c r="BL1731" s="151" t="n"/>
      <c r="BM1731" s="151" t="n"/>
      <c r="BN1731" s="151" t="n"/>
      <c r="BO1731" s="151" t="n"/>
      <c r="BP1731" s="151" t="n"/>
      <c r="BQ1731" s="151" t="n"/>
      <c r="BR1731" s="151" t="n"/>
      <c r="BS1731" s="151" t="n"/>
      <c r="BT1731" s="151" t="n"/>
    </row>
    <row r="1732">
      <c r="BJ1732" s="151" t="n">
        <v>410002</v>
      </c>
      <c r="BK1732" s="151" t="inlineStr">
        <is>
          <t>DISTRIBUCION DE ENERGIA ELECTRICA</t>
        </is>
      </c>
      <c r="BL1732" s="151" t="n"/>
      <c r="BM1732" s="151" t="n"/>
      <c r="BN1732" s="151" t="n"/>
      <c r="BO1732" s="151" t="n"/>
      <c r="BP1732" s="151" t="n"/>
      <c r="BQ1732" s="151" t="n"/>
      <c r="BR1732" s="151" t="n"/>
      <c r="BS1732" s="151" t="n"/>
      <c r="BT1732" s="151" t="n"/>
    </row>
    <row r="1733">
      <c r="BJ1733" s="151" t="n">
        <v>410003</v>
      </c>
      <c r="BK1733" s="151" t="inlineStr">
        <is>
          <t>DISTRIBUCION GAS NATURAL POR TUBERIA ZONAS URBANAS</t>
        </is>
      </c>
      <c r="BL1733" s="151" t="n"/>
      <c r="BM1733" s="151" t="n"/>
      <c r="BN1733" s="151" t="n"/>
      <c r="BO1733" s="151" t="n"/>
      <c r="BP1733" s="151" t="n"/>
      <c r="BQ1733" s="151" t="n"/>
      <c r="BR1733" s="151" t="n"/>
      <c r="BS1733" s="151" t="n"/>
      <c r="BT1733" s="151" t="n"/>
    </row>
    <row r="1734">
      <c r="BJ1734" s="151" t="n">
        <v>410004</v>
      </c>
      <c r="BK1734" s="151" t="inlineStr">
        <is>
          <t>SUMINISTRO DE VAPOR Y AGUA CALIENTE</t>
        </is>
      </c>
      <c r="BL1734" s="151" t="n"/>
      <c r="BM1734" s="151" t="n"/>
      <c r="BN1734" s="151" t="n"/>
      <c r="BO1734" s="151" t="n"/>
      <c r="BP1734" s="151" t="n"/>
      <c r="BQ1734" s="151" t="n"/>
      <c r="BR1734" s="151" t="n"/>
      <c r="BS1734" s="151" t="n"/>
      <c r="BT1734" s="151" t="n"/>
    </row>
    <row r="1735">
      <c r="BJ1735" s="151" t="n">
        <v>420000</v>
      </c>
      <c r="BK1735" s="151" t="inlineStr">
        <is>
          <t>CAPTACION TRATA CONDUCTOS  DISTRIBUCION DE AGUA</t>
        </is>
      </c>
      <c r="BL1735" s="151" t="n"/>
      <c r="BM1735" s="151" t="n"/>
      <c r="BN1735" s="151" t="n"/>
      <c r="BO1735" s="151" t="n"/>
      <c r="BP1735" s="151" t="n"/>
      <c r="BQ1735" s="151" t="n"/>
      <c r="BR1735" s="151" t="n"/>
      <c r="BS1735" s="151" t="n"/>
      <c r="BT1735" s="151" t="n"/>
    </row>
    <row r="1736">
      <c r="BJ1736" s="151" t="n">
        <v>500011</v>
      </c>
      <c r="BK1736" s="151" t="inlineStr">
        <is>
          <t>MONTAJE E INSTALACION DE ESTRUCTURAS CONCRETO</t>
        </is>
      </c>
      <c r="BL1736" s="151" t="n"/>
      <c r="BM1736" s="151" t="n"/>
      <c r="BN1736" s="151" t="n"/>
      <c r="BO1736" s="151" t="n"/>
      <c r="BP1736" s="151" t="n"/>
      <c r="BQ1736" s="151" t="n"/>
      <c r="BR1736" s="151" t="n"/>
      <c r="BS1736" s="151" t="n"/>
      <c r="BT1736" s="151" t="n"/>
    </row>
    <row r="1737">
      <c r="BJ1737" s="151" t="n">
        <v>500012</v>
      </c>
      <c r="BK1737" s="151" t="inlineStr">
        <is>
          <t>MONTAJE E INSTALACION ESTRUCTURAS METALICAS</t>
        </is>
      </c>
      <c r="BL1737" s="151" t="n"/>
      <c r="BM1737" s="151" t="n"/>
      <c r="BN1737" s="151" t="n"/>
      <c r="BO1737" s="151" t="n"/>
      <c r="BP1737" s="151" t="n"/>
      <c r="BQ1737" s="151" t="n"/>
      <c r="BR1737" s="151" t="n"/>
      <c r="BS1737" s="151" t="n"/>
      <c r="BT1737" s="151" t="n"/>
    </row>
    <row r="1738">
      <c r="BJ1738" s="151" t="n">
        <v>500013</v>
      </c>
      <c r="BK1738" s="151" t="inlineStr">
        <is>
          <t>EDIFICACION</t>
        </is>
      </c>
      <c r="BL1738" s="151" t="n"/>
      <c r="BM1738" s="151" t="n"/>
      <c r="BN1738" s="151" t="n"/>
      <c r="BO1738" s="151" t="n"/>
      <c r="BP1738" s="151" t="n"/>
      <c r="BQ1738" s="151" t="n"/>
      <c r="BR1738" s="151" t="n"/>
      <c r="BS1738" s="151" t="n"/>
      <c r="BT1738" s="151" t="n"/>
    </row>
    <row r="1739">
      <c r="BJ1739" s="151" t="n">
        <v>500014</v>
      </c>
      <c r="BK1739" s="151" t="inlineStr">
        <is>
          <t>CONSTRUCCION DE INFRAESTRUCTURA</t>
        </is>
      </c>
      <c r="BL1739" s="151" t="n"/>
      <c r="BM1739" s="151" t="n"/>
      <c r="BN1739" s="151" t="n"/>
      <c r="BO1739" s="151" t="n"/>
      <c r="BP1739" s="151" t="n"/>
      <c r="BQ1739" s="151" t="n"/>
      <c r="BR1739" s="151" t="n"/>
      <c r="BS1739" s="151" t="n"/>
      <c r="BT1739" s="151" t="n"/>
    </row>
    <row r="1740">
      <c r="BJ1740" s="151" t="n">
        <v>500015</v>
      </c>
      <c r="BK1740" s="151" t="inlineStr">
        <is>
          <t>MOVIMIENTOS DE TIERRAS</t>
        </is>
      </c>
      <c r="BL1740" s="151" t="n"/>
      <c r="BM1740" s="151" t="n"/>
      <c r="BN1740" s="151" t="n"/>
      <c r="BO1740" s="151" t="n"/>
      <c r="BP1740" s="151" t="n"/>
      <c r="BQ1740" s="151" t="n"/>
      <c r="BR1740" s="151" t="n"/>
      <c r="BS1740" s="151" t="n"/>
      <c r="BT1740" s="151" t="n"/>
    </row>
    <row r="1741">
      <c r="BJ1741" s="151" t="n">
        <v>500016</v>
      </c>
      <c r="BK1741" s="151" t="inlineStr">
        <is>
          <t>PAVIMENTACION</t>
        </is>
      </c>
      <c r="BL1741" s="151" t="n"/>
      <c r="BM1741" s="151" t="n"/>
      <c r="BN1741" s="151" t="n"/>
      <c r="BO1741" s="151" t="n"/>
      <c r="BP1741" s="151" t="n"/>
      <c r="BQ1741" s="151" t="n"/>
      <c r="BR1741" s="151" t="n"/>
      <c r="BS1741" s="151" t="n"/>
      <c r="BT1741" s="151" t="n"/>
    </row>
    <row r="1742">
      <c r="BJ1742" s="151" t="n">
        <v>500017</v>
      </c>
      <c r="BK1742" s="151" t="inlineStr">
        <is>
          <t>OBRAS MARITIMAS Y FLUVIALES</t>
        </is>
      </c>
      <c r="BL1742" s="151" t="n"/>
      <c r="BM1742" s="151" t="n"/>
      <c r="BN1742" s="151" t="n"/>
      <c r="BO1742" s="151" t="n"/>
      <c r="BP1742" s="151" t="n"/>
      <c r="BQ1742" s="151" t="n"/>
      <c r="BR1742" s="151" t="n"/>
      <c r="BS1742" s="151" t="n"/>
      <c r="BT1742" s="151" t="n"/>
    </row>
    <row r="1743">
      <c r="BJ1743" s="151" t="n">
        <v>500021</v>
      </c>
      <c r="BK1743" s="151" t="inlineStr">
        <is>
          <t>CONSTRUCCION DE PLANTAS INDUSTRIALES</t>
        </is>
      </c>
      <c r="BL1743" s="151" t="n"/>
      <c r="BM1743" s="151" t="n"/>
      <c r="BN1743" s="151" t="n"/>
      <c r="BO1743" s="151" t="n"/>
      <c r="BP1743" s="151" t="n"/>
      <c r="BQ1743" s="151" t="n"/>
      <c r="BR1743" s="151" t="n"/>
      <c r="BS1743" s="151" t="n"/>
      <c r="BT1743" s="151" t="n"/>
    </row>
    <row r="1744">
      <c r="BJ1744" s="151" t="n">
        <v>500022</v>
      </c>
      <c r="BK1744" s="151" t="inlineStr">
        <is>
          <t>CONSTRUCCION DE PLANTAS DE GENERACION DE ELECTRICIDAD</t>
        </is>
      </c>
      <c r="BL1744" s="151" t="n"/>
      <c r="BM1744" s="151" t="n"/>
      <c r="BN1744" s="151" t="n"/>
      <c r="BO1744" s="151" t="n"/>
      <c r="BP1744" s="151" t="n"/>
      <c r="BQ1744" s="151" t="n"/>
      <c r="BR1744" s="151" t="n"/>
      <c r="BS1744" s="151" t="n"/>
      <c r="BT1744" s="151" t="n"/>
    </row>
    <row r="1745">
      <c r="BJ1745" s="151" t="n">
        <v>500023</v>
      </c>
      <c r="BK1745" s="151" t="inlineStr">
        <is>
          <t>CONSTRUCCION Y TENDIDO DE LINEAS Y REDES ELECTRICAS</t>
        </is>
      </c>
      <c r="BL1745" s="151" t="n"/>
      <c r="BM1745" s="151" t="n"/>
      <c r="BN1745" s="151" t="n"/>
      <c r="BO1745" s="151" t="n"/>
      <c r="BP1745" s="151" t="n"/>
      <c r="BQ1745" s="151" t="n"/>
      <c r="BR1745" s="151" t="n"/>
      <c r="BS1745" s="151" t="n"/>
      <c r="BT1745" s="151" t="n"/>
    </row>
    <row r="1746">
      <c r="BJ1746" s="151" t="n">
        <v>500024</v>
      </c>
      <c r="BK1746" s="151" t="inlineStr">
        <is>
          <t>CONSTRUCCION DE CONDUCCIONES DE PETROLEO</t>
        </is>
      </c>
      <c r="BL1746" s="151" t="n"/>
      <c r="BM1746" s="151" t="n"/>
      <c r="BN1746" s="151" t="n"/>
      <c r="BO1746" s="151" t="n"/>
      <c r="BP1746" s="151" t="n"/>
      <c r="BQ1746" s="151" t="n"/>
      <c r="BR1746" s="151" t="n"/>
      <c r="BS1746" s="151" t="n"/>
      <c r="BT1746" s="151" t="n"/>
    </row>
    <row r="1747">
      <c r="BJ1747" s="151" t="n">
        <v>500031</v>
      </c>
      <c r="BK1747" s="151" t="inlineStr">
        <is>
          <t>INSTALACIONES Y REPARACIONES SANITARIAS EN EDIFICIOS</t>
        </is>
      </c>
      <c r="BL1747" s="151" t="n"/>
      <c r="BM1747" s="151" t="n"/>
      <c r="BN1747" s="151" t="n"/>
      <c r="BO1747" s="151" t="n"/>
      <c r="BP1747" s="151" t="n"/>
      <c r="BQ1747" s="151" t="n"/>
      <c r="BR1747" s="151" t="n"/>
      <c r="BS1747" s="151" t="n"/>
      <c r="BT1747" s="151" t="n"/>
    </row>
    <row r="1748">
      <c r="BJ1748" s="151" t="n">
        <v>500032</v>
      </c>
      <c r="BK1748" s="151" t="inlineStr">
        <is>
          <t>INSTALACIONES Y REPARACIONES ELECTRICAS EN EDIFICIOS</t>
        </is>
      </c>
      <c r="BL1748" s="151" t="n"/>
      <c r="BM1748" s="151" t="n"/>
      <c r="BN1748" s="151" t="n"/>
      <c r="BO1748" s="151" t="n"/>
      <c r="BP1748" s="151" t="n"/>
      <c r="BQ1748" s="151" t="n"/>
      <c r="BR1748" s="151" t="n"/>
      <c r="BS1748" s="151" t="n"/>
      <c r="BT1748" s="151" t="n"/>
    </row>
    <row r="1749">
      <c r="BJ1749" s="151" t="n">
        <v>500033</v>
      </c>
      <c r="BK1749" s="151" t="inlineStr">
        <is>
          <t>CARPINTERIA EN OBRAS DE CONSTRUCCION</t>
        </is>
      </c>
      <c r="BL1749" s="151" t="n"/>
      <c r="BM1749" s="151" t="n"/>
      <c r="BN1749" s="151" t="n"/>
      <c r="BO1749" s="151" t="n"/>
      <c r="BP1749" s="151" t="n"/>
      <c r="BQ1749" s="151" t="n"/>
      <c r="BR1749" s="151" t="n"/>
      <c r="BS1749" s="151" t="n"/>
      <c r="BT1749" s="151" t="n"/>
    </row>
    <row r="1750">
      <c r="BJ1750" s="151" t="n">
        <v>500034</v>
      </c>
      <c r="BK1750" s="151" t="inlineStr">
        <is>
          <t>INSTALACION DE TELECOMUNICACIONES</t>
        </is>
      </c>
      <c r="BL1750" s="151" t="n"/>
      <c r="BM1750" s="151" t="n"/>
      <c r="BN1750" s="151" t="n"/>
      <c r="BO1750" s="151" t="n"/>
      <c r="BP1750" s="151" t="n"/>
      <c r="BQ1750" s="151" t="n"/>
      <c r="BR1750" s="151" t="n"/>
      <c r="BS1750" s="151" t="n"/>
      <c r="BT1750" s="151" t="n"/>
    </row>
    <row r="1751">
      <c r="BJ1751" s="151" t="n">
        <v>500035</v>
      </c>
      <c r="BK1751" s="151" t="inlineStr">
        <is>
          <t>INSTALACIONES ESPECIALES</t>
        </is>
      </c>
      <c r="BL1751" s="151" t="n"/>
      <c r="BM1751" s="151" t="n"/>
      <c r="BN1751" s="151" t="n"/>
      <c r="BO1751" s="151" t="n"/>
      <c r="BP1751" s="151" t="n"/>
      <c r="BQ1751" s="151" t="n"/>
      <c r="BR1751" s="151" t="n"/>
      <c r="BS1751" s="151" t="n"/>
      <c r="BT1751" s="151" t="n"/>
    </row>
    <row r="1752">
      <c r="BJ1752" s="151" t="n">
        <v>500041</v>
      </c>
      <c r="BK1752" s="151" t="inlineStr">
        <is>
          <t>CIMENTACIONES</t>
        </is>
      </c>
      <c r="BL1752" s="151" t="n"/>
      <c r="BM1752" s="151" t="n"/>
      <c r="BN1752" s="151" t="n"/>
      <c r="BO1752" s="151" t="n"/>
      <c r="BP1752" s="151" t="n"/>
      <c r="BQ1752" s="151" t="n"/>
      <c r="BR1752" s="151" t="n"/>
      <c r="BS1752" s="151" t="n"/>
      <c r="BT1752" s="151" t="n"/>
    </row>
    <row r="1753">
      <c r="BJ1753" s="151" t="n">
        <v>500042</v>
      </c>
      <c r="BK1753" s="151" t="inlineStr">
        <is>
          <t>EXCAVACIONES SUBTERRANEAS</t>
        </is>
      </c>
      <c r="BL1753" s="151" t="n"/>
      <c r="BM1753" s="151" t="n"/>
      <c r="BN1753" s="151" t="n"/>
      <c r="BO1753" s="151" t="n"/>
      <c r="BP1753" s="151" t="n"/>
      <c r="BQ1753" s="151" t="n"/>
      <c r="BR1753" s="151" t="n"/>
      <c r="BS1753" s="151" t="n"/>
      <c r="BT1753" s="151" t="n"/>
    </row>
    <row r="1754">
      <c r="BJ1754" s="151" t="n">
        <v>500043</v>
      </c>
      <c r="BK1754" s="151" t="inlineStr">
        <is>
          <t>OBRAS SUB - ACUATICAS</t>
        </is>
      </c>
      <c r="BL1754" s="151" t="n"/>
      <c r="BM1754" s="151" t="n"/>
      <c r="BN1754" s="151" t="n"/>
      <c r="BO1754" s="151" t="n"/>
      <c r="BP1754" s="151" t="n"/>
      <c r="BQ1754" s="151" t="n"/>
      <c r="BR1754" s="151" t="n"/>
      <c r="BS1754" s="151" t="n"/>
      <c r="BT1754" s="151" t="n"/>
    </row>
    <row r="1755">
      <c r="BJ1755" s="151" t="n">
        <v>500044</v>
      </c>
      <c r="BK1755" s="151" t="inlineStr">
        <is>
          <t>CONSTRUCCION DE VIA</t>
        </is>
      </c>
      <c r="BL1755" s="151" t="n"/>
      <c r="BM1755" s="151" t="n"/>
      <c r="BN1755" s="151" t="n"/>
      <c r="BO1755" s="151" t="n"/>
      <c r="BP1755" s="151" t="n"/>
      <c r="BQ1755" s="151" t="n"/>
      <c r="BR1755" s="151" t="n"/>
      <c r="BS1755" s="151" t="n"/>
      <c r="BT1755" s="151" t="n"/>
    </row>
    <row r="1756">
      <c r="BJ1756" s="151" t="n">
        <v>500045</v>
      </c>
      <c r="BK1756" s="151" t="inlineStr">
        <is>
          <t>REALIZACION DE OBRAS ARTISTICAS</t>
        </is>
      </c>
      <c r="BL1756" s="151" t="n"/>
      <c r="BM1756" s="151" t="n"/>
      <c r="BN1756" s="151" t="n"/>
      <c r="BO1756" s="151" t="n"/>
      <c r="BP1756" s="151" t="n"/>
      <c r="BQ1756" s="151" t="n"/>
      <c r="BR1756" s="151" t="n"/>
      <c r="BS1756" s="151" t="n"/>
      <c r="BT1756" s="151" t="n"/>
    </row>
    <row r="1757">
      <c r="BJ1757" s="151" t="n">
        <v>500046</v>
      </c>
      <c r="BK1757" s="151" t="inlineStr">
        <is>
          <t>INSTALACION DE SEÑALAMIENTOS Y PROTECCIONES</t>
        </is>
      </c>
      <c r="BL1757" s="151" t="n"/>
      <c r="BM1757" s="151" t="n"/>
      <c r="BN1757" s="151" t="n"/>
      <c r="BO1757" s="151" t="n"/>
      <c r="BP1757" s="151" t="n"/>
      <c r="BQ1757" s="151" t="n"/>
      <c r="BR1757" s="151" t="n"/>
      <c r="BS1757" s="151" t="n"/>
      <c r="BT1757" s="151" t="n"/>
    </row>
    <row r="1758">
      <c r="BJ1758" s="151" t="n">
        <v>500047</v>
      </c>
      <c r="BK1758" s="151" t="inlineStr">
        <is>
          <t>DEMOLICIONES</t>
        </is>
      </c>
      <c r="BL1758" s="151" t="n"/>
      <c r="BM1758" s="151" t="n"/>
      <c r="BN1758" s="151" t="n"/>
      <c r="BO1758" s="151" t="n"/>
      <c r="BP1758" s="151" t="n"/>
      <c r="BQ1758" s="151" t="n"/>
      <c r="BR1758" s="151" t="n"/>
      <c r="BS1758" s="151" t="n"/>
      <c r="BT1758" s="151" t="n"/>
    </row>
    <row r="1759">
      <c r="BJ1759" s="151" t="n">
        <v>500048</v>
      </c>
      <c r="BK1759" s="151" t="inlineStr">
        <is>
          <t>CONSTRUCCION DE PLANTAS POTABILIZADORAS DE AGUAS</t>
        </is>
      </c>
      <c r="BL1759" s="151" t="n"/>
      <c r="BM1759" s="151" t="n"/>
      <c r="BN1759" s="151" t="n"/>
      <c r="BO1759" s="151" t="n"/>
      <c r="BP1759" s="151" t="n"/>
      <c r="BQ1759" s="151" t="n"/>
      <c r="BR1759" s="151" t="n"/>
      <c r="BS1759" s="151" t="n"/>
      <c r="BT1759" s="151" t="n"/>
    </row>
    <row r="1760">
      <c r="BJ1760" s="151" t="n">
        <v>500049</v>
      </c>
      <c r="BK1760" s="151" t="inlineStr">
        <is>
          <t>PERFORACION DE POZOS PETROLEROS Y DE GAS</t>
        </is>
      </c>
      <c r="BL1760" s="151" t="n"/>
      <c r="BM1760" s="151" t="n"/>
      <c r="BN1760" s="151" t="n"/>
      <c r="BO1760" s="151" t="n"/>
      <c r="BP1760" s="151" t="n"/>
      <c r="BQ1760" s="151" t="n"/>
      <c r="BR1760" s="151" t="n"/>
      <c r="BS1760" s="151" t="n"/>
      <c r="BT1760" s="151" t="n"/>
    </row>
    <row r="1761">
      <c r="BJ1761" s="151" t="n">
        <v>500050</v>
      </c>
      <c r="BK1761" s="151" t="inlineStr">
        <is>
          <t>PERFORACION DE POZOS DE AGUA</t>
        </is>
      </c>
      <c r="BL1761" s="151" t="n"/>
      <c r="BM1761" s="151" t="n"/>
      <c r="BN1761" s="151" t="n"/>
      <c r="BO1761" s="151" t="n"/>
      <c r="BP1761" s="151" t="n"/>
      <c r="BQ1761" s="151" t="n"/>
      <c r="BR1761" s="151" t="n"/>
      <c r="BS1761" s="151" t="n"/>
      <c r="BT1761" s="151" t="n"/>
    </row>
    <row r="1762">
      <c r="BJ1762" s="151" t="n">
        <v>500051</v>
      </c>
      <c r="BK1762" s="151" t="inlineStr">
        <is>
          <t>LABORES RELACIONADAS PARA CONSTRUCCION NO ENUMERADAS</t>
        </is>
      </c>
      <c r="BL1762" s="151" t="n"/>
      <c r="BM1762" s="151" t="n"/>
      <c r="BN1762" s="151" t="n"/>
      <c r="BO1762" s="151" t="n"/>
      <c r="BP1762" s="151" t="n"/>
      <c r="BQ1762" s="151" t="n"/>
      <c r="BR1762" s="151" t="n"/>
      <c r="BS1762" s="151" t="n"/>
      <c r="BT1762" s="151" t="n"/>
    </row>
    <row r="1763">
      <c r="BJ1763" s="151" t="n">
        <v>611001</v>
      </c>
      <c r="BK1763" s="151" t="inlineStr">
        <is>
          <t>COMPRA-VENTA DE FIERRO CHATARRA NO FERROSO</t>
        </is>
      </c>
      <c r="BL1763" s="151" t="n"/>
      <c r="BM1763" s="151" t="n"/>
      <c r="BN1763" s="151" t="n"/>
      <c r="BO1763" s="151" t="n"/>
      <c r="BP1763" s="151" t="n"/>
      <c r="BQ1763" s="151" t="n"/>
      <c r="BR1763" s="151" t="n"/>
      <c r="BS1763" s="151" t="n"/>
      <c r="BT1763" s="151" t="n"/>
    </row>
    <row r="1764">
      <c r="BJ1764" s="151" t="n">
        <v>611002</v>
      </c>
      <c r="BK1764" s="151" t="inlineStr">
        <is>
          <t>COMPRA-VENTA DE MATERIALES DE DEMOLICION</t>
        </is>
      </c>
      <c r="BL1764" s="151" t="n"/>
      <c r="BM1764" s="151" t="n"/>
      <c r="BN1764" s="151" t="n"/>
      <c r="BO1764" s="151" t="n"/>
      <c r="BP1764" s="151" t="n"/>
      <c r="BQ1764" s="151" t="n"/>
      <c r="BR1764" s="151" t="n"/>
      <c r="BS1764" s="151" t="n"/>
      <c r="BT1764" s="151" t="n"/>
    </row>
    <row r="1765">
      <c r="BJ1765" s="151" t="n">
        <v>611003</v>
      </c>
      <c r="BK1765" s="151" t="inlineStr">
        <is>
          <t>COMPRA-VENTA DE PAPEL Y CARTON USADO</t>
        </is>
      </c>
      <c r="BL1765" s="151" t="n"/>
      <c r="BM1765" s="151" t="n"/>
      <c r="BN1765" s="151" t="n"/>
      <c r="BO1765" s="151" t="n"/>
      <c r="BP1765" s="151" t="n"/>
      <c r="BQ1765" s="151" t="n"/>
      <c r="BR1765" s="151" t="n"/>
      <c r="BS1765" s="151" t="n"/>
      <c r="BT1765" s="151" t="n"/>
    </row>
    <row r="1766">
      <c r="BJ1766" s="151" t="n">
        <v>611004</v>
      </c>
      <c r="BK1766" s="151" t="inlineStr">
        <is>
          <t>COMPRA-VENTA DE VIDRIO USADO</t>
        </is>
      </c>
      <c r="BL1766" s="151" t="n"/>
      <c r="BM1766" s="151" t="n"/>
      <c r="BN1766" s="151" t="n"/>
      <c r="BO1766" s="151" t="n"/>
      <c r="BP1766" s="151" t="n"/>
      <c r="BQ1766" s="151" t="n"/>
      <c r="BR1766" s="151" t="n"/>
      <c r="BS1766" s="151" t="n"/>
      <c r="BT1766" s="151" t="n"/>
    </row>
    <row r="1767">
      <c r="BJ1767" s="151" t="n">
        <v>611005</v>
      </c>
      <c r="BK1767" s="151" t="inlineStr">
        <is>
          <t>COMPRA-VENTA OTROS DESECHOS Y RESIDUOS INDUSTRIALES</t>
        </is>
      </c>
      <c r="BL1767" s="151" t="n"/>
      <c r="BM1767" s="151" t="n"/>
      <c r="BN1767" s="151" t="n"/>
      <c r="BO1767" s="151" t="n"/>
      <c r="BP1767" s="151" t="n"/>
      <c r="BQ1767" s="151" t="n"/>
      <c r="BR1767" s="151" t="n"/>
      <c r="BS1767" s="151" t="n"/>
      <c r="BT1767" s="151" t="n"/>
    </row>
    <row r="1768">
      <c r="BJ1768" s="151" t="n">
        <v>612001</v>
      </c>
      <c r="BK1768" s="151" t="inlineStr">
        <is>
          <t>MATERIAS PRIMAS AGROPECUARIAS Y FORESTALES</t>
        </is>
      </c>
      <c r="BL1768" s="151" t="n"/>
      <c r="BM1768" s="151" t="n"/>
      <c r="BN1768" s="151" t="n"/>
      <c r="BO1768" s="151" t="n"/>
      <c r="BP1768" s="151" t="n"/>
      <c r="BQ1768" s="151" t="n"/>
      <c r="BR1768" s="151" t="n"/>
      <c r="BS1768" s="151" t="n"/>
      <c r="BT1768" s="151" t="n"/>
    </row>
    <row r="1769">
      <c r="BJ1769" s="151" t="n">
        <v>612002</v>
      </c>
      <c r="BK1769" s="151" t="inlineStr">
        <is>
          <t>CUEROS Y PIELES CURTIDOS Y SIN CURTIR</t>
        </is>
      </c>
      <c r="BL1769" s="151" t="n"/>
      <c r="BM1769" s="151" t="n"/>
      <c r="BN1769" s="151" t="n"/>
      <c r="BO1769" s="151" t="n"/>
      <c r="BP1769" s="151" t="n"/>
      <c r="BQ1769" s="151" t="n"/>
      <c r="BR1769" s="151" t="n"/>
      <c r="BS1769" s="151" t="n"/>
      <c r="BT1769" s="151" t="n"/>
    </row>
    <row r="1770">
      <c r="BJ1770" s="151" t="n">
        <v>612003</v>
      </c>
      <c r="BK1770" s="151" t="inlineStr">
        <is>
          <t>FIBRAS TEXTILES DE PROCESO NATURAL O QUIMICO</t>
        </is>
      </c>
      <c r="BL1770" s="151" t="n"/>
      <c r="BM1770" s="151" t="n"/>
      <c r="BN1770" s="151" t="n"/>
      <c r="BO1770" s="151" t="n"/>
      <c r="BP1770" s="151" t="n"/>
      <c r="BQ1770" s="151" t="n"/>
      <c r="BR1770" s="151" t="n"/>
      <c r="BS1770" s="151" t="n"/>
      <c r="BT1770" s="151" t="n"/>
    </row>
    <row r="1771">
      <c r="BJ1771" s="151" t="n">
        <v>612004</v>
      </c>
      <c r="BK1771" s="151" t="inlineStr">
        <is>
          <t>ALIMENTOS PREPARADOS PARA ANIMALES</t>
        </is>
      </c>
      <c r="BL1771" s="151" t="n"/>
      <c r="BM1771" s="151" t="n"/>
      <c r="BN1771" s="151" t="n"/>
      <c r="BO1771" s="151" t="n"/>
      <c r="BP1771" s="151" t="n"/>
      <c r="BQ1771" s="151" t="n"/>
      <c r="BR1771" s="151" t="n"/>
      <c r="BS1771" s="151" t="n"/>
      <c r="BT1771" s="151" t="n"/>
    </row>
    <row r="1772">
      <c r="BJ1772" s="151" t="n">
        <v>612005</v>
      </c>
      <c r="BK1772" s="151" t="inlineStr">
        <is>
          <t>PAPEL Y CARTON NUEVO</t>
        </is>
      </c>
      <c r="BL1772" s="151" t="n"/>
      <c r="BM1772" s="151" t="n"/>
      <c r="BN1772" s="151" t="n"/>
      <c r="BO1772" s="151" t="n"/>
      <c r="BP1772" s="151" t="n"/>
      <c r="BQ1772" s="151" t="n"/>
      <c r="BR1772" s="151" t="n"/>
      <c r="BS1772" s="151" t="n"/>
      <c r="BT1772" s="151" t="n"/>
    </row>
    <row r="1773">
      <c r="BJ1773" s="151" t="n">
        <v>612006</v>
      </c>
      <c r="BK1773" s="151" t="inlineStr">
        <is>
          <t>ENVASES DE PAPEL CARTON MADERA HOJALATA PLASTICO</t>
        </is>
      </c>
      <c r="BL1773" s="151" t="n"/>
      <c r="BM1773" s="151" t="n"/>
      <c r="BN1773" s="151" t="n"/>
      <c r="BO1773" s="151" t="n"/>
      <c r="BP1773" s="151" t="n"/>
      <c r="BQ1773" s="151" t="n"/>
      <c r="BR1773" s="151" t="n"/>
      <c r="BS1773" s="151" t="n"/>
      <c r="BT1773" s="151" t="n"/>
    </row>
    <row r="1774">
      <c r="BJ1774" s="151" t="n">
        <v>612007</v>
      </c>
      <c r="BK1774" s="151" t="inlineStr">
        <is>
          <t>CARBON MINERAL Y OTROS COMBUSTIBLES SOLIDOS</t>
        </is>
      </c>
      <c r="BL1774" s="151" t="n"/>
      <c r="BM1774" s="151" t="n"/>
      <c r="BN1774" s="151" t="n"/>
      <c r="BO1774" s="151" t="n"/>
      <c r="BP1774" s="151" t="n"/>
      <c r="BQ1774" s="151" t="n"/>
      <c r="BR1774" s="151" t="n"/>
      <c r="BS1774" s="151" t="n"/>
      <c r="BT1774" s="151" t="n"/>
    </row>
    <row r="1775">
      <c r="BJ1775" s="151" t="n">
        <v>612008</v>
      </c>
      <c r="BK1775" s="151" t="inlineStr">
        <is>
          <t>COMBUSTIBLES DERIVADOS DE PETROLEO LUBRICANTES</t>
        </is>
      </c>
      <c r="BL1775" s="151" t="n"/>
      <c r="BM1775" s="151" t="n"/>
      <c r="BN1775" s="151" t="n"/>
      <c r="BO1775" s="151" t="n"/>
      <c r="BP1775" s="151" t="n"/>
      <c r="BQ1775" s="151" t="n"/>
      <c r="BR1775" s="151" t="n"/>
      <c r="BS1775" s="151" t="n"/>
      <c r="BT1775" s="151" t="n"/>
    </row>
    <row r="1776">
      <c r="BJ1776" s="151" t="n">
        <v>612009</v>
      </c>
      <c r="BK1776" s="151" t="inlineStr">
        <is>
          <t>MATERIALES METALICOS PARA LA CONSTRUCCION Y LA INDUSTRIA</t>
        </is>
      </c>
      <c r="BL1776" s="151" t="n"/>
      <c r="BM1776" s="151" t="n"/>
      <c r="BN1776" s="151" t="n"/>
      <c r="BO1776" s="151" t="n"/>
      <c r="BP1776" s="151" t="n"/>
      <c r="BQ1776" s="151" t="n"/>
      <c r="BR1776" s="151" t="n"/>
      <c r="BS1776" s="151" t="n"/>
      <c r="BT1776" s="151" t="n"/>
    </row>
    <row r="1777">
      <c r="BJ1777" s="151" t="n">
        <v>612010</v>
      </c>
      <c r="BK1777" s="151" t="inlineStr">
        <is>
          <t>MADERA ASERRADA Y MATERIALES DE CONSTRUCCION NO METALICAS</t>
        </is>
      </c>
      <c r="BL1777" s="151" t="n"/>
      <c r="BM1777" s="151" t="n"/>
      <c r="BN1777" s="151" t="n"/>
      <c r="BO1777" s="151" t="n"/>
      <c r="BP1777" s="151" t="n"/>
      <c r="BQ1777" s="151" t="n"/>
      <c r="BR1777" s="151" t="n"/>
      <c r="BS1777" s="151" t="n"/>
      <c r="BT1777" s="151" t="n"/>
    </row>
    <row r="1778">
      <c r="BJ1778" s="151" t="n">
        <v>612011</v>
      </c>
      <c r="BK1778" s="151" t="inlineStr">
        <is>
          <t>PRODUCTOS QUIMICOS INDUSTRIALES</t>
        </is>
      </c>
      <c r="BL1778" s="151" t="n"/>
      <c r="BM1778" s="151" t="n"/>
      <c r="BN1778" s="151" t="n"/>
      <c r="BO1778" s="151" t="n"/>
      <c r="BP1778" s="151" t="n"/>
      <c r="BQ1778" s="151" t="n"/>
      <c r="BR1778" s="151" t="n"/>
      <c r="BS1778" s="151" t="n"/>
      <c r="BT1778" s="151" t="n"/>
    </row>
    <row r="1779">
      <c r="BJ1779" s="151" t="n">
        <v>612012</v>
      </c>
      <c r="BK1779" s="151" t="inlineStr">
        <is>
          <t>FERTILIZANTES Y PLAGUICIDAS</t>
        </is>
      </c>
      <c r="BL1779" s="151" t="n"/>
      <c r="BM1779" s="151" t="n"/>
      <c r="BN1779" s="151" t="n"/>
      <c r="BO1779" s="151" t="n"/>
      <c r="BP1779" s="151" t="n"/>
      <c r="BQ1779" s="151" t="n"/>
      <c r="BR1779" s="151" t="n"/>
      <c r="BS1779" s="151" t="n"/>
      <c r="BT1779" s="151" t="n"/>
    </row>
    <row r="1780">
      <c r="BJ1780" s="151" t="n">
        <v>612013</v>
      </c>
      <c r="BK1780" s="151" t="inlineStr">
        <is>
          <t>MAQUINARIA PARA ACTIVIDADES AGROPECUARIAS</t>
        </is>
      </c>
      <c r="BL1780" s="151" t="n"/>
      <c r="BM1780" s="151" t="n"/>
      <c r="BN1780" s="151" t="n"/>
      <c r="BO1780" s="151" t="n"/>
      <c r="BP1780" s="151" t="n"/>
      <c r="BQ1780" s="151" t="n"/>
      <c r="BR1780" s="151" t="n"/>
      <c r="BS1780" s="151" t="n"/>
      <c r="BT1780" s="151" t="n"/>
    </row>
    <row r="1781">
      <c r="BJ1781" s="151" t="n">
        <v>612014</v>
      </c>
      <c r="BK1781" s="151" t="inlineStr">
        <is>
          <t>MAQUINARIA Y MATERIAL INDUSTRIAL PARA CONSTRUCCION</t>
        </is>
      </c>
      <c r="BL1781" s="151" t="n"/>
      <c r="BM1781" s="151" t="n"/>
      <c r="BN1781" s="151" t="n"/>
      <c r="BO1781" s="151" t="n"/>
      <c r="BP1781" s="151" t="n"/>
      <c r="BQ1781" s="151" t="n"/>
      <c r="BR1781" s="151" t="n"/>
      <c r="BS1781" s="151" t="n"/>
      <c r="BT1781" s="151" t="n"/>
    </row>
    <row r="1782">
      <c r="BJ1782" s="151" t="n">
        <v>612015</v>
      </c>
      <c r="BK1782" s="151" t="inlineStr">
        <is>
          <t>EQUIPO Y MATERIALES PARA EL COMERCIO Y SERVICIOS</t>
        </is>
      </c>
      <c r="BL1782" s="151" t="n"/>
      <c r="BM1782" s="151" t="n"/>
      <c r="BN1782" s="151" t="n"/>
      <c r="BO1782" s="151" t="n"/>
      <c r="BP1782" s="151" t="n"/>
      <c r="BQ1782" s="151" t="n"/>
      <c r="BR1782" s="151" t="n"/>
      <c r="BS1782" s="151" t="n"/>
      <c r="BT1782" s="151" t="n"/>
    </row>
    <row r="1783">
      <c r="BJ1783" s="151" t="n">
        <v>612016</v>
      </c>
      <c r="BK1783" s="151" t="inlineStr">
        <is>
          <t>VEHICULOS DE TRANSPORTE ACCESORIOS Y REFACCIONES</t>
        </is>
      </c>
      <c r="BL1783" s="151" t="n"/>
      <c r="BM1783" s="151" t="n"/>
      <c r="BN1783" s="151" t="n"/>
      <c r="BO1783" s="151" t="n"/>
      <c r="BP1783" s="151" t="n"/>
      <c r="BQ1783" s="151" t="n"/>
      <c r="BR1783" s="151" t="n"/>
      <c r="BS1783" s="151" t="n"/>
      <c r="BT1783" s="151" t="n"/>
    </row>
    <row r="1784">
      <c r="BJ1784" s="151" t="n">
        <v>612017</v>
      </c>
      <c r="BK1784" s="151" t="inlineStr">
        <is>
          <t>OTRAS MATERIAS PRIMAS O MATERIALES USO INDUSTRIAL</t>
        </is>
      </c>
      <c r="BL1784" s="151" t="n"/>
      <c r="BM1784" s="151" t="n"/>
      <c r="BN1784" s="151" t="n"/>
      <c r="BO1784" s="151" t="n"/>
      <c r="BP1784" s="151" t="n"/>
      <c r="BQ1784" s="151" t="n"/>
      <c r="BR1784" s="151" t="n"/>
      <c r="BS1784" s="151" t="n"/>
      <c r="BT1784" s="151" t="n"/>
    </row>
    <row r="1785">
      <c r="BJ1785" s="151" t="n">
        <v>613001</v>
      </c>
      <c r="BK1785" s="151" t="inlineStr">
        <is>
          <t>TEXTILES PRENDAS DE VESTIR CALZADO Y OTROS ARTICULOS</t>
        </is>
      </c>
      <c r="BL1785" s="151" t="n"/>
      <c r="BM1785" s="151" t="n"/>
      <c r="BN1785" s="151" t="n"/>
      <c r="BO1785" s="151" t="n"/>
      <c r="BP1785" s="151" t="n"/>
      <c r="BQ1785" s="151" t="n"/>
      <c r="BR1785" s="151" t="n"/>
      <c r="BS1785" s="151" t="n"/>
      <c r="BT1785" s="151" t="n"/>
    </row>
    <row r="1786">
      <c r="BJ1786" s="151" t="n">
        <v>613002</v>
      </c>
      <c r="BK1786" s="151" t="inlineStr">
        <is>
          <t>ARTICULOS DE FERRETERIA Y TLAPALERIA</t>
        </is>
      </c>
      <c r="BL1786" s="151" t="n"/>
      <c r="BM1786" s="151" t="n"/>
      <c r="BN1786" s="151" t="n"/>
      <c r="BO1786" s="151" t="n"/>
      <c r="BP1786" s="151" t="n"/>
      <c r="BQ1786" s="151" t="n"/>
      <c r="BR1786" s="151" t="n"/>
      <c r="BS1786" s="151" t="n"/>
      <c r="BT1786" s="151" t="n"/>
    </row>
    <row r="1787">
      <c r="BJ1787" s="151" t="n">
        <v>613003</v>
      </c>
      <c r="BK1787" s="151" t="inlineStr">
        <is>
          <t>MUEBLES Y ACCESORIOS PARA EL HOGAR Y OFICINA</t>
        </is>
      </c>
      <c r="BL1787" s="151" t="n"/>
      <c r="BM1787" s="151" t="n"/>
      <c r="BN1787" s="151" t="n"/>
      <c r="BO1787" s="151" t="n"/>
      <c r="BP1787" s="151" t="n"/>
      <c r="BQ1787" s="151" t="n"/>
      <c r="BR1787" s="151" t="n"/>
      <c r="BS1787" s="151" t="n"/>
      <c r="BT1787" s="151" t="n"/>
    </row>
    <row r="1788">
      <c r="BJ1788" s="151" t="n">
        <v>613004</v>
      </c>
      <c r="BK1788" s="151" t="inlineStr">
        <is>
          <t>PRODUCTOS QUIMICOS FARMACEUTICOS PARA TOCADOR Y PRODUCTOS VETERINARIOS</t>
        </is>
      </c>
      <c r="BL1788" s="151" t="n"/>
      <c r="BM1788" s="151" t="n"/>
      <c r="BN1788" s="151" t="n"/>
      <c r="BO1788" s="151" t="n"/>
      <c r="BP1788" s="151" t="n"/>
      <c r="BQ1788" s="151" t="n"/>
      <c r="BR1788" s="151" t="n"/>
      <c r="BS1788" s="151" t="n"/>
      <c r="BT1788" s="151" t="n"/>
    </row>
    <row r="1789">
      <c r="BJ1789" s="151" t="n">
        <v>613005</v>
      </c>
      <c r="BK1789" s="151" t="inlineStr">
        <is>
          <t>JUGUETES PAPELERIA Y UTILES ESCOLARES Y DE OFICINA</t>
        </is>
      </c>
      <c r="BL1789" s="151" t="n"/>
      <c r="BM1789" s="151" t="n"/>
      <c r="BN1789" s="151" t="n"/>
      <c r="BO1789" s="151" t="n"/>
      <c r="BP1789" s="151" t="n"/>
      <c r="BQ1789" s="151" t="n"/>
      <c r="BR1789" s="151" t="n"/>
      <c r="BS1789" s="151" t="n"/>
      <c r="BT1789" s="151" t="n"/>
    </row>
    <row r="1790">
      <c r="BJ1790" s="151" t="n">
        <v>613006</v>
      </c>
      <c r="BK1790" s="151" t="inlineStr">
        <is>
          <t>PRODUCTOS NO CLASIFICADOS EN APARTADOS ANTERIORES</t>
        </is>
      </c>
      <c r="BL1790" s="151" t="n"/>
      <c r="BM1790" s="151" t="n"/>
      <c r="BN1790" s="151" t="n"/>
      <c r="BO1790" s="151" t="n"/>
      <c r="BP1790" s="151" t="n"/>
      <c r="BQ1790" s="151" t="n"/>
      <c r="BR1790" s="151" t="n"/>
      <c r="BS1790" s="151" t="n"/>
      <c r="BT1790" s="151" t="n"/>
    </row>
    <row r="1791">
      <c r="BJ1791" s="151" t="n">
        <v>614001</v>
      </c>
      <c r="BK1791" s="151" t="inlineStr">
        <is>
          <t>FRUTAS Y LEGUMBRES FRESCAS</t>
        </is>
      </c>
      <c r="BL1791" s="151" t="n"/>
      <c r="BM1791" s="151" t="n"/>
      <c r="BN1791" s="151" t="n"/>
      <c r="BO1791" s="151" t="n"/>
      <c r="BP1791" s="151" t="n"/>
      <c r="BQ1791" s="151" t="n"/>
      <c r="BR1791" s="151" t="n"/>
      <c r="BS1791" s="151" t="n"/>
      <c r="BT1791" s="151" t="n"/>
    </row>
    <row r="1792">
      <c r="BJ1792" s="151" t="n">
        <v>614002</v>
      </c>
      <c r="BK1792" s="151" t="inlineStr">
        <is>
          <t>CHILE SECO PASTA PARA MOLE Y ESPECIAS</t>
        </is>
      </c>
      <c r="BL1792" s="151" t="n"/>
      <c r="BM1792" s="151" t="n"/>
      <c r="BN1792" s="151" t="n"/>
      <c r="BO1792" s="151" t="n"/>
      <c r="BP1792" s="151" t="n"/>
      <c r="BQ1792" s="151" t="n"/>
      <c r="BR1792" s="151" t="n"/>
      <c r="BS1792" s="151" t="n"/>
      <c r="BT1792" s="151" t="n"/>
    </row>
    <row r="1793">
      <c r="BJ1793" s="151" t="n">
        <v>614003</v>
      </c>
      <c r="BK1793" s="151" t="inlineStr">
        <is>
          <t>CARNE DE RES DE OTRAS ESPECIES AVES VISCERAS</t>
        </is>
      </c>
      <c r="BL1793" s="151" t="n"/>
      <c r="BM1793" s="151" t="n"/>
      <c r="BN1793" s="151" t="n"/>
      <c r="BO1793" s="151" t="n"/>
      <c r="BP1793" s="151" t="n"/>
      <c r="BQ1793" s="151" t="n"/>
      <c r="BR1793" s="151" t="n"/>
      <c r="BS1793" s="151" t="n"/>
      <c r="BT1793" s="151" t="n"/>
    </row>
    <row r="1794">
      <c r="BJ1794" s="151" t="n">
        <v>614004</v>
      </c>
      <c r="BK1794" s="151" t="inlineStr">
        <is>
          <t>HUEVO</t>
        </is>
      </c>
      <c r="BL1794" s="151" t="n"/>
      <c r="BM1794" s="151" t="n"/>
      <c r="BN1794" s="151" t="n"/>
      <c r="BO1794" s="151" t="n"/>
      <c r="BP1794" s="151" t="n"/>
      <c r="BQ1794" s="151" t="n"/>
      <c r="BR1794" s="151" t="n"/>
      <c r="BS1794" s="151" t="n"/>
      <c r="BT1794" s="151" t="n"/>
    </row>
    <row r="1795">
      <c r="BJ1795" s="151" t="n">
        <v>614005</v>
      </c>
      <c r="BK1795" s="151" t="inlineStr">
        <is>
          <t>LECHE NATURAL</t>
        </is>
      </c>
      <c r="BL1795" s="151" t="n"/>
      <c r="BM1795" s="151" t="n"/>
      <c r="BN1795" s="151" t="n"/>
      <c r="BO1795" s="151" t="n"/>
      <c r="BP1795" s="151" t="n"/>
      <c r="BQ1795" s="151" t="n"/>
      <c r="BR1795" s="151" t="n"/>
      <c r="BS1795" s="151" t="n"/>
      <c r="BT1795" s="151" t="n"/>
    </row>
    <row r="1796">
      <c r="BJ1796" s="151" t="n">
        <v>614006</v>
      </c>
      <c r="BK1796" s="151" t="inlineStr">
        <is>
          <t>PESCADOS MARISCOS Y OTROS PRODUCTOS MARINOS</t>
        </is>
      </c>
      <c r="BL1796" s="151" t="n"/>
      <c r="BM1796" s="151" t="n"/>
      <c r="BN1796" s="151" t="n"/>
      <c r="BO1796" s="151" t="n"/>
      <c r="BP1796" s="151" t="n"/>
      <c r="BQ1796" s="151" t="n"/>
      <c r="BR1796" s="151" t="n"/>
      <c r="BS1796" s="151" t="n"/>
      <c r="BT1796" s="151" t="n"/>
    </row>
    <row r="1797">
      <c r="BJ1797" s="151" t="n">
        <v>614007</v>
      </c>
      <c r="BK1797" s="151" t="inlineStr">
        <is>
          <t>ABARROTES Y ULTRAMARINOS INCLUYE JABONES Y LECHE</t>
        </is>
      </c>
      <c r="BL1797" s="151" t="n"/>
      <c r="BM1797" s="151" t="n"/>
      <c r="BN1797" s="151" t="n"/>
      <c r="BO1797" s="151" t="n"/>
      <c r="BP1797" s="151" t="n"/>
      <c r="BQ1797" s="151" t="n"/>
      <c r="BR1797" s="151" t="n"/>
      <c r="BS1797" s="151" t="n"/>
      <c r="BT1797" s="151" t="n"/>
    </row>
    <row r="1798">
      <c r="BJ1798" s="151" t="n">
        <v>614008</v>
      </c>
      <c r="BK1798" s="151" t="inlineStr">
        <is>
          <t>PRODUCTOS DE SALCHICHONERIA Y CREMERIA</t>
        </is>
      </c>
      <c r="BL1798" s="151" t="n"/>
      <c r="BM1798" s="151" t="n"/>
      <c r="BN1798" s="151" t="n"/>
      <c r="BO1798" s="151" t="n"/>
      <c r="BP1798" s="151" t="n"/>
      <c r="BQ1798" s="151" t="n"/>
      <c r="BR1798" s="151" t="n"/>
      <c r="BS1798" s="151" t="n"/>
      <c r="BT1798" s="151" t="n"/>
    </row>
    <row r="1799">
      <c r="BJ1799" s="151" t="n">
        <v>614009</v>
      </c>
      <c r="BK1799" s="151" t="inlineStr">
        <is>
          <t>DULCES Y CHOCOLATES</t>
        </is>
      </c>
      <c r="BL1799" s="151" t="n"/>
      <c r="BM1799" s="151" t="n"/>
      <c r="BN1799" s="151" t="n"/>
      <c r="BO1799" s="151" t="n"/>
      <c r="BP1799" s="151" t="n"/>
      <c r="BQ1799" s="151" t="n"/>
      <c r="BR1799" s="151" t="n"/>
      <c r="BS1799" s="151" t="n"/>
      <c r="BT1799" s="151" t="n"/>
    </row>
    <row r="1800">
      <c r="BJ1800" s="151" t="n">
        <v>614010</v>
      </c>
      <c r="BK1800" s="151" t="inlineStr">
        <is>
          <t>OTROS PRODUCTOS ALIMENTICIOS NO MENCIONADOS ANTERIORMENTE</t>
        </is>
      </c>
      <c r="BL1800" s="151" t="n"/>
      <c r="BM1800" s="151" t="n"/>
      <c r="BN1800" s="151" t="n"/>
      <c r="BO1800" s="151" t="n"/>
      <c r="BP1800" s="151" t="n"/>
      <c r="BQ1800" s="151" t="n"/>
      <c r="BR1800" s="151" t="n"/>
      <c r="BS1800" s="151" t="n"/>
      <c r="BT1800" s="151" t="n"/>
    </row>
    <row r="1801">
      <c r="BJ1801" s="151" t="n">
        <v>614011</v>
      </c>
      <c r="BK1801" s="151" t="inlineStr">
        <is>
          <t>REFRESCOS Y AGUAS PURIFICADAS</t>
        </is>
      </c>
      <c r="BL1801" s="151" t="n"/>
      <c r="BM1801" s="151" t="n"/>
      <c r="BN1801" s="151" t="n"/>
      <c r="BO1801" s="151" t="n"/>
      <c r="BP1801" s="151" t="n"/>
      <c r="BQ1801" s="151" t="n"/>
      <c r="BR1801" s="151" t="n"/>
      <c r="BS1801" s="151" t="n"/>
      <c r="BT1801" s="151" t="n"/>
    </row>
    <row r="1802">
      <c r="BJ1802" s="151" t="n">
        <v>614012</v>
      </c>
      <c r="BK1802" s="151" t="inlineStr">
        <is>
          <t>CERVEZA</t>
        </is>
      </c>
      <c r="BL1802" s="151" t="n"/>
      <c r="BM1802" s="151" t="n"/>
      <c r="BN1802" s="151" t="n"/>
      <c r="BO1802" s="151" t="n"/>
      <c r="BP1802" s="151" t="n"/>
      <c r="BQ1802" s="151" t="n"/>
      <c r="BR1802" s="151" t="n"/>
      <c r="BS1802" s="151" t="n"/>
      <c r="BT1802" s="151" t="n"/>
    </row>
    <row r="1803">
      <c r="BJ1803" s="151" t="n">
        <v>614013</v>
      </c>
      <c r="BK1803" s="151" t="inlineStr">
        <is>
          <t>VINOS Y LICORES INCLUYE PULQUE Y ALCOHOL</t>
        </is>
      </c>
      <c r="BL1803" s="151" t="n"/>
      <c r="BM1803" s="151" t="n"/>
      <c r="BN1803" s="151" t="n"/>
      <c r="BO1803" s="151" t="n"/>
      <c r="BP1803" s="151" t="n"/>
      <c r="BQ1803" s="151" t="n"/>
      <c r="BR1803" s="151" t="n"/>
      <c r="BS1803" s="151" t="n"/>
      <c r="BT1803" s="151" t="n"/>
    </row>
    <row r="1804">
      <c r="BJ1804" s="151" t="n">
        <v>614014</v>
      </c>
      <c r="BK1804" s="151" t="inlineStr">
        <is>
          <t>CIGARROS Y PUROS OTROS PRODUCTOS DE TABACO</t>
        </is>
      </c>
      <c r="BL1804" s="151" t="n"/>
      <c r="BM1804" s="151" t="n"/>
      <c r="BN1804" s="151" t="n"/>
      <c r="BO1804" s="151" t="n"/>
      <c r="BP1804" s="151" t="n"/>
      <c r="BQ1804" s="151" t="n"/>
      <c r="BR1804" s="151" t="n"/>
      <c r="BS1804" s="151" t="n"/>
      <c r="BT1804" s="151" t="n"/>
    </row>
    <row r="1805">
      <c r="BJ1805" s="151" t="n">
        <v>615001</v>
      </c>
      <c r="BK1805" s="151" t="inlineStr">
        <is>
          <t>SERVICIOS DE COMUNICACIONES Y REPRESENTACIONES MERCANTILES</t>
        </is>
      </c>
      <c r="BL1805" s="151" t="n"/>
      <c r="BM1805" s="151" t="n"/>
      <c r="BN1805" s="151" t="n"/>
      <c r="BO1805" s="151" t="n"/>
      <c r="BP1805" s="151" t="n"/>
      <c r="BQ1805" s="151" t="n"/>
      <c r="BR1805" s="151" t="n"/>
      <c r="BS1805" s="151" t="n"/>
      <c r="BT1805" s="151" t="n"/>
    </row>
    <row r="1806">
      <c r="BJ1806" s="151" t="n">
        <v>615002</v>
      </c>
      <c r="BK1806" s="151" t="inlineStr">
        <is>
          <t>SERVICIOS CENTRALES ABASTO MERCADO PUBLICO</t>
        </is>
      </c>
      <c r="BL1806" s="151" t="n"/>
      <c r="BM1806" s="151" t="n"/>
      <c r="BN1806" s="151" t="n"/>
      <c r="BO1806" s="151" t="n"/>
      <c r="BP1806" s="151" t="n"/>
      <c r="BQ1806" s="151" t="n"/>
      <c r="BR1806" s="151" t="n"/>
      <c r="BS1806" s="151" t="n"/>
      <c r="BT1806" s="151" t="n"/>
    </row>
    <row r="1807">
      <c r="BJ1807" s="151" t="n">
        <v>621001</v>
      </c>
      <c r="BK1807" s="151" t="inlineStr">
        <is>
          <t>ALIMENTOS Y BEBIDAS EN TIENDAS DE ABARROTES</t>
        </is>
      </c>
      <c r="BL1807" s="151" t="n"/>
      <c r="BM1807" s="151" t="n"/>
      <c r="BN1807" s="151" t="n"/>
      <c r="BO1807" s="151" t="n"/>
      <c r="BP1807" s="151" t="n"/>
      <c r="BQ1807" s="151" t="n"/>
      <c r="BR1807" s="151" t="n"/>
      <c r="BS1807" s="151" t="n"/>
      <c r="BT1807" s="151" t="n"/>
    </row>
    <row r="1808">
      <c r="BJ1808" s="151" t="n">
        <v>621002</v>
      </c>
      <c r="BK1808" s="151" t="inlineStr">
        <is>
          <t>GRANOS Y SEMILLAS</t>
        </is>
      </c>
      <c r="BL1808" s="151" t="n"/>
      <c r="BM1808" s="151" t="n"/>
      <c r="BN1808" s="151" t="n"/>
      <c r="BO1808" s="151" t="n"/>
      <c r="BP1808" s="151" t="n"/>
      <c r="BQ1808" s="151" t="n"/>
      <c r="BR1808" s="151" t="n"/>
      <c r="BS1808" s="151" t="n"/>
      <c r="BT1808" s="151" t="n"/>
    </row>
    <row r="1809">
      <c r="BJ1809" s="151" t="n">
        <v>621003</v>
      </c>
      <c r="BK1809" s="151" t="inlineStr">
        <is>
          <t>FRUTAS Y LEGUMBRES FRESCAS</t>
        </is>
      </c>
      <c r="BL1809" s="151" t="n"/>
      <c r="BM1809" s="151" t="n"/>
      <c r="BN1809" s="151" t="n"/>
      <c r="BO1809" s="151" t="n"/>
      <c r="BP1809" s="151" t="n"/>
      <c r="BQ1809" s="151" t="n"/>
      <c r="BR1809" s="151" t="n"/>
      <c r="BS1809" s="151" t="n"/>
      <c r="BT1809" s="151" t="n"/>
    </row>
    <row r="1810">
      <c r="BJ1810" s="151" t="n">
        <v>621004</v>
      </c>
      <c r="BK1810" s="151" t="inlineStr">
        <is>
          <t>CHILES SECOS PASTA PARA MOLE Y CONDIMENTOS</t>
        </is>
      </c>
      <c r="BL1810" s="151" t="n"/>
      <c r="BM1810" s="151" t="n"/>
      <c r="BN1810" s="151" t="n"/>
      <c r="BO1810" s="151" t="n"/>
      <c r="BP1810" s="151" t="n"/>
      <c r="BQ1810" s="151" t="n"/>
      <c r="BR1810" s="151" t="n"/>
      <c r="BS1810" s="151" t="n"/>
      <c r="BT1810" s="151" t="n"/>
    </row>
    <row r="1811">
      <c r="BJ1811" s="151" t="n">
        <v>621005</v>
      </c>
      <c r="BK1811" s="151" t="inlineStr">
        <is>
          <t>ANIMALES VIVOS INCLUYE AVES DE CORRAL</t>
        </is>
      </c>
      <c r="BL1811" s="151" t="n"/>
      <c r="BM1811" s="151" t="n"/>
      <c r="BN1811" s="151" t="n"/>
      <c r="BO1811" s="151" t="n"/>
      <c r="BP1811" s="151" t="n"/>
      <c r="BQ1811" s="151" t="n"/>
      <c r="BR1811" s="151" t="n"/>
      <c r="BS1811" s="151" t="n"/>
      <c r="BT1811" s="151" t="n"/>
    </row>
    <row r="1812">
      <c r="BJ1812" s="151" t="n">
        <v>621006</v>
      </c>
      <c r="BK1812" s="151" t="inlineStr">
        <is>
          <t>CARNE (CARNICERIAS)</t>
        </is>
      </c>
      <c r="BL1812" s="151" t="n"/>
      <c r="BM1812" s="151" t="n"/>
      <c r="BN1812" s="151" t="n"/>
      <c r="BO1812" s="151" t="n"/>
      <c r="BP1812" s="151" t="n"/>
      <c r="BQ1812" s="151" t="n"/>
      <c r="BR1812" s="151" t="n"/>
      <c r="BS1812" s="151" t="n"/>
      <c r="BT1812" s="151" t="n"/>
    </row>
    <row r="1813">
      <c r="BJ1813" s="151" t="n">
        <v>621007</v>
      </c>
      <c r="BK1813" s="151" t="inlineStr">
        <is>
          <t>VISCERAS DE GANADO CRUDAS Y SEMICOCIDAS</t>
        </is>
      </c>
      <c r="BL1813" s="151" t="n"/>
      <c r="BM1813" s="151" t="n"/>
      <c r="BN1813" s="151" t="n"/>
      <c r="BO1813" s="151" t="n"/>
      <c r="BP1813" s="151" t="n"/>
      <c r="BQ1813" s="151" t="n"/>
      <c r="BR1813" s="151" t="n"/>
      <c r="BS1813" s="151" t="n"/>
      <c r="BT1813" s="151" t="n"/>
    </row>
    <row r="1814">
      <c r="BJ1814" s="151" t="n">
        <v>621008</v>
      </c>
      <c r="BK1814" s="151" t="inlineStr">
        <is>
          <t>CARNE DE AVES (POLLERIAS)</t>
        </is>
      </c>
      <c r="BL1814" s="151" t="n"/>
      <c r="BM1814" s="151" t="n"/>
      <c r="BN1814" s="151" t="n"/>
      <c r="BO1814" s="151" t="n"/>
      <c r="BP1814" s="151" t="n"/>
      <c r="BQ1814" s="151" t="n"/>
      <c r="BR1814" s="151" t="n"/>
      <c r="BS1814" s="151" t="n"/>
      <c r="BT1814" s="151" t="n"/>
    </row>
    <row r="1815">
      <c r="BJ1815" s="151" t="n">
        <v>621009</v>
      </c>
      <c r="BK1815" s="151" t="inlineStr">
        <is>
          <t>HUEVO</t>
        </is>
      </c>
      <c r="BL1815" s="151" t="n"/>
      <c r="BM1815" s="151" t="n"/>
      <c r="BN1815" s="151" t="n"/>
      <c r="BO1815" s="151" t="n"/>
      <c r="BP1815" s="151" t="n"/>
      <c r="BQ1815" s="151" t="n"/>
      <c r="BR1815" s="151" t="n"/>
      <c r="BS1815" s="151" t="n"/>
      <c r="BT1815" s="151" t="n"/>
    </row>
    <row r="1816">
      <c r="BJ1816" s="151" t="n">
        <v>621010</v>
      </c>
      <c r="BK1816" s="151" t="inlineStr">
        <is>
          <t>PESCADO OTROS PRODUCTOS MARINOS (PESCADERIAS)</t>
        </is>
      </c>
      <c r="BL1816" s="151" t="n"/>
      <c r="BM1816" s="151" t="n"/>
      <c r="BN1816" s="151" t="n"/>
      <c r="BO1816" s="151" t="n"/>
      <c r="BP1816" s="151" t="n"/>
      <c r="BQ1816" s="151" t="n"/>
      <c r="BR1816" s="151" t="n"/>
      <c r="BS1816" s="151" t="n"/>
      <c r="BT1816" s="151" t="n"/>
    </row>
    <row r="1817">
      <c r="BJ1817" s="151" t="n">
        <v>621011</v>
      </c>
      <c r="BK1817" s="151" t="inlineStr">
        <is>
          <t>PAN Y TORTILLAS REVENTA EN EXPENDIOS</t>
        </is>
      </c>
      <c r="BL1817" s="151" t="n"/>
      <c r="BM1817" s="151" t="n"/>
      <c r="BN1817" s="151" t="n"/>
      <c r="BO1817" s="151" t="n"/>
      <c r="BP1817" s="151" t="n"/>
      <c r="BQ1817" s="151" t="n"/>
      <c r="BR1817" s="151" t="n"/>
      <c r="BS1817" s="151" t="n"/>
      <c r="BT1817" s="151" t="n"/>
    </row>
    <row r="1818">
      <c r="BJ1818" s="151" t="n">
        <v>621012</v>
      </c>
      <c r="BK1818" s="151" t="inlineStr">
        <is>
          <t>LECHE</t>
        </is>
      </c>
      <c r="BL1818" s="151" t="n"/>
      <c r="BM1818" s="151" t="n"/>
      <c r="BN1818" s="151" t="n"/>
      <c r="BO1818" s="151" t="n"/>
      <c r="BP1818" s="151" t="n"/>
      <c r="BQ1818" s="151" t="n"/>
      <c r="BR1818" s="151" t="n"/>
      <c r="BS1818" s="151" t="n"/>
      <c r="BT1818" s="151" t="n"/>
    </row>
    <row r="1819">
      <c r="BJ1819" s="151" t="n">
        <v>621013</v>
      </c>
      <c r="BK1819" s="151" t="inlineStr">
        <is>
          <t>PRODUCTOS DE SALCHICHONERIA Y CREMERIA</t>
        </is>
      </c>
      <c r="BL1819" s="151" t="n"/>
      <c r="BM1819" s="151" t="n"/>
      <c r="BN1819" s="151" t="n"/>
      <c r="BO1819" s="151" t="n"/>
      <c r="BP1819" s="151" t="n"/>
      <c r="BQ1819" s="151" t="n"/>
      <c r="BR1819" s="151" t="n"/>
      <c r="BS1819" s="151" t="n"/>
      <c r="BT1819" s="151" t="n"/>
    </row>
    <row r="1820">
      <c r="BJ1820" s="151" t="n">
        <v>621014</v>
      </c>
      <c r="BK1820" s="151" t="inlineStr">
        <is>
          <t>DULCES Y CHOCOLATES</t>
        </is>
      </c>
      <c r="BL1820" s="151" t="n"/>
      <c r="BM1820" s="151" t="n"/>
      <c r="BN1820" s="151" t="n"/>
      <c r="BO1820" s="151" t="n"/>
      <c r="BP1820" s="151" t="n"/>
      <c r="BQ1820" s="151" t="n"/>
      <c r="BR1820" s="151" t="n"/>
      <c r="BS1820" s="151" t="n"/>
      <c r="BT1820" s="151" t="n"/>
    </row>
    <row r="1821">
      <c r="BJ1821" s="151" t="n">
        <v>621015</v>
      </c>
      <c r="BK1821" s="151" t="inlineStr">
        <is>
          <t>PALETAS Y NIEVE</t>
        </is>
      </c>
      <c r="BL1821" s="151" t="n"/>
      <c r="BM1821" s="151" t="n"/>
      <c r="BN1821" s="151" t="n"/>
      <c r="BO1821" s="151" t="n"/>
      <c r="BP1821" s="151" t="n"/>
      <c r="BQ1821" s="151" t="n"/>
      <c r="BR1821" s="151" t="n"/>
      <c r="BS1821" s="151" t="n"/>
      <c r="BT1821" s="151" t="n"/>
    </row>
    <row r="1822">
      <c r="BJ1822" s="151" t="n">
        <v>621016</v>
      </c>
      <c r="BK1822" s="151" t="inlineStr">
        <is>
          <t>CERVEZA</t>
        </is>
      </c>
      <c r="BL1822" s="151" t="n"/>
      <c r="BM1822" s="151" t="n"/>
      <c r="BN1822" s="151" t="n"/>
      <c r="BO1822" s="151" t="n"/>
      <c r="BP1822" s="151" t="n"/>
      <c r="BQ1822" s="151" t="n"/>
      <c r="BR1822" s="151" t="n"/>
      <c r="BS1822" s="151" t="n"/>
      <c r="BT1822" s="151" t="n"/>
    </row>
    <row r="1823">
      <c r="BJ1823" s="151" t="n">
        <v>621017</v>
      </c>
      <c r="BK1823" s="151" t="inlineStr">
        <is>
          <t>VINOS Y LICORES</t>
        </is>
      </c>
      <c r="BL1823" s="151" t="n"/>
      <c r="BM1823" s="151" t="n"/>
      <c r="BN1823" s="151" t="n"/>
      <c r="BO1823" s="151" t="n"/>
      <c r="BP1823" s="151" t="n"/>
      <c r="BQ1823" s="151" t="n"/>
      <c r="BR1823" s="151" t="n"/>
      <c r="BS1823" s="151" t="n"/>
      <c r="BT1823" s="151" t="n"/>
    </row>
    <row r="1824">
      <c r="BJ1824" s="151" t="n">
        <v>621018</v>
      </c>
      <c r="BK1824" s="151" t="inlineStr">
        <is>
          <t>CIGARROS Y PUROS (TABAQUERIAS)</t>
        </is>
      </c>
      <c r="BL1824" s="151" t="n"/>
      <c r="BM1824" s="151" t="n"/>
      <c r="BN1824" s="151" t="n"/>
      <c r="BO1824" s="151" t="n"/>
      <c r="BP1824" s="151" t="n"/>
      <c r="BQ1824" s="151" t="n"/>
      <c r="BR1824" s="151" t="n"/>
      <c r="BS1824" s="151" t="n"/>
      <c r="BT1824" s="151" t="n"/>
    </row>
    <row r="1825">
      <c r="BJ1825" s="151" t="n">
        <v>622000</v>
      </c>
      <c r="BK1825" s="151" t="inlineStr">
        <is>
          <t>COMERCIO ALIMENTICIO AL MENUDEO, SUPERMERCADOS Y AUTOSERVICIO</t>
        </is>
      </c>
      <c r="BL1825" s="151" t="n"/>
      <c r="BM1825" s="151" t="n"/>
      <c r="BN1825" s="151" t="n"/>
      <c r="BO1825" s="151" t="n"/>
      <c r="BP1825" s="151" t="n"/>
      <c r="BQ1825" s="151" t="n"/>
      <c r="BR1825" s="151" t="n"/>
      <c r="BS1825" s="151" t="n"/>
      <c r="BT1825" s="151" t="n"/>
    </row>
    <row r="1826">
      <c r="BJ1826" s="151" t="n">
        <v>623011</v>
      </c>
      <c r="BK1826" s="151" t="inlineStr">
        <is>
          <t>PRODUCTOS FARMACEUTICOS Y DE PERFUMERIA</t>
        </is>
      </c>
      <c r="BL1826" s="151" t="n"/>
      <c r="BM1826" s="151" t="n"/>
      <c r="BN1826" s="151" t="n"/>
      <c r="BO1826" s="151" t="n"/>
      <c r="BP1826" s="151" t="n"/>
      <c r="BQ1826" s="151" t="n"/>
      <c r="BR1826" s="151" t="n"/>
      <c r="BS1826" s="151" t="n"/>
      <c r="BT1826" s="151" t="n"/>
    </row>
    <row r="1827">
      <c r="BJ1827" s="151" t="n">
        <v>623012</v>
      </c>
      <c r="BK1827" s="151" t="inlineStr">
        <is>
          <t>PRODUCTOS VETERINARIOS INCLUYE MEDICAMENTOS</t>
        </is>
      </c>
      <c r="BL1827" s="151" t="n"/>
      <c r="BM1827" s="151" t="n"/>
      <c r="BN1827" s="151" t="n"/>
      <c r="BO1827" s="151" t="n"/>
      <c r="BP1827" s="151" t="n"/>
      <c r="BQ1827" s="151" t="n"/>
      <c r="BR1827" s="151" t="n"/>
      <c r="BS1827" s="151" t="n"/>
      <c r="BT1827" s="151" t="n"/>
    </row>
    <row r="1828">
      <c r="BJ1828" s="151" t="n">
        <v>623021</v>
      </c>
      <c r="BK1828" s="151" t="inlineStr">
        <is>
          <t>TELAS CASIMIRES Y BLANCOS ROPA DE CAMA</t>
        </is>
      </c>
      <c r="BL1828" s="151" t="n"/>
      <c r="BM1828" s="151" t="n"/>
      <c r="BN1828" s="151" t="n"/>
      <c r="BO1828" s="151" t="n"/>
      <c r="BP1828" s="151" t="n"/>
      <c r="BQ1828" s="151" t="n"/>
      <c r="BR1828" s="151" t="n"/>
      <c r="BS1828" s="151" t="n"/>
      <c r="BT1828" s="151" t="n"/>
    </row>
    <row r="1829">
      <c r="BJ1829" s="151" t="n">
        <v>623022</v>
      </c>
      <c r="BK1829" s="151" t="inlineStr">
        <is>
          <t>ARTICULOS MERCERIA SEDERIA Y SIMILARES BONETERIAS</t>
        </is>
      </c>
      <c r="BL1829" s="151" t="n"/>
      <c r="BM1829" s="151" t="n"/>
      <c r="BN1829" s="151" t="n"/>
      <c r="BO1829" s="151" t="n"/>
      <c r="BP1829" s="151" t="n"/>
      <c r="BQ1829" s="151" t="n"/>
      <c r="BR1829" s="151" t="n"/>
      <c r="BS1829" s="151" t="n"/>
      <c r="BT1829" s="151" t="n"/>
    </row>
    <row r="1830">
      <c r="BJ1830" s="151" t="n">
        <v>623023</v>
      </c>
      <c r="BK1830" s="151" t="inlineStr">
        <is>
          <t>ROPA PRENDAS CUERO PIEL USADA</t>
        </is>
      </c>
      <c r="BL1830" s="151" t="n"/>
      <c r="BM1830" s="151" t="n"/>
      <c r="BN1830" s="151" t="n"/>
      <c r="BO1830" s="151" t="n"/>
      <c r="BP1830" s="151" t="n"/>
      <c r="BQ1830" s="151" t="n"/>
      <c r="BR1830" s="151" t="n"/>
      <c r="BS1830" s="151" t="n"/>
      <c r="BT1830" s="151" t="n"/>
    </row>
    <row r="1831">
      <c r="BJ1831" s="151" t="n">
        <v>623024</v>
      </c>
      <c r="BK1831" s="151" t="inlineStr">
        <is>
          <t>CALZADO ZAPATERIAS INCLUYE COM CALZADO USADO</t>
        </is>
      </c>
      <c r="BL1831" s="151" t="n"/>
      <c r="BM1831" s="151" t="n"/>
      <c r="BN1831" s="151" t="n"/>
      <c r="BO1831" s="151" t="n"/>
      <c r="BP1831" s="151" t="n"/>
      <c r="BQ1831" s="151" t="n"/>
      <c r="BR1831" s="151" t="n"/>
      <c r="BS1831" s="151" t="n"/>
      <c r="BT1831" s="151" t="n"/>
    </row>
    <row r="1832">
      <c r="BJ1832" s="151" t="n">
        <v>623025</v>
      </c>
      <c r="BK1832" s="151" t="inlineStr">
        <is>
          <t>SOMBREROS</t>
        </is>
      </c>
      <c r="BL1832" s="151" t="n"/>
      <c r="BM1832" s="151" t="n"/>
      <c r="BN1832" s="151" t="n"/>
      <c r="BO1832" s="151" t="n"/>
      <c r="BP1832" s="151" t="n"/>
      <c r="BQ1832" s="151" t="n"/>
      <c r="BR1832" s="151" t="n"/>
      <c r="BS1832" s="151" t="n"/>
      <c r="BT1832" s="151" t="n"/>
    </row>
    <row r="1833">
      <c r="BJ1833" s="151" t="n">
        <v>623026</v>
      </c>
      <c r="BK1833" s="151" t="inlineStr">
        <is>
          <t>ARTICULOS DE CUERO PIEL Y MAT SUCEDANEOS</t>
        </is>
      </c>
      <c r="BL1833" s="151" t="n"/>
      <c r="BM1833" s="151" t="n"/>
      <c r="BN1833" s="151" t="n"/>
      <c r="BO1833" s="151" t="n"/>
      <c r="BP1833" s="151" t="n"/>
      <c r="BQ1833" s="151" t="n"/>
      <c r="BR1833" s="151" t="n"/>
      <c r="BS1833" s="151" t="n"/>
      <c r="BT1833" s="151" t="n"/>
    </row>
    <row r="1834">
      <c r="BJ1834" s="151" t="n">
        <v>623027</v>
      </c>
      <c r="BK1834" s="151" t="inlineStr">
        <is>
          <t>PARAGUAS SOMBRILLAS Y OTROS ARTICULOS DE USO PERSONAL</t>
        </is>
      </c>
      <c r="BL1834" s="151" t="n"/>
      <c r="BM1834" s="151" t="n"/>
      <c r="BN1834" s="151" t="n"/>
      <c r="BO1834" s="151" t="n"/>
      <c r="BP1834" s="151" t="n"/>
      <c r="BQ1834" s="151" t="n"/>
      <c r="BR1834" s="151" t="n"/>
      <c r="BS1834" s="151" t="n"/>
      <c r="BT1834" s="151" t="n"/>
    </row>
    <row r="1835">
      <c r="BJ1835" s="151" t="n">
        <v>623031</v>
      </c>
      <c r="BK1835" s="151" t="inlineStr">
        <is>
          <t>MUEBLES EN GENERAL EXCEPTO ELECTRONICOS Y ELECTRICOS</t>
        </is>
      </c>
      <c r="BL1835" s="151" t="n"/>
      <c r="BM1835" s="151" t="n"/>
      <c r="BN1835" s="151" t="n"/>
      <c r="BO1835" s="151" t="n"/>
      <c r="BP1835" s="151" t="n"/>
      <c r="BQ1835" s="151" t="n"/>
      <c r="BR1835" s="151" t="n"/>
      <c r="BS1835" s="151" t="n"/>
      <c r="BT1835" s="151" t="n"/>
    </row>
    <row r="1836">
      <c r="BJ1836" s="151" t="n">
        <v>623032</v>
      </c>
      <c r="BK1836" s="151" t="inlineStr">
        <is>
          <t>ALFOMBRAS CORTINAS Y PRODUCTOS SIMILARES</t>
        </is>
      </c>
      <c r="BL1836" s="151" t="n"/>
      <c r="BM1836" s="151" t="n"/>
      <c r="BN1836" s="151" t="n"/>
      <c r="BO1836" s="151" t="n"/>
      <c r="BP1836" s="151" t="n"/>
      <c r="BQ1836" s="151" t="n"/>
      <c r="BR1836" s="151" t="n"/>
      <c r="BS1836" s="151" t="n"/>
      <c r="BT1836" s="151" t="n"/>
    </row>
    <row r="1837">
      <c r="BJ1837" s="151" t="n">
        <v>623033</v>
      </c>
      <c r="BK1837" s="151" t="inlineStr">
        <is>
          <t>VIDRIOS ESPEJOS LUNAS Y SIMILARES</t>
        </is>
      </c>
      <c r="BL1837" s="151" t="n"/>
      <c r="BM1837" s="151" t="n"/>
      <c r="BN1837" s="151" t="n"/>
      <c r="BO1837" s="151" t="n"/>
      <c r="BP1837" s="151" t="n"/>
      <c r="BQ1837" s="151" t="n"/>
      <c r="BR1837" s="151" t="n"/>
      <c r="BS1837" s="151" t="n"/>
      <c r="BT1837" s="151" t="n"/>
    </row>
    <row r="1838">
      <c r="BJ1838" s="151" t="n">
        <v>623034</v>
      </c>
      <c r="BK1838" s="151" t="inlineStr">
        <is>
          <t>INSTRUMENTOS MUSICALES ACCESORIOS Y PARTITURAS</t>
        </is>
      </c>
      <c r="BL1838" s="151" t="n"/>
      <c r="BM1838" s="151" t="n"/>
      <c r="BN1838" s="151" t="n"/>
      <c r="BO1838" s="151" t="n"/>
      <c r="BP1838" s="151" t="n"/>
      <c r="BQ1838" s="151" t="n"/>
      <c r="BR1838" s="151" t="n"/>
      <c r="BS1838" s="151" t="n"/>
      <c r="BT1838" s="151" t="n"/>
    </row>
    <row r="1839">
      <c r="BJ1839" s="151" t="n">
        <v>623035</v>
      </c>
      <c r="BK1839" s="151" t="inlineStr">
        <is>
          <t>DISCOS Y CINTAS MAGNETOFONICAS</t>
        </is>
      </c>
      <c r="BL1839" s="151" t="n"/>
      <c r="BM1839" s="151" t="n"/>
      <c r="BN1839" s="151" t="n"/>
      <c r="BO1839" s="151" t="n"/>
      <c r="BP1839" s="151" t="n"/>
      <c r="BQ1839" s="151" t="n"/>
      <c r="BR1839" s="151" t="n"/>
      <c r="BS1839" s="151" t="n"/>
      <c r="BT1839" s="151" t="n"/>
    </row>
    <row r="1840">
      <c r="BJ1840" s="151" t="n">
        <v>623036</v>
      </c>
      <c r="BK1840" s="151" t="inlineStr">
        <is>
          <t>ANTGS PINTS ESCULTURAS Y OTRAS OBRAS DE ARTE</t>
        </is>
      </c>
      <c r="BL1840" s="151" t="n"/>
      <c r="BM1840" s="151" t="n"/>
      <c r="BN1840" s="151" t="n"/>
      <c r="BO1840" s="151" t="n"/>
      <c r="BP1840" s="151" t="n"/>
      <c r="BQ1840" s="151" t="n"/>
      <c r="BR1840" s="151" t="n"/>
      <c r="BS1840" s="151" t="n"/>
      <c r="BT1840" s="151" t="n"/>
    </row>
    <row r="1841">
      <c r="BJ1841" s="151" t="n">
        <v>623037</v>
      </c>
      <c r="BK1841" s="151" t="inlineStr">
        <is>
          <t>ESTUFAS Y APARATOS ELECTRICOS PARA EL HOGAR</t>
        </is>
      </c>
      <c r="BL1841" s="151" t="n"/>
      <c r="BM1841" s="151" t="n"/>
      <c r="BN1841" s="151" t="n"/>
      <c r="BO1841" s="151" t="n"/>
      <c r="BP1841" s="151" t="n"/>
      <c r="BQ1841" s="151" t="n"/>
      <c r="BR1841" s="151" t="n"/>
      <c r="BS1841" s="151" t="n"/>
      <c r="BT1841" s="151" t="n"/>
    </row>
    <row r="1842">
      <c r="BJ1842" s="151" t="n">
        <v>623038</v>
      </c>
      <c r="BK1842" s="151" t="inlineStr">
        <is>
          <t>MAQUINAS DE COSER Y TEJER PARA USO DOMESTICO REFACCIONES</t>
        </is>
      </c>
      <c r="BL1842" s="151" t="n"/>
      <c r="BM1842" s="151" t="n"/>
      <c r="BN1842" s="151" t="n"/>
      <c r="BO1842" s="151" t="n"/>
      <c r="BP1842" s="151" t="n"/>
      <c r="BQ1842" s="151" t="n"/>
      <c r="BR1842" s="151" t="n"/>
      <c r="BS1842" s="151" t="n"/>
      <c r="BT1842" s="151" t="n"/>
    </row>
    <row r="1843">
      <c r="BJ1843" s="151" t="n">
        <v>623041</v>
      </c>
      <c r="BK1843" s="151" t="inlineStr">
        <is>
          <t>ARTICULOS DE FERRETS PLOMERIA Y SOLDADURA</t>
        </is>
      </c>
      <c r="BL1843" s="151" t="n"/>
      <c r="BM1843" s="151" t="n"/>
      <c r="BN1843" s="151" t="n"/>
      <c r="BO1843" s="151" t="n"/>
      <c r="BP1843" s="151" t="n"/>
      <c r="BQ1843" s="151" t="n"/>
      <c r="BR1843" s="151" t="n"/>
      <c r="BS1843" s="151" t="n"/>
      <c r="BT1843" s="151" t="n"/>
    </row>
    <row r="1844">
      <c r="BJ1844" s="151" t="n">
        <v>623042</v>
      </c>
      <c r="BK1844" s="151" t="inlineStr">
        <is>
          <t>PINTURAS Y SIMILARES INCLUYE SOLVENTES</t>
        </is>
      </c>
      <c r="BL1844" s="151" t="n"/>
      <c r="BM1844" s="151" t="n"/>
      <c r="BN1844" s="151" t="n"/>
      <c r="BO1844" s="151" t="n"/>
      <c r="BP1844" s="151" t="n"/>
      <c r="BQ1844" s="151" t="n"/>
      <c r="BR1844" s="151" t="n"/>
      <c r="BS1844" s="151" t="n"/>
      <c r="BT1844" s="151" t="n"/>
    </row>
    <row r="1845">
      <c r="BJ1845" s="151" t="n">
        <v>623043</v>
      </c>
      <c r="BK1845" s="151" t="inlineStr">
        <is>
          <t>ARTICULOS DE TLAPALERIA</t>
        </is>
      </c>
      <c r="BL1845" s="151" t="n"/>
      <c r="BM1845" s="151" t="n"/>
      <c r="BN1845" s="151" t="n"/>
      <c r="BO1845" s="151" t="n"/>
      <c r="BP1845" s="151" t="n"/>
      <c r="BQ1845" s="151" t="n"/>
      <c r="BR1845" s="151" t="n"/>
      <c r="BS1845" s="151" t="n"/>
      <c r="BT1845" s="151" t="n"/>
    </row>
    <row r="1846">
      <c r="BJ1846" s="151" t="n">
        <v>623044</v>
      </c>
      <c r="BK1846" s="151" t="inlineStr">
        <is>
          <t>CRISTALERIA LOZA EXCEPTO METALES PRECIOSOS</t>
        </is>
      </c>
      <c r="BL1846" s="151" t="n"/>
      <c r="BM1846" s="151" t="n"/>
      <c r="BN1846" s="151" t="n"/>
      <c r="BO1846" s="151" t="n"/>
      <c r="BP1846" s="151" t="n"/>
      <c r="BQ1846" s="151" t="n"/>
      <c r="BR1846" s="151" t="n"/>
      <c r="BS1846" s="151" t="n"/>
      <c r="BT1846" s="151" t="n"/>
    </row>
    <row r="1847">
      <c r="BJ1847" s="151" t="n">
        <v>623045</v>
      </c>
      <c r="BK1847" s="151" t="inlineStr">
        <is>
          <t>MATERIAL ELECTRICO INCLUYE LAMPARAS ORNAMENTALES</t>
        </is>
      </c>
      <c r="BL1847" s="151" t="n"/>
      <c r="BM1847" s="151" t="n"/>
      <c r="BN1847" s="151" t="n"/>
      <c r="BO1847" s="151" t="n"/>
      <c r="BP1847" s="151" t="n"/>
      <c r="BQ1847" s="151" t="n"/>
      <c r="BR1847" s="151" t="n"/>
      <c r="BS1847" s="151" t="n"/>
      <c r="BT1847" s="151" t="n"/>
    </row>
    <row r="1848">
      <c r="BJ1848" s="151" t="n">
        <v>623050</v>
      </c>
      <c r="BK1848" s="151" t="inlineStr">
        <is>
          <t>GAS LICUADO COMBINADO E INSTALACION DE TANQUES DOMEST</t>
        </is>
      </c>
      <c r="BL1848" s="151" t="n"/>
      <c r="BM1848" s="151" t="n"/>
      <c r="BN1848" s="151" t="n"/>
      <c r="BO1848" s="151" t="n"/>
      <c r="BP1848" s="151" t="n"/>
      <c r="BQ1848" s="151" t="n"/>
      <c r="BR1848" s="151" t="n"/>
      <c r="BS1848" s="151" t="n"/>
      <c r="BT1848" s="151" t="n"/>
    </row>
    <row r="1849">
      <c r="BJ1849" s="151" t="n">
        <v>623061</v>
      </c>
      <c r="BK1849" s="151" t="inlineStr">
        <is>
          <t>CARBON VEGETAL MINERAL NO DERIVADOS PETROLEO</t>
        </is>
      </c>
      <c r="BL1849" s="151" t="n"/>
      <c r="BM1849" s="151" t="n"/>
      <c r="BN1849" s="151" t="n"/>
      <c r="BO1849" s="151" t="n"/>
      <c r="BP1849" s="151" t="n"/>
      <c r="BQ1849" s="151" t="n"/>
      <c r="BR1849" s="151" t="n"/>
      <c r="BS1849" s="151" t="n"/>
      <c r="BT1849" s="151" t="n"/>
    </row>
    <row r="1850">
      <c r="BJ1850" s="151" t="n">
        <v>623062</v>
      </c>
      <c r="BK1850" s="151" t="inlineStr">
        <is>
          <t>PETROLEO Y TRACTOLINA</t>
        </is>
      </c>
      <c r="BL1850" s="151" t="n"/>
      <c r="BM1850" s="151" t="n"/>
      <c r="BN1850" s="151" t="n"/>
      <c r="BO1850" s="151" t="n"/>
      <c r="BP1850" s="151" t="n"/>
      <c r="BQ1850" s="151" t="n"/>
      <c r="BR1850" s="151" t="n"/>
      <c r="BS1850" s="151" t="n"/>
      <c r="BT1850" s="151" t="n"/>
    </row>
    <row r="1851">
      <c r="BJ1851" s="151" t="n">
        <v>623063</v>
      </c>
      <c r="BK1851" s="151" t="inlineStr">
        <is>
          <t>GRASAS Y LUBRICANTES EXCEPTO GASOLINA</t>
        </is>
      </c>
      <c r="BL1851" s="151" t="n"/>
      <c r="BM1851" s="151" t="n"/>
      <c r="BN1851" s="151" t="n"/>
      <c r="BO1851" s="151" t="n"/>
      <c r="BP1851" s="151" t="n"/>
      <c r="BQ1851" s="151" t="n"/>
      <c r="BR1851" s="151" t="n"/>
      <c r="BS1851" s="151" t="n"/>
      <c r="BT1851" s="151" t="n"/>
    </row>
    <row r="1852">
      <c r="BJ1852" s="151" t="n">
        <v>623071</v>
      </c>
      <c r="BK1852" s="151" t="inlineStr">
        <is>
          <t>EQUIPO Y MATERIALES  FOTOGRAFICO Y CINEMATOGRAFICO</t>
        </is>
      </c>
      <c r="BL1852" s="151" t="n"/>
      <c r="BM1852" s="151" t="n"/>
      <c r="BN1852" s="151" t="n"/>
      <c r="BO1852" s="151" t="n"/>
      <c r="BP1852" s="151" t="n"/>
      <c r="BQ1852" s="151" t="n"/>
      <c r="BR1852" s="151" t="n"/>
      <c r="BS1852" s="151" t="n"/>
      <c r="BT1852" s="151" t="n"/>
    </row>
    <row r="1853">
      <c r="BJ1853" s="151" t="n">
        <v>623072</v>
      </c>
      <c r="BK1853" s="151" t="inlineStr">
        <is>
          <t>ARTICULOS DEPORTIVOS Y EQUIPOS EXCURSIONISMO</t>
        </is>
      </c>
      <c r="BL1853" s="151" t="n"/>
      <c r="BM1853" s="151" t="n"/>
      <c r="BN1853" s="151" t="n"/>
      <c r="BO1853" s="151" t="n"/>
      <c r="BP1853" s="151" t="n"/>
      <c r="BQ1853" s="151" t="n"/>
      <c r="BR1853" s="151" t="n"/>
      <c r="BS1853" s="151" t="n"/>
      <c r="BT1853" s="151" t="n"/>
    </row>
    <row r="1854">
      <c r="BJ1854" s="151" t="n">
        <v>623073</v>
      </c>
      <c r="BK1854" s="151" t="inlineStr">
        <is>
          <t>PAPELERIA Y UTILES ESCOLARES PARA OFICINA Y DIBUJO</t>
        </is>
      </c>
      <c r="BL1854" s="151" t="n"/>
      <c r="BM1854" s="151" t="n"/>
      <c r="BN1854" s="151" t="n"/>
      <c r="BO1854" s="151" t="n"/>
      <c r="BP1854" s="151" t="n"/>
      <c r="BQ1854" s="151" t="n"/>
      <c r="BR1854" s="151" t="n"/>
      <c r="BS1854" s="151" t="n"/>
      <c r="BT1854" s="151" t="n"/>
    </row>
    <row r="1855">
      <c r="BJ1855" s="151" t="n">
        <v>623074</v>
      </c>
      <c r="BK1855" s="151" t="inlineStr">
        <is>
          <t>LIBROS</t>
        </is>
      </c>
      <c r="BL1855" s="151" t="n"/>
      <c r="BM1855" s="151" t="n"/>
      <c r="BN1855" s="151" t="n"/>
      <c r="BO1855" s="151" t="n"/>
      <c r="BP1855" s="151" t="n"/>
      <c r="BQ1855" s="151" t="n"/>
      <c r="BR1855" s="151" t="n"/>
      <c r="BS1855" s="151" t="n"/>
      <c r="BT1855" s="151" t="n"/>
    </row>
    <row r="1856">
      <c r="BJ1856" s="151" t="n">
        <v>623075</v>
      </c>
      <c r="BK1856" s="151" t="inlineStr">
        <is>
          <t>PERIODICOS Y REVISTAS</t>
        </is>
      </c>
      <c r="BL1856" s="151" t="n"/>
      <c r="BM1856" s="151" t="n"/>
      <c r="BN1856" s="151" t="n"/>
      <c r="BO1856" s="151" t="n"/>
      <c r="BP1856" s="151" t="n"/>
      <c r="BQ1856" s="151" t="n"/>
      <c r="BR1856" s="151" t="n"/>
      <c r="BS1856" s="151" t="n"/>
      <c r="BT1856" s="151" t="n"/>
    </row>
    <row r="1857">
      <c r="BJ1857" s="151" t="n">
        <v>623076</v>
      </c>
      <c r="BK1857" s="151" t="inlineStr">
        <is>
          <t>PLANTAS Y FLORES NATURALES Y ARTIFICIALES</t>
        </is>
      </c>
      <c r="BL1857" s="151" t="n"/>
      <c r="BM1857" s="151" t="n"/>
      <c r="BN1857" s="151" t="n"/>
      <c r="BO1857" s="151" t="n"/>
      <c r="BP1857" s="151" t="n"/>
      <c r="BQ1857" s="151" t="n"/>
      <c r="BR1857" s="151" t="n"/>
      <c r="BS1857" s="151" t="n"/>
      <c r="BT1857" s="151" t="n"/>
    </row>
    <row r="1858">
      <c r="BJ1858" s="151" t="n">
        <v>623077</v>
      </c>
      <c r="BK1858" s="151" t="inlineStr">
        <is>
          <t>ANTEOJOS Y ACCESORIOS</t>
        </is>
      </c>
      <c r="BL1858" s="151" t="n"/>
      <c r="BM1858" s="151" t="n"/>
      <c r="BN1858" s="151" t="n"/>
      <c r="BO1858" s="151" t="n"/>
      <c r="BP1858" s="151" t="n"/>
      <c r="BQ1858" s="151" t="n"/>
      <c r="BR1858" s="151" t="n"/>
      <c r="BS1858" s="151" t="n"/>
      <c r="BT1858" s="151" t="n"/>
    </row>
    <row r="1859">
      <c r="BJ1859" s="151" t="n">
        <v>623078</v>
      </c>
      <c r="BK1859" s="151" t="inlineStr">
        <is>
          <t>JUGUETES</t>
        </is>
      </c>
      <c r="BL1859" s="151" t="n"/>
      <c r="BM1859" s="151" t="n"/>
      <c r="BN1859" s="151" t="n"/>
      <c r="BO1859" s="151" t="n"/>
      <c r="BP1859" s="151" t="n"/>
      <c r="BQ1859" s="151" t="n"/>
      <c r="BR1859" s="151" t="n"/>
      <c r="BS1859" s="151" t="n"/>
      <c r="BT1859" s="151" t="n"/>
    </row>
    <row r="1860">
      <c r="BJ1860" s="151" t="n">
        <v>623079</v>
      </c>
      <c r="BK1860" s="151" t="inlineStr">
        <is>
          <t>MAQUINAS DE ESCRIBIR Y CALCULADORAS DE  BOLSILLO</t>
        </is>
      </c>
      <c r="BL1860" s="151" t="n"/>
      <c r="BM1860" s="151" t="n"/>
      <c r="BN1860" s="151" t="n"/>
      <c r="BO1860" s="151" t="n"/>
      <c r="BP1860" s="151" t="n"/>
      <c r="BQ1860" s="151" t="n"/>
      <c r="BR1860" s="151" t="n"/>
      <c r="BS1860" s="151" t="n"/>
      <c r="BT1860" s="151" t="n"/>
    </row>
    <row r="1861">
      <c r="BJ1861" s="151" t="n">
        <v>623080</v>
      </c>
      <c r="BK1861" s="151" t="inlineStr">
        <is>
          <t>APARATOS Y ARTICULOS ORTOPEDICOS</t>
        </is>
      </c>
      <c r="BL1861" s="151" t="n"/>
      <c r="BM1861" s="151" t="n"/>
      <c r="BN1861" s="151" t="n"/>
      <c r="BO1861" s="151" t="n"/>
      <c r="BP1861" s="151" t="n"/>
      <c r="BQ1861" s="151" t="n"/>
      <c r="BR1861" s="151" t="n"/>
      <c r="BS1861" s="151" t="n"/>
      <c r="BT1861" s="151" t="n"/>
    </row>
    <row r="1862">
      <c r="BJ1862" s="151" t="n">
        <v>623081</v>
      </c>
      <c r="BK1862" s="151" t="inlineStr">
        <is>
          <t>RELOJES Y ARTICULOS DE PLATA Y JOYERIA INCLUYE METALES PRECIOSOS</t>
        </is>
      </c>
      <c r="BL1862" s="151" t="n"/>
      <c r="BM1862" s="151" t="n"/>
      <c r="BN1862" s="151" t="n"/>
      <c r="BO1862" s="151" t="n"/>
      <c r="BP1862" s="151" t="n"/>
      <c r="BQ1862" s="151" t="n"/>
      <c r="BR1862" s="151" t="n"/>
      <c r="BS1862" s="151" t="n"/>
      <c r="BT1862" s="151" t="n"/>
    </row>
    <row r="1863">
      <c r="BJ1863" s="151" t="n">
        <v>623082</v>
      </c>
      <c r="BK1863" s="151" t="inlineStr">
        <is>
          <t>ARTESANIAS EXCEPTO MUEBLES COLONIALES</t>
        </is>
      </c>
      <c r="BL1863" s="151" t="n"/>
      <c r="BM1863" s="151" t="n"/>
      <c r="BN1863" s="151" t="n"/>
      <c r="BO1863" s="151" t="n"/>
      <c r="BP1863" s="151" t="n"/>
      <c r="BQ1863" s="151" t="n"/>
      <c r="BR1863" s="151" t="n"/>
      <c r="BS1863" s="151" t="n"/>
      <c r="BT1863" s="151" t="n"/>
    </row>
    <row r="1864">
      <c r="BJ1864" s="151" t="n">
        <v>623083</v>
      </c>
      <c r="BK1864" s="151" t="inlineStr">
        <is>
          <t>ARTICULOS RELIGIOSOS</t>
        </is>
      </c>
      <c r="BL1864" s="151" t="n"/>
      <c r="BM1864" s="151" t="n"/>
      <c r="BN1864" s="151" t="n"/>
      <c r="BO1864" s="151" t="n"/>
      <c r="BP1864" s="151" t="n"/>
      <c r="BQ1864" s="151" t="n"/>
      <c r="BR1864" s="151" t="n"/>
      <c r="BS1864" s="151" t="n"/>
      <c r="BT1864" s="151" t="n"/>
    </row>
    <row r="1865">
      <c r="BJ1865" s="151" t="n">
        <v>623084</v>
      </c>
      <c r="BK1865" s="151" t="inlineStr">
        <is>
          <t>OTROS ARTICULOS NUEVOS PARA HOGAR NO CLASIFICADOS  ANTERIORMENTE</t>
        </is>
      </c>
      <c r="BL1865" s="151" t="n"/>
      <c r="BM1865" s="151" t="n"/>
      <c r="BN1865" s="151" t="n"/>
      <c r="BO1865" s="151" t="n"/>
      <c r="BP1865" s="151" t="n"/>
      <c r="BQ1865" s="151" t="n"/>
      <c r="BR1865" s="151" t="n"/>
      <c r="BS1865" s="151" t="n"/>
      <c r="BT1865" s="151" t="n"/>
    </row>
    <row r="1866">
      <c r="BJ1866" s="151" t="n">
        <v>623085</v>
      </c>
      <c r="BK1866" s="151" t="inlineStr">
        <is>
          <t>ARTICULOS PARA EL HOGAR USADOS</t>
        </is>
      </c>
      <c r="BL1866" s="151" t="n"/>
      <c r="BM1866" s="151" t="n"/>
      <c r="BN1866" s="151" t="n"/>
      <c r="BO1866" s="151" t="n"/>
      <c r="BP1866" s="151" t="n"/>
      <c r="BQ1866" s="151" t="n"/>
      <c r="BR1866" s="151" t="n"/>
      <c r="BS1866" s="151" t="n"/>
      <c r="BT1866" s="151" t="n"/>
    </row>
    <row r="1867">
      <c r="BJ1867" s="151" t="n">
        <v>623086</v>
      </c>
      <c r="BK1867" s="151" t="inlineStr">
        <is>
          <t>MOTOS Y BICICLETAS INCLUYE TRICICLOS Y REFACCIONES</t>
        </is>
      </c>
      <c r="BL1867" s="151" t="n"/>
      <c r="BM1867" s="151" t="n"/>
      <c r="BN1867" s="151" t="n"/>
      <c r="BO1867" s="151" t="n"/>
      <c r="BP1867" s="151" t="n"/>
      <c r="BQ1867" s="151" t="n"/>
      <c r="BR1867" s="151" t="n"/>
      <c r="BS1867" s="151" t="n"/>
      <c r="BT1867" s="151" t="n"/>
    </row>
    <row r="1868">
      <c r="BJ1868" s="151" t="n">
        <v>623087</v>
      </c>
      <c r="BK1868" s="151" t="inlineStr">
        <is>
          <t>ARMAS DE FUEGO CARTUCHOS Y MUNICIONES</t>
        </is>
      </c>
      <c r="BL1868" s="151" t="n"/>
      <c r="BM1868" s="151" t="n"/>
      <c r="BN1868" s="151" t="n"/>
      <c r="BO1868" s="151" t="n"/>
      <c r="BP1868" s="151" t="n"/>
      <c r="BQ1868" s="151" t="n"/>
      <c r="BR1868" s="151" t="n"/>
      <c r="BS1868" s="151" t="n"/>
      <c r="BT1868" s="151" t="n"/>
    </row>
    <row r="1869">
      <c r="BJ1869" s="151" t="n">
        <v>623088</v>
      </c>
      <c r="BK1869" s="151" t="inlineStr">
        <is>
          <t>AERONAVES EMBARCACIONES Y EQUIPO</t>
        </is>
      </c>
      <c r="BL1869" s="151" t="n"/>
      <c r="BM1869" s="151" t="n"/>
      <c r="BN1869" s="151" t="n"/>
      <c r="BO1869" s="151" t="n"/>
      <c r="BP1869" s="151" t="n"/>
      <c r="BQ1869" s="151" t="n"/>
      <c r="BR1869" s="151" t="n"/>
      <c r="BS1869" s="151" t="n"/>
      <c r="BT1869" s="151" t="n"/>
    </row>
    <row r="1870">
      <c r="BJ1870" s="151" t="n">
        <v>623089</v>
      </c>
      <c r="BK1870" s="151" t="inlineStr">
        <is>
          <t>OTROS ARTICULOS Y PRODUCTOS NO CLASIFICADOS ANTERIORMENTE</t>
        </is>
      </c>
      <c r="BL1870" s="151" t="n"/>
      <c r="BM1870" s="151" t="n"/>
      <c r="BN1870" s="151" t="n"/>
      <c r="BO1870" s="151" t="n"/>
      <c r="BP1870" s="151" t="n"/>
      <c r="BQ1870" s="151" t="n"/>
      <c r="BR1870" s="151" t="n"/>
      <c r="BS1870" s="151" t="n"/>
      <c r="BT1870" s="151" t="n"/>
    </row>
    <row r="1871">
      <c r="BJ1871" s="151" t="n">
        <v>623090</v>
      </c>
      <c r="BK1871" s="151" t="inlineStr">
        <is>
          <t>COMPRA-VENTA Y REPARACION DE EQUIPO DE COMPUTO</t>
        </is>
      </c>
      <c r="BL1871" s="151" t="n"/>
      <c r="BM1871" s="151" t="n"/>
      <c r="BN1871" s="151" t="n"/>
      <c r="BO1871" s="151" t="n"/>
      <c r="BP1871" s="151" t="n"/>
      <c r="BQ1871" s="151" t="n"/>
      <c r="BR1871" s="151" t="n"/>
      <c r="BS1871" s="151" t="n"/>
      <c r="BT1871" s="151" t="n"/>
    </row>
    <row r="1872">
      <c r="BJ1872" s="151" t="n">
        <v>624001</v>
      </c>
      <c r="BK1872" s="151" t="inlineStr">
        <is>
          <t>COMERCIO AL POR MENOR EN ALMACENES Y TIENDAS DE DEPARTAMENTOS ESPECIALIZADOS</t>
        </is>
      </c>
      <c r="BL1872" s="151" t="n"/>
      <c r="BM1872" s="151" t="n"/>
      <c r="BN1872" s="151" t="n"/>
      <c r="BO1872" s="151" t="n"/>
      <c r="BP1872" s="151" t="n"/>
      <c r="BQ1872" s="151" t="n"/>
      <c r="BR1872" s="151" t="n"/>
      <c r="BS1872" s="151" t="n"/>
      <c r="BT1872" s="151" t="n"/>
    </row>
    <row r="1873">
      <c r="BJ1873" s="151" t="n">
        <v>624002</v>
      </c>
      <c r="BK1873" s="151" t="inlineStr">
        <is>
          <t>COMERCIO MENOR, TIENDAS MIXTAS NO ACTIVIDAD</t>
        </is>
      </c>
      <c r="BL1873" s="151" t="n"/>
      <c r="BM1873" s="151" t="n"/>
      <c r="BN1873" s="151" t="n"/>
      <c r="BO1873" s="151" t="n"/>
      <c r="BP1873" s="151" t="n"/>
      <c r="BQ1873" s="151" t="n"/>
      <c r="BR1873" s="151" t="n"/>
      <c r="BS1873" s="151" t="n"/>
      <c r="BT1873" s="151" t="n"/>
    </row>
    <row r="1874">
      <c r="BJ1874" s="151" t="n">
        <v>625001</v>
      </c>
      <c r="BK1874" s="151" t="inlineStr">
        <is>
          <t>AUTOMOVILES Y CAMIONES NUEVOS</t>
        </is>
      </c>
      <c r="BL1874" s="151" t="n"/>
      <c r="BM1874" s="151" t="n"/>
      <c r="BN1874" s="151" t="n"/>
      <c r="BO1874" s="151" t="n"/>
      <c r="BP1874" s="151" t="n"/>
      <c r="BQ1874" s="151" t="n"/>
      <c r="BR1874" s="151" t="n"/>
      <c r="BS1874" s="151" t="n"/>
      <c r="BT1874" s="151" t="n"/>
    </row>
    <row r="1875">
      <c r="BJ1875" s="151" t="n">
        <v>625002</v>
      </c>
      <c r="BK1875" s="151" t="inlineStr">
        <is>
          <t>AUTOMOVILES Y CAMIONES USADOS</t>
        </is>
      </c>
      <c r="BL1875" s="151" t="n"/>
      <c r="BM1875" s="151" t="n"/>
      <c r="BN1875" s="151" t="n"/>
      <c r="BO1875" s="151" t="n"/>
      <c r="BP1875" s="151" t="n"/>
      <c r="BQ1875" s="151" t="n"/>
      <c r="BR1875" s="151" t="n"/>
      <c r="BS1875" s="151" t="n"/>
      <c r="BT1875" s="151" t="n"/>
    </row>
    <row r="1876">
      <c r="BJ1876" s="151" t="n">
        <v>625003</v>
      </c>
      <c r="BK1876" s="151" t="inlineStr">
        <is>
          <t>LLANTAS Y CAMARAS</t>
        </is>
      </c>
      <c r="BL1876" s="151" t="n"/>
      <c r="BM1876" s="151" t="n"/>
      <c r="BN1876" s="151" t="n"/>
      <c r="BO1876" s="151" t="n"/>
      <c r="BP1876" s="151" t="n"/>
      <c r="BQ1876" s="151" t="n"/>
      <c r="BR1876" s="151" t="n"/>
      <c r="BS1876" s="151" t="n"/>
      <c r="BT1876" s="151" t="n"/>
    </row>
    <row r="1877">
      <c r="BJ1877" s="151" t="n">
        <v>625004</v>
      </c>
      <c r="BK1877" s="151" t="inlineStr">
        <is>
          <t>REFACCIONES Y ACCESORIOS NUEVOS PARA AUTOS Y CAMIONES</t>
        </is>
      </c>
      <c r="BL1877" s="151" t="n"/>
      <c r="BM1877" s="151" t="n"/>
      <c r="BN1877" s="151" t="n"/>
      <c r="BO1877" s="151" t="n"/>
      <c r="BP1877" s="151" t="n"/>
      <c r="BQ1877" s="151" t="n"/>
      <c r="BR1877" s="151" t="n"/>
      <c r="BS1877" s="151" t="n"/>
      <c r="BT1877" s="151" t="n"/>
    </row>
    <row r="1878">
      <c r="BJ1878" s="151" t="n">
        <v>625005</v>
      </c>
      <c r="BK1878" s="151" t="inlineStr">
        <is>
          <t>REFACCIONES Y ACCESORIOS USADOS PARA AUTOS Y CAMIONES</t>
        </is>
      </c>
      <c r="BL1878" s="151" t="n"/>
      <c r="BM1878" s="151" t="n"/>
      <c r="BN1878" s="151" t="n"/>
      <c r="BO1878" s="151" t="n"/>
      <c r="BP1878" s="151" t="n"/>
      <c r="BQ1878" s="151" t="n"/>
      <c r="BR1878" s="151" t="n"/>
      <c r="BS1878" s="151" t="n"/>
      <c r="BT1878" s="151" t="n"/>
    </row>
    <row r="1879">
      <c r="BJ1879" s="151" t="n">
        <v>626000</v>
      </c>
      <c r="BK1879" s="151" t="inlineStr">
        <is>
          <t>GASOLINA DIESEL LUBRICANTES Y ADITIVOS</t>
        </is>
      </c>
      <c r="BL1879" s="151" t="n"/>
      <c r="BM1879" s="151" t="n"/>
      <c r="BN1879" s="151" t="n"/>
      <c r="BO1879" s="151" t="n"/>
      <c r="BP1879" s="151" t="n"/>
      <c r="BQ1879" s="151" t="n"/>
      <c r="BR1879" s="151" t="n"/>
      <c r="BS1879" s="151" t="n"/>
      <c r="BT1879" s="151" t="n"/>
    </row>
    <row r="1880">
      <c r="BJ1880" s="151" t="n">
        <v>631011</v>
      </c>
      <c r="BK1880" s="151" t="inlineStr">
        <is>
          <t>SERVICIOS DE RESTAURANTES Y FONDAS</t>
        </is>
      </c>
      <c r="BL1880" s="151" t="n"/>
      <c r="BM1880" s="151" t="n"/>
      <c r="BN1880" s="151" t="n"/>
      <c r="BO1880" s="151" t="n"/>
      <c r="BP1880" s="151" t="n"/>
      <c r="BQ1880" s="151" t="n"/>
      <c r="BR1880" s="151" t="n"/>
      <c r="BS1880" s="151" t="n"/>
      <c r="BT1880" s="151" t="n"/>
    </row>
    <row r="1881">
      <c r="BJ1881" s="151" t="n">
        <v>631012</v>
      </c>
      <c r="BK1881" s="151" t="inlineStr">
        <is>
          <t>SERVICIO DE COCINAS ECONOMICAS Y ESTABLECIMIENTO</t>
        </is>
      </c>
      <c r="BL1881" s="151" t="n"/>
      <c r="BM1881" s="151" t="n"/>
      <c r="BN1881" s="151" t="n"/>
      <c r="BO1881" s="151" t="n"/>
      <c r="BP1881" s="151" t="n"/>
      <c r="BQ1881" s="151" t="n"/>
      <c r="BR1881" s="151" t="n"/>
      <c r="BS1881" s="151" t="n"/>
      <c r="BT1881" s="151" t="n"/>
    </row>
    <row r="1882">
      <c r="BJ1882" s="151" t="n">
        <v>631013</v>
      </c>
      <c r="BK1882" s="151" t="inlineStr">
        <is>
          <t>SERVICIO DE OSTIONERIA Y PREPARACION DE OTROS MARISCOS</t>
        </is>
      </c>
      <c r="BL1882" s="151" t="n"/>
      <c r="BM1882" s="151" t="n"/>
      <c r="BN1882" s="151" t="n"/>
      <c r="BO1882" s="151" t="n"/>
      <c r="BP1882" s="151" t="n"/>
      <c r="BQ1882" s="151" t="n"/>
      <c r="BR1882" s="151" t="n"/>
      <c r="BS1882" s="151" t="n"/>
      <c r="BT1882" s="151" t="n"/>
    </row>
    <row r="1883">
      <c r="BJ1883" s="151" t="n">
        <v>631014</v>
      </c>
      <c r="BK1883" s="151" t="inlineStr">
        <is>
          <t>SERVICIO DE LONCHERIAS TAQUERIAS Y TORTERIAS</t>
        </is>
      </c>
      <c r="BL1883" s="151" t="n"/>
      <c r="BM1883" s="151" t="n"/>
      <c r="BN1883" s="151" t="n"/>
      <c r="BO1883" s="151" t="n"/>
      <c r="BP1883" s="151" t="n"/>
      <c r="BQ1883" s="151" t="n"/>
      <c r="BR1883" s="151" t="n"/>
      <c r="BS1883" s="151" t="n"/>
      <c r="BT1883" s="151" t="n"/>
    </row>
    <row r="1884">
      <c r="BJ1884" s="151" t="n">
        <v>631015</v>
      </c>
      <c r="BK1884" s="151" t="inlineStr">
        <is>
          <t>SERVICIO EN MERENDEROS Y CENADURIAS</t>
        </is>
      </c>
      <c r="BL1884" s="151" t="n"/>
      <c r="BM1884" s="151" t="n"/>
      <c r="BN1884" s="151" t="n"/>
      <c r="BO1884" s="151" t="n"/>
      <c r="BP1884" s="151" t="n"/>
      <c r="BQ1884" s="151" t="n"/>
      <c r="BR1884" s="151" t="n"/>
      <c r="BS1884" s="151" t="n"/>
      <c r="BT1884" s="151" t="n"/>
    </row>
    <row r="1885">
      <c r="BJ1885" s="151" t="n">
        <v>631016</v>
      </c>
      <c r="BK1885" s="151" t="inlineStr">
        <is>
          <t>SERVICIO EN NEVERIAS Y REFRESQUERIAS</t>
        </is>
      </c>
      <c r="BL1885" s="151" t="n"/>
      <c r="BM1885" s="151" t="n"/>
      <c r="BN1885" s="151" t="n"/>
      <c r="BO1885" s="151" t="n"/>
      <c r="BP1885" s="151" t="n"/>
      <c r="BQ1885" s="151" t="n"/>
      <c r="BR1885" s="151" t="n"/>
      <c r="BS1885" s="151" t="n"/>
      <c r="BT1885" s="151" t="n"/>
    </row>
    <row r="1886">
      <c r="BJ1886" s="151" t="n">
        <v>631020</v>
      </c>
      <c r="BK1886" s="151" t="inlineStr">
        <is>
          <t>SERVICIO DE CABARETS Y CENTROS NOCTURNOS</t>
        </is>
      </c>
      <c r="BL1886" s="151" t="n"/>
      <c r="BM1886" s="151" t="n"/>
      <c r="BN1886" s="151" t="n"/>
      <c r="BO1886" s="151" t="n"/>
      <c r="BP1886" s="151" t="n"/>
      <c r="BQ1886" s="151" t="n"/>
      <c r="BR1886" s="151" t="n"/>
      <c r="BS1886" s="151" t="n"/>
      <c r="BT1886" s="151" t="n"/>
    </row>
    <row r="1887">
      <c r="BJ1887" s="151" t="n">
        <v>631031</v>
      </c>
      <c r="BK1887" s="151" t="inlineStr">
        <is>
          <t>SERVICIO DE CANTINAS Y BARES</t>
        </is>
      </c>
      <c r="BL1887" s="151" t="n"/>
      <c r="BM1887" s="151" t="n"/>
      <c r="BN1887" s="151" t="n"/>
      <c r="BO1887" s="151" t="n"/>
      <c r="BP1887" s="151" t="n"/>
      <c r="BQ1887" s="151" t="n"/>
      <c r="BR1887" s="151" t="n"/>
      <c r="BS1887" s="151" t="n"/>
      <c r="BT1887" s="151" t="n"/>
    </row>
    <row r="1888">
      <c r="BJ1888" s="151" t="n">
        <v>631032</v>
      </c>
      <c r="BK1888" s="151" t="inlineStr">
        <is>
          <t>SERVICIO DE CERVECERIAS</t>
        </is>
      </c>
      <c r="BL1888" s="151" t="n"/>
      <c r="BM1888" s="151" t="n"/>
      <c r="BN1888" s="151" t="n"/>
      <c r="BO1888" s="151" t="n"/>
      <c r="BP1888" s="151" t="n"/>
      <c r="BQ1888" s="151" t="n"/>
      <c r="BR1888" s="151" t="n"/>
      <c r="BS1888" s="151" t="n"/>
      <c r="BT1888" s="151" t="n"/>
    </row>
    <row r="1889">
      <c r="BJ1889" s="151" t="n">
        <v>631033</v>
      </c>
      <c r="BK1889" s="151" t="inlineStr">
        <is>
          <t>SERVICIO DE PULQUERIAS</t>
        </is>
      </c>
      <c r="BL1889" s="151" t="n"/>
      <c r="BM1889" s="151" t="n"/>
      <c r="BN1889" s="151" t="n"/>
      <c r="BO1889" s="151" t="n"/>
      <c r="BP1889" s="151" t="n"/>
      <c r="BQ1889" s="151" t="n"/>
      <c r="BR1889" s="151" t="n"/>
      <c r="BS1889" s="151" t="n"/>
      <c r="BT1889" s="151" t="n"/>
    </row>
    <row r="1890">
      <c r="BJ1890" s="151" t="n">
        <v>632001</v>
      </c>
      <c r="BK1890" s="151" t="inlineStr">
        <is>
          <t>SERVICIO DE HOTELES</t>
        </is>
      </c>
      <c r="BL1890" s="151" t="n"/>
      <c r="BM1890" s="151" t="n"/>
      <c r="BN1890" s="151" t="n"/>
      <c r="BO1890" s="151" t="n"/>
      <c r="BP1890" s="151" t="n"/>
      <c r="BQ1890" s="151" t="n"/>
      <c r="BR1890" s="151" t="n"/>
      <c r="BS1890" s="151" t="n"/>
      <c r="BT1890" s="151" t="n"/>
    </row>
    <row r="1891">
      <c r="BJ1891" s="151" t="n">
        <v>632002</v>
      </c>
      <c r="BK1891" s="151" t="inlineStr">
        <is>
          <t>SERVICIO DE MOTELES</t>
        </is>
      </c>
      <c r="BL1891" s="151" t="n"/>
      <c r="BM1891" s="151" t="n"/>
      <c r="BN1891" s="151" t="n"/>
      <c r="BO1891" s="151" t="n"/>
      <c r="BP1891" s="151" t="n"/>
      <c r="BQ1891" s="151" t="n"/>
      <c r="BR1891" s="151" t="n"/>
      <c r="BS1891" s="151" t="n"/>
      <c r="BT1891" s="151" t="n"/>
    </row>
    <row r="1892">
      <c r="BJ1892" s="151" t="n">
        <v>632003</v>
      </c>
      <c r="BK1892" s="151" t="inlineStr">
        <is>
          <t>SERVICIO DE CAMPAMENTOS PARA CASAS MOVILES</t>
        </is>
      </c>
      <c r="BL1892" s="151" t="n"/>
      <c r="BM1892" s="151" t="n"/>
      <c r="BN1892" s="151" t="n"/>
      <c r="BO1892" s="151" t="n"/>
      <c r="BP1892" s="151" t="n"/>
      <c r="BQ1892" s="151" t="n"/>
      <c r="BR1892" s="151" t="n"/>
      <c r="BS1892" s="151" t="n"/>
      <c r="BT1892" s="151" t="n"/>
    </row>
    <row r="1893">
      <c r="BJ1893" s="151" t="n">
        <v>632004</v>
      </c>
      <c r="BK1893" s="151" t="inlineStr">
        <is>
          <t>SERVICIO DE HOSPEDAJE EN CASAS Y DEPARTAMENTOS AMUEBLADOS</t>
        </is>
      </c>
      <c r="BL1893" s="151" t="n"/>
      <c r="BM1893" s="151" t="n"/>
      <c r="BN1893" s="151" t="n"/>
      <c r="BO1893" s="151" t="n"/>
      <c r="BP1893" s="151" t="n"/>
      <c r="BQ1893" s="151" t="n"/>
      <c r="BR1893" s="151" t="n"/>
      <c r="BS1893" s="151" t="n"/>
      <c r="BT1893" s="151" t="n"/>
    </row>
    <row r="1894">
      <c r="BJ1894" s="151" t="n">
        <v>632005</v>
      </c>
      <c r="BK1894" s="151" t="inlineStr">
        <is>
          <t>SERVICIO DE ALBERGUES Y CAMPAMENTOS TEMPORAL</t>
        </is>
      </c>
      <c r="BL1894" s="151" t="n"/>
      <c r="BM1894" s="151" t="n"/>
      <c r="BN1894" s="151" t="n"/>
      <c r="BO1894" s="151" t="n"/>
      <c r="BP1894" s="151" t="n"/>
      <c r="BQ1894" s="151" t="n"/>
      <c r="BR1894" s="151" t="n"/>
      <c r="BS1894" s="151" t="n"/>
      <c r="BT1894" s="151" t="n"/>
    </row>
    <row r="1895">
      <c r="BJ1895" s="151" t="n">
        <v>632006</v>
      </c>
      <c r="BK1895" s="151" t="inlineStr">
        <is>
          <t>SERVICIO DE ALQUILER SALONES FIESTA Y CONVENCIO</t>
        </is>
      </c>
      <c r="BL1895" s="151" t="n"/>
      <c r="BM1895" s="151" t="n"/>
      <c r="BN1895" s="151" t="n"/>
      <c r="BO1895" s="151" t="n"/>
      <c r="BP1895" s="151" t="n"/>
      <c r="BQ1895" s="151" t="n"/>
      <c r="BR1895" s="151" t="n"/>
      <c r="BS1895" s="151" t="n"/>
      <c r="BT1895" s="151" t="n"/>
    </row>
    <row r="1896">
      <c r="BJ1896" s="151" t="n">
        <v>711101</v>
      </c>
      <c r="BK1896" s="151" t="inlineStr">
        <is>
          <t>SERVICIO DE TRANSPORTE DE PASAJEROS POR FERROCARRIL Y AUTOVIA</t>
        </is>
      </c>
      <c r="BL1896" s="151" t="n"/>
      <c r="BM1896" s="151" t="n"/>
      <c r="BN1896" s="151" t="n"/>
      <c r="BO1896" s="151" t="n"/>
      <c r="BP1896" s="151" t="n"/>
      <c r="BQ1896" s="151" t="n"/>
      <c r="BR1896" s="151" t="n"/>
      <c r="BS1896" s="151" t="n"/>
      <c r="BT1896" s="151" t="n"/>
    </row>
    <row r="1897">
      <c r="BJ1897" s="151" t="n">
        <v>711102</v>
      </c>
      <c r="BK1897" s="151" t="inlineStr">
        <is>
          <t>SERVICIO DE TRANSPORTE DE CARGA POR FERROCARRIL Y AUTOVIA</t>
        </is>
      </c>
      <c r="BL1897" s="151" t="n"/>
      <c r="BM1897" s="151" t="n"/>
      <c r="BN1897" s="151" t="n"/>
      <c r="BO1897" s="151" t="n"/>
      <c r="BP1897" s="151" t="n"/>
      <c r="BQ1897" s="151" t="n"/>
      <c r="BR1897" s="151" t="n"/>
      <c r="BS1897" s="151" t="n"/>
      <c r="BT1897" s="151" t="n"/>
    </row>
    <row r="1898">
      <c r="BJ1898" s="151" t="n">
        <v>711201</v>
      </c>
      <c r="BK1898" s="151" t="inlineStr">
        <is>
          <t>SERVICIO DE AUTOTRANSPORTE DE MATERIALES DE CONSTRUCCION</t>
        </is>
      </c>
      <c r="BL1898" s="151" t="n"/>
      <c r="BM1898" s="151" t="n"/>
      <c r="BN1898" s="151" t="n"/>
      <c r="BO1898" s="151" t="n"/>
      <c r="BP1898" s="151" t="n"/>
      <c r="BQ1898" s="151" t="n"/>
      <c r="BR1898" s="151" t="n"/>
      <c r="BS1898" s="151" t="n"/>
      <c r="BT1898" s="151" t="n"/>
    </row>
    <row r="1899">
      <c r="BJ1899" s="151" t="n">
        <v>711202</v>
      </c>
      <c r="BK1899" s="151" t="inlineStr">
        <is>
          <t>SERVICIO DE AUTOTRANSPORTE MUDANZAS LOCAL FORANEO</t>
        </is>
      </c>
      <c r="BL1899" s="151" t="n"/>
      <c r="BM1899" s="151" t="n"/>
      <c r="BN1899" s="151" t="n"/>
      <c r="BO1899" s="151" t="n"/>
      <c r="BP1899" s="151" t="n"/>
      <c r="BQ1899" s="151" t="n"/>
      <c r="BR1899" s="151" t="n"/>
      <c r="BS1899" s="151" t="n"/>
      <c r="BT1899" s="151" t="n"/>
    </row>
    <row r="1900">
      <c r="BJ1900" s="151" t="n">
        <v>711203</v>
      </c>
      <c r="BK1900" s="151" t="inlineStr">
        <is>
          <t>SERVICIO DE AUTOTRANSPORTES DE CARGA PRODUCTOS ESPECIFICOS</t>
        </is>
      </c>
      <c r="BL1900" s="151" t="n"/>
      <c r="BM1900" s="151" t="n"/>
      <c r="BN1900" s="151" t="n"/>
      <c r="BO1900" s="151" t="n"/>
      <c r="BP1900" s="151" t="n"/>
      <c r="BQ1900" s="151" t="n"/>
      <c r="BR1900" s="151" t="n"/>
      <c r="BS1900" s="151" t="n"/>
      <c r="BT1900" s="151" t="n"/>
    </row>
    <row r="1901">
      <c r="BJ1901" s="151" t="n">
        <v>711204</v>
      </c>
      <c r="BK1901" s="151" t="inlineStr">
        <is>
          <t>SERVICIO DE AUTOTRANSPORTE EN GENERAL LOCAL Y FORANEO</t>
        </is>
      </c>
      <c r="BL1901" s="151" t="n"/>
      <c r="BM1901" s="151" t="n"/>
      <c r="BN1901" s="151" t="n"/>
      <c r="BO1901" s="151" t="n"/>
      <c r="BP1901" s="151" t="n"/>
      <c r="BQ1901" s="151" t="n"/>
      <c r="BR1901" s="151" t="n"/>
      <c r="BS1901" s="151" t="n"/>
      <c r="BT1901" s="151" t="n"/>
    </row>
    <row r="1902">
      <c r="BJ1902" s="151" t="n">
        <v>711311</v>
      </c>
      <c r="BK1902" s="151" t="inlineStr">
        <is>
          <t>SERVICIO DE TRANSPORTE FORANEO PASAJEROS EN AUTOBUS</t>
        </is>
      </c>
      <c r="BL1902" s="151" t="n"/>
      <c r="BM1902" s="151" t="n"/>
      <c r="BN1902" s="151" t="n"/>
      <c r="BO1902" s="151" t="n"/>
      <c r="BP1902" s="151" t="n"/>
      <c r="BQ1902" s="151" t="n"/>
      <c r="BR1902" s="151" t="n"/>
      <c r="BS1902" s="151" t="n"/>
      <c r="BT1902" s="151" t="n"/>
    </row>
    <row r="1903">
      <c r="BJ1903" s="151" t="n">
        <v>711312</v>
      </c>
      <c r="BK1903" s="151" t="inlineStr">
        <is>
          <t>SERVICIO DE TRANSPORTE URBANO Y SUBURBANO DE PASAJEROS</t>
        </is>
      </c>
      <c r="BL1903" s="151" t="n"/>
      <c r="BM1903" s="151" t="n"/>
      <c r="BN1903" s="151" t="n"/>
      <c r="BO1903" s="151" t="n"/>
      <c r="BP1903" s="151" t="n"/>
      <c r="BQ1903" s="151" t="n"/>
      <c r="BR1903" s="151" t="n"/>
      <c r="BS1903" s="151" t="n"/>
      <c r="BT1903" s="151" t="n"/>
    </row>
    <row r="1904">
      <c r="BJ1904" s="151" t="n">
        <v>711313</v>
      </c>
      <c r="BK1904" s="151" t="inlineStr">
        <is>
          <t>SERVICIO DE TRANSPORTE EN TRANVIAS Y TROLEBUSES</t>
        </is>
      </c>
      <c r="BL1904" s="151" t="n"/>
      <c r="BM1904" s="151" t="n"/>
      <c r="BN1904" s="151" t="n"/>
      <c r="BO1904" s="151" t="n"/>
      <c r="BP1904" s="151" t="n"/>
      <c r="BQ1904" s="151" t="n"/>
      <c r="BR1904" s="151" t="n"/>
      <c r="BS1904" s="151" t="n"/>
      <c r="BT1904" s="151" t="n"/>
    </row>
    <row r="1905">
      <c r="BJ1905" s="151" t="n">
        <v>711314</v>
      </c>
      <c r="BK1905" s="151" t="inlineStr">
        <is>
          <t>SERVICIO DE TRANSPORTE EN METRO</t>
        </is>
      </c>
      <c r="BL1905" s="151" t="n"/>
      <c r="BM1905" s="151" t="n"/>
      <c r="BN1905" s="151" t="n"/>
      <c r="BO1905" s="151" t="n"/>
      <c r="BP1905" s="151" t="n"/>
      <c r="BQ1905" s="151" t="n"/>
      <c r="BR1905" s="151" t="n"/>
      <c r="BS1905" s="151" t="n"/>
      <c r="BT1905" s="151" t="n"/>
    </row>
    <row r="1906">
      <c r="BJ1906" s="151" t="n">
        <v>711315</v>
      </c>
      <c r="BK1906" s="151" t="inlineStr">
        <is>
          <t>SERVICIO DE TRANSPORTE EN AUTOMOVIL DE RULETEO</t>
        </is>
      </c>
      <c r="BL1906" s="151" t="n"/>
      <c r="BM1906" s="151" t="n"/>
      <c r="BN1906" s="151" t="n"/>
      <c r="BO1906" s="151" t="n"/>
      <c r="BP1906" s="151" t="n"/>
      <c r="BQ1906" s="151" t="n"/>
      <c r="BR1906" s="151" t="n"/>
      <c r="BS1906" s="151" t="n"/>
      <c r="BT1906" s="151" t="n"/>
    </row>
    <row r="1907">
      <c r="BJ1907" s="151" t="n">
        <v>711316</v>
      </c>
      <c r="BK1907" s="151" t="inlineStr">
        <is>
          <t>SERVICIO DE TRANSPORTE EN AUTOMOVIL DE RUTA FIJA</t>
        </is>
      </c>
      <c r="BL1907" s="151" t="n"/>
      <c r="BM1907" s="151" t="n"/>
      <c r="BN1907" s="151" t="n"/>
      <c r="BO1907" s="151" t="n"/>
      <c r="BP1907" s="151" t="n"/>
      <c r="BQ1907" s="151" t="n"/>
      <c r="BR1907" s="151" t="n"/>
      <c r="BS1907" s="151" t="n"/>
      <c r="BT1907" s="151" t="n"/>
    </row>
    <row r="1908">
      <c r="BJ1908" s="151" t="n">
        <v>711317</v>
      </c>
      <c r="BK1908" s="151" t="inlineStr">
        <is>
          <t>SERVICIO DE TRANSPORTE EN AUTOMOVIL SITIO Y TURISMO</t>
        </is>
      </c>
      <c r="BL1908" s="151" t="n"/>
      <c r="BM1908" s="151" t="n"/>
      <c r="BN1908" s="151" t="n"/>
      <c r="BO1908" s="151" t="n"/>
      <c r="BP1908" s="151" t="n"/>
      <c r="BQ1908" s="151" t="n"/>
      <c r="BR1908" s="151" t="n"/>
      <c r="BS1908" s="151" t="n"/>
      <c r="BT1908" s="151" t="n"/>
    </row>
    <row r="1909">
      <c r="BJ1909" s="151" t="n">
        <v>711318</v>
      </c>
      <c r="BK1909" s="151" t="inlineStr">
        <is>
          <t>SERVICIO DE AUTOTRANSPORTE ESCOLAR TURISTICO</t>
        </is>
      </c>
      <c r="BL1909" s="151" t="n"/>
      <c r="BM1909" s="151" t="n"/>
      <c r="BN1909" s="151" t="n"/>
      <c r="BO1909" s="151" t="n"/>
      <c r="BP1909" s="151" t="n"/>
      <c r="BQ1909" s="151" t="n"/>
      <c r="BR1909" s="151" t="n"/>
      <c r="BS1909" s="151" t="n"/>
      <c r="BT1909" s="151" t="n"/>
    </row>
    <row r="1910">
      <c r="BJ1910" s="151" t="n">
        <v>711319</v>
      </c>
      <c r="BK1910" s="151" t="inlineStr">
        <is>
          <t>SERVICIO DE TRANSPORTE DE PASAJEROS Y VEHICULOS DE  TRANSPORTE ANIMAL</t>
        </is>
      </c>
      <c r="BL1910" s="151" t="n"/>
      <c r="BM1910" s="151" t="n"/>
      <c r="BN1910" s="151" t="n"/>
      <c r="BO1910" s="151" t="n"/>
      <c r="BP1910" s="151" t="n"/>
      <c r="BQ1910" s="151" t="n"/>
      <c r="BR1910" s="151" t="n"/>
      <c r="BS1910" s="151" t="n"/>
      <c r="BT1910" s="151" t="n"/>
    </row>
    <row r="1911">
      <c r="BJ1911" s="151" t="n">
        <v>711320</v>
      </c>
      <c r="BK1911" s="151" t="inlineStr">
        <is>
          <t>SERVICIO DE TRANSPORTE POR DUCTOS</t>
        </is>
      </c>
      <c r="BL1911" s="151" t="n"/>
      <c r="BM1911" s="151" t="n"/>
      <c r="BN1911" s="151" t="n"/>
      <c r="BO1911" s="151" t="n"/>
      <c r="BP1911" s="151" t="n"/>
      <c r="BQ1911" s="151" t="n"/>
      <c r="BR1911" s="151" t="n"/>
      <c r="BS1911" s="151" t="n"/>
      <c r="BT1911" s="151" t="n"/>
    </row>
    <row r="1912">
      <c r="BJ1912" s="151" t="n">
        <v>711401</v>
      </c>
      <c r="BK1912" s="151" t="inlineStr">
        <is>
          <t>SERVICIO DE ADMINISTRACION DE CAMIONES PARA PASAJEROS Y SERVICIOS AUXILIARES</t>
        </is>
      </c>
      <c r="BL1912" s="151" t="n"/>
      <c r="BM1912" s="151" t="n"/>
      <c r="BN1912" s="151" t="n"/>
      <c r="BO1912" s="151" t="n"/>
      <c r="BP1912" s="151" t="n"/>
      <c r="BQ1912" s="151" t="n"/>
      <c r="BR1912" s="151" t="n"/>
      <c r="BS1912" s="151" t="n"/>
      <c r="BT1912" s="151" t="n"/>
    </row>
    <row r="1913">
      <c r="BJ1913" s="151" t="n">
        <v>711402</v>
      </c>
      <c r="BK1913" s="151" t="inlineStr">
        <is>
          <t>SERVICIO DE TERMINALES PARA AUTOTRANSPORTE DE CARGA</t>
        </is>
      </c>
      <c r="BL1913" s="151" t="n"/>
      <c r="BM1913" s="151" t="n"/>
      <c r="BN1913" s="151" t="n"/>
      <c r="BO1913" s="151" t="n"/>
      <c r="BP1913" s="151" t="n"/>
      <c r="BQ1913" s="151" t="n"/>
      <c r="BR1913" s="151" t="n"/>
      <c r="BS1913" s="151" t="n"/>
      <c r="BT1913" s="151" t="n"/>
    </row>
    <row r="1914">
      <c r="BJ1914" s="151" t="n">
        <v>711403</v>
      </c>
      <c r="BK1914" s="151" t="inlineStr">
        <is>
          <t>SERVICIO Y ADMINISTRACION DE CAMINOS Y PUENTES AUXILIARES</t>
        </is>
      </c>
      <c r="BL1914" s="151" t="n"/>
      <c r="BM1914" s="151" t="n"/>
      <c r="BN1914" s="151" t="n"/>
      <c r="BO1914" s="151" t="n"/>
      <c r="BP1914" s="151" t="n"/>
      <c r="BQ1914" s="151" t="n"/>
      <c r="BR1914" s="151" t="n"/>
      <c r="BS1914" s="151" t="n"/>
      <c r="BT1914" s="151" t="n"/>
    </row>
    <row r="1915">
      <c r="BJ1915" s="151" t="n">
        <v>711404</v>
      </c>
      <c r="BK1915" s="151" t="inlineStr">
        <is>
          <t>SERVICIO DE ESTACIONAMIENTOS PARA VEHICULOS INCLUYE PENSION</t>
        </is>
      </c>
      <c r="BL1915" s="151" t="n"/>
      <c r="BM1915" s="151" t="n"/>
      <c r="BN1915" s="151" t="n"/>
      <c r="BO1915" s="151" t="n"/>
      <c r="BP1915" s="151" t="n"/>
      <c r="BQ1915" s="151" t="n"/>
      <c r="BR1915" s="151" t="n"/>
      <c r="BS1915" s="151" t="n"/>
      <c r="BT1915" s="151" t="n"/>
    </row>
    <row r="1916">
      <c r="BJ1916" s="151" t="n">
        <v>711405</v>
      </c>
      <c r="BK1916" s="151" t="inlineStr">
        <is>
          <t>SERVICIO DE ALQUILER DE EQUIPO TERRESTRE PARA EXPORTAR AUTOS</t>
        </is>
      </c>
      <c r="BL1916" s="151" t="n"/>
      <c r="BM1916" s="151" t="n"/>
      <c r="BN1916" s="151" t="n"/>
      <c r="BO1916" s="151" t="n"/>
      <c r="BP1916" s="151" t="n"/>
      <c r="BQ1916" s="151" t="n"/>
      <c r="BR1916" s="151" t="n"/>
      <c r="BS1916" s="151" t="n"/>
      <c r="BT1916" s="151" t="n"/>
    </row>
    <row r="1917">
      <c r="BJ1917" s="151" t="n">
        <v>711406</v>
      </c>
      <c r="BK1917" s="151" t="inlineStr">
        <is>
          <t>SERVICIOS DE GRUA PARA VEHICULOS</t>
        </is>
      </c>
      <c r="BL1917" s="151" t="n"/>
      <c r="BM1917" s="151" t="n"/>
      <c r="BN1917" s="151" t="n"/>
      <c r="BO1917" s="151" t="n"/>
      <c r="BP1917" s="151" t="n"/>
      <c r="BQ1917" s="151" t="n"/>
      <c r="BR1917" s="151" t="n"/>
      <c r="BS1917" s="151" t="n"/>
      <c r="BT1917" s="151" t="n"/>
    </row>
    <row r="1918">
      <c r="BJ1918" s="151" t="n">
        <v>712111</v>
      </c>
      <c r="BK1918" s="151" t="inlineStr">
        <is>
          <t>SERVICIO DE TRANSPORTE MARITIMO DE ALTURA</t>
        </is>
      </c>
      <c r="BL1918" s="151" t="n"/>
      <c r="BM1918" s="151" t="n"/>
      <c r="BN1918" s="151" t="n"/>
      <c r="BO1918" s="151" t="n"/>
      <c r="BP1918" s="151" t="n"/>
      <c r="BQ1918" s="151" t="n"/>
      <c r="BR1918" s="151" t="n"/>
      <c r="BS1918" s="151" t="n"/>
      <c r="BT1918" s="151" t="n"/>
    </row>
    <row r="1919">
      <c r="BJ1919" s="151" t="n">
        <v>712112</v>
      </c>
      <c r="BK1919" s="151" t="inlineStr">
        <is>
          <t>SERVICIO DE TRANSPORTE MARITIMO DE CABOTAJE</t>
        </is>
      </c>
      <c r="BL1919" s="151" t="n"/>
      <c r="BM1919" s="151" t="n"/>
      <c r="BN1919" s="151" t="n"/>
      <c r="BO1919" s="151" t="n"/>
      <c r="BP1919" s="151" t="n"/>
      <c r="BQ1919" s="151" t="n"/>
      <c r="BR1919" s="151" t="n"/>
      <c r="BS1919" s="151" t="n"/>
      <c r="BT1919" s="151" t="n"/>
    </row>
    <row r="1920">
      <c r="BJ1920" s="151" t="n">
        <v>712113</v>
      </c>
      <c r="BK1920" s="151" t="inlineStr">
        <is>
          <t>SERVICIO DE REMOLQUE EN ALTAMAR Y COSTERO</t>
        </is>
      </c>
      <c r="BL1920" s="151" t="n"/>
      <c r="BM1920" s="151" t="n"/>
      <c r="BN1920" s="151" t="n"/>
      <c r="BO1920" s="151" t="n"/>
      <c r="BP1920" s="151" t="n"/>
      <c r="BQ1920" s="151" t="n"/>
      <c r="BR1920" s="151" t="n"/>
      <c r="BS1920" s="151" t="n"/>
      <c r="BT1920" s="151" t="n"/>
    </row>
    <row r="1921">
      <c r="BJ1921" s="151" t="n">
        <v>712121</v>
      </c>
      <c r="BK1921" s="151" t="inlineStr">
        <is>
          <t>SERVICIO DE TRANSPORTE FLUVIAL Y LACUSTRE</t>
        </is>
      </c>
      <c r="BL1921" s="151" t="n"/>
      <c r="BM1921" s="151" t="n"/>
      <c r="BN1921" s="151" t="n"/>
      <c r="BO1921" s="151" t="n"/>
      <c r="BP1921" s="151" t="n"/>
      <c r="BQ1921" s="151" t="n"/>
      <c r="BR1921" s="151" t="n"/>
      <c r="BS1921" s="151" t="n"/>
      <c r="BT1921" s="151" t="n"/>
    </row>
    <row r="1922">
      <c r="BJ1922" s="151" t="n">
        <v>712122</v>
      </c>
      <c r="BK1922" s="151" t="inlineStr">
        <is>
          <t>SERVICIO DE TRANSPORTE EN EL INTERIOR DE PUERTOS</t>
        </is>
      </c>
      <c r="BL1922" s="151" t="n"/>
      <c r="BM1922" s="151" t="n"/>
      <c r="BN1922" s="151" t="n"/>
      <c r="BO1922" s="151" t="n"/>
      <c r="BP1922" s="151" t="n"/>
      <c r="BQ1922" s="151" t="n"/>
      <c r="BR1922" s="151" t="n"/>
      <c r="BS1922" s="151" t="n"/>
      <c r="BT1922" s="151" t="n"/>
    </row>
    <row r="1923">
      <c r="BJ1923" s="151" t="n">
        <v>712130</v>
      </c>
      <c r="BK1923" s="151" t="inlineStr">
        <is>
          <t>SERVICIO DE ALQUILER DE BARCOS CON O SIN CONDUCTOR</t>
        </is>
      </c>
      <c r="BL1923" s="151" t="n"/>
      <c r="BM1923" s="151" t="n"/>
      <c r="BN1923" s="151" t="n"/>
      <c r="BO1923" s="151" t="n"/>
      <c r="BP1923" s="151" t="n"/>
      <c r="BQ1923" s="151" t="n"/>
      <c r="BR1923" s="151" t="n"/>
      <c r="BS1923" s="151" t="n"/>
      <c r="BT1923" s="151" t="n"/>
    </row>
    <row r="1924">
      <c r="BJ1924" s="151" t="n">
        <v>712201</v>
      </c>
      <c r="BK1924" s="151" t="inlineStr">
        <is>
          <t>SERVICIOS DE CARGA Y DESCARGA VINCULADOS AL TRANSPORTE DE AGUA</t>
        </is>
      </c>
      <c r="BL1924" s="151" t="n"/>
      <c r="BM1924" s="151" t="n"/>
      <c r="BN1924" s="151" t="n"/>
      <c r="BO1924" s="151" t="n"/>
      <c r="BP1924" s="151" t="n"/>
      <c r="BQ1924" s="151" t="n"/>
      <c r="BR1924" s="151" t="n"/>
      <c r="BS1924" s="151" t="n"/>
      <c r="BT1924" s="151" t="n"/>
    </row>
    <row r="1925">
      <c r="BJ1925" s="151" t="n">
        <v>712202</v>
      </c>
      <c r="BK1925" s="151" t="inlineStr">
        <is>
          <t>OTROS SERVICIOS VINCULADOS CON TRANSPORTE POR AGUA</t>
        </is>
      </c>
      <c r="BL1925" s="151" t="n"/>
      <c r="BM1925" s="151" t="n"/>
      <c r="BN1925" s="151" t="n"/>
      <c r="BO1925" s="151" t="n"/>
      <c r="BP1925" s="151" t="n"/>
      <c r="BQ1925" s="151" t="n"/>
      <c r="BR1925" s="151" t="n"/>
      <c r="BS1925" s="151" t="n"/>
      <c r="BT1925" s="151" t="n"/>
    </row>
    <row r="1926">
      <c r="BJ1926" s="151" t="n">
        <v>712203</v>
      </c>
      <c r="BK1926" s="151" t="inlineStr">
        <is>
          <t>ADMINISTRACION DE PUERTOS MARITIMOS LACUSTRES Y FLUVIALES</t>
        </is>
      </c>
      <c r="BL1926" s="151" t="n"/>
      <c r="BM1926" s="151" t="n"/>
      <c r="BN1926" s="151" t="n"/>
      <c r="BO1926" s="151" t="n"/>
      <c r="BP1926" s="151" t="n"/>
      <c r="BQ1926" s="151" t="n"/>
      <c r="BR1926" s="151" t="n"/>
      <c r="BS1926" s="151" t="n"/>
      <c r="BT1926" s="151" t="n"/>
    </row>
    <row r="1927">
      <c r="BJ1927" s="151" t="n">
        <v>713101</v>
      </c>
      <c r="BK1927" s="151" t="inlineStr">
        <is>
          <t>SERVICIO DE TRANSPORTE EN AERONAVES MATRICULA NACIONAL</t>
        </is>
      </c>
      <c r="BL1927" s="151" t="n"/>
      <c r="BM1927" s="151" t="n"/>
      <c r="BN1927" s="151" t="n"/>
      <c r="BO1927" s="151" t="n"/>
      <c r="BP1927" s="151" t="n"/>
      <c r="BQ1927" s="151" t="n"/>
      <c r="BR1927" s="151" t="n"/>
      <c r="BS1927" s="151" t="n"/>
      <c r="BT1927" s="151" t="n"/>
    </row>
    <row r="1928">
      <c r="BJ1928" s="151" t="n">
        <v>713102</v>
      </c>
      <c r="BK1928" s="151" t="inlineStr">
        <is>
          <t>SERVICIOS RELACIONADOS CON EL  TRANSPORTE DE  AERONAVES MATRICULA EXTRANJERA</t>
        </is>
      </c>
      <c r="BL1928" s="151" t="n"/>
      <c r="BM1928" s="151" t="n"/>
      <c r="BN1928" s="151" t="n"/>
      <c r="BO1928" s="151" t="n"/>
      <c r="BP1928" s="151" t="n"/>
      <c r="BQ1928" s="151" t="n"/>
      <c r="BR1928" s="151" t="n"/>
      <c r="BS1928" s="151" t="n"/>
      <c r="BT1928" s="151" t="n"/>
    </row>
    <row r="1929">
      <c r="BJ1929" s="151" t="n">
        <v>713103</v>
      </c>
      <c r="BK1929" s="151" t="inlineStr">
        <is>
          <t>SERVICIO DE ALQUILER DE AERONAVES CON O SIN CONDUCTOR</t>
        </is>
      </c>
      <c r="BL1929" s="151" t="n"/>
      <c r="BM1929" s="151" t="n"/>
      <c r="BN1929" s="151" t="n"/>
      <c r="BO1929" s="151" t="n"/>
      <c r="BP1929" s="151" t="n"/>
      <c r="BQ1929" s="151" t="n"/>
      <c r="BR1929" s="151" t="n"/>
      <c r="BS1929" s="151" t="n"/>
      <c r="BT1929" s="151" t="n"/>
    </row>
    <row r="1930">
      <c r="BJ1930" s="151" t="n">
        <v>713201</v>
      </c>
      <c r="BK1930" s="151" t="inlineStr">
        <is>
          <t>SERVICIOS CONEXOS AL TRANSPORTE AEREO</t>
        </is>
      </c>
      <c r="BL1930" s="151" t="n"/>
      <c r="BM1930" s="151" t="n"/>
      <c r="BN1930" s="151" t="n"/>
      <c r="BO1930" s="151" t="n"/>
      <c r="BP1930" s="151" t="n"/>
      <c r="BQ1930" s="151" t="n"/>
      <c r="BR1930" s="151" t="n"/>
      <c r="BS1930" s="151" t="n"/>
      <c r="BT1930" s="151" t="n"/>
    </row>
    <row r="1931">
      <c r="BJ1931" s="151" t="n">
        <v>713202</v>
      </c>
      <c r="BK1931" s="151" t="inlineStr">
        <is>
          <t>SERVICIOS DE ADMINISTRACION DE AEROPUERTOS Y HELIPUERTOS</t>
        </is>
      </c>
      <c r="BL1931" s="151" t="n"/>
      <c r="BM1931" s="151" t="n"/>
      <c r="BN1931" s="151" t="n"/>
      <c r="BO1931" s="151" t="n"/>
      <c r="BP1931" s="151" t="n"/>
      <c r="BQ1931" s="151" t="n"/>
      <c r="BR1931" s="151" t="n"/>
      <c r="BS1931" s="151" t="n"/>
      <c r="BT1931" s="151" t="n"/>
    </row>
    <row r="1932">
      <c r="BJ1932" s="151" t="n">
        <v>719001</v>
      </c>
      <c r="BK1932" s="151" t="inlineStr">
        <is>
          <t>SERVICIOS DE REPRESENTACION VENTAS DE BOLETOS Y AGENCIAS DE VIAJES</t>
        </is>
      </c>
      <c r="BL1932" s="151" t="n"/>
      <c r="BM1932" s="151" t="n"/>
      <c r="BN1932" s="151" t="n"/>
      <c r="BO1932" s="151" t="n"/>
      <c r="BP1932" s="151" t="n"/>
      <c r="BQ1932" s="151" t="n"/>
      <c r="BR1932" s="151" t="n"/>
      <c r="BS1932" s="151" t="n"/>
      <c r="BT1932" s="151" t="n"/>
    </row>
    <row r="1933">
      <c r="BJ1933" s="151" t="n">
        <v>719002</v>
      </c>
      <c r="BK1933" s="151" t="inlineStr">
        <is>
          <t>SERVICIO DE REPRESENTACION Y GESTION ADUANAL</t>
        </is>
      </c>
      <c r="BL1933" s="151" t="n"/>
      <c r="BM1933" s="151" t="n"/>
      <c r="BN1933" s="151" t="n"/>
      <c r="BO1933" s="151" t="n"/>
      <c r="BP1933" s="151" t="n"/>
      <c r="BQ1933" s="151" t="n"/>
      <c r="BR1933" s="151" t="n"/>
      <c r="BS1933" s="151" t="n"/>
      <c r="BT1933" s="151" t="n"/>
    </row>
    <row r="1934">
      <c r="BJ1934" s="151" t="n">
        <v>719003</v>
      </c>
      <c r="BK1934" s="151" t="inlineStr">
        <is>
          <t>SERVICIO DE BASCULA CON FINES DE TRANSPORTE</t>
        </is>
      </c>
      <c r="BL1934" s="151" t="n"/>
      <c r="BM1934" s="151" t="n"/>
      <c r="BN1934" s="151" t="n"/>
      <c r="BO1934" s="151" t="n"/>
      <c r="BP1934" s="151" t="n"/>
      <c r="BQ1934" s="151" t="n"/>
      <c r="BR1934" s="151" t="n"/>
      <c r="BS1934" s="151" t="n"/>
      <c r="BT1934" s="151" t="n"/>
    </row>
    <row r="1935">
      <c r="BJ1935" s="151" t="n">
        <v>719004</v>
      </c>
      <c r="BK1935" s="151" t="inlineStr">
        <is>
          <t>OTROS SERVICIOS RELACIONADOS CON EL TRANSPORTE NO ESPECIFICADOS</t>
        </is>
      </c>
      <c r="BL1935" s="151" t="n"/>
      <c r="BM1935" s="151" t="n"/>
      <c r="BN1935" s="151" t="n"/>
      <c r="BO1935" s="151" t="n"/>
      <c r="BP1935" s="151" t="n"/>
      <c r="BQ1935" s="151" t="n"/>
      <c r="BR1935" s="151" t="n"/>
      <c r="BS1935" s="151" t="n"/>
      <c r="BT1935" s="151" t="n"/>
    </row>
    <row r="1936">
      <c r="BJ1936" s="151" t="n">
        <v>719005</v>
      </c>
      <c r="BK1936" s="151" t="inlineStr">
        <is>
          <t>SERVICIOS DE ALMACENAMIENTO Y REFRIGERACION</t>
        </is>
      </c>
      <c r="BL1936" s="151" t="n"/>
      <c r="BM1936" s="151" t="n"/>
      <c r="BN1936" s="151" t="n"/>
      <c r="BO1936" s="151" t="n"/>
      <c r="BP1936" s="151" t="n"/>
      <c r="BQ1936" s="151" t="n"/>
      <c r="BR1936" s="151" t="n"/>
      <c r="BS1936" s="151" t="n"/>
      <c r="BT1936" s="151" t="n"/>
    </row>
    <row r="1937">
      <c r="BJ1937" s="151" t="n">
        <v>720001</v>
      </c>
      <c r="BK1937" s="151" t="inlineStr">
        <is>
          <t>SERVICIOS POSTALES</t>
        </is>
      </c>
      <c r="BL1937" s="151" t="n"/>
      <c r="BM1937" s="151" t="n"/>
      <c r="BN1937" s="151" t="n"/>
      <c r="BO1937" s="151" t="n"/>
      <c r="BP1937" s="151" t="n"/>
      <c r="BQ1937" s="151" t="n"/>
      <c r="BR1937" s="151" t="n"/>
      <c r="BS1937" s="151" t="n"/>
      <c r="BT1937" s="151" t="n"/>
    </row>
    <row r="1938">
      <c r="BJ1938" s="151" t="n">
        <v>720002</v>
      </c>
      <c r="BK1938" s="151" t="inlineStr">
        <is>
          <t>SERVICIOS TELEFONICOS</t>
        </is>
      </c>
      <c r="BL1938" s="151" t="n"/>
      <c r="BM1938" s="151" t="n"/>
      <c r="BN1938" s="151" t="n"/>
      <c r="BO1938" s="151" t="n"/>
      <c r="BP1938" s="151" t="n"/>
      <c r="BQ1938" s="151" t="n"/>
      <c r="BR1938" s="151" t="n"/>
      <c r="BS1938" s="151" t="n"/>
      <c r="BT1938" s="151" t="n"/>
    </row>
    <row r="1939">
      <c r="BJ1939" s="151" t="n">
        <v>720003</v>
      </c>
      <c r="BK1939" s="151" t="inlineStr">
        <is>
          <t>SERVICIOS TELEGRAFICOS</t>
        </is>
      </c>
      <c r="BL1939" s="151" t="n"/>
      <c r="BM1939" s="151" t="n"/>
      <c r="BN1939" s="151" t="n"/>
      <c r="BO1939" s="151" t="n"/>
      <c r="BP1939" s="151" t="n"/>
      <c r="BQ1939" s="151" t="n"/>
      <c r="BR1939" s="151" t="n"/>
      <c r="BS1939" s="151" t="n"/>
      <c r="BT1939" s="151" t="n"/>
    </row>
    <row r="1940">
      <c r="BJ1940" s="151" t="n">
        <v>720004</v>
      </c>
      <c r="BK1940" s="151" t="inlineStr">
        <is>
          <t>OTROS SERVICIOS DE TELECOMUNICACIONES</t>
        </is>
      </c>
      <c r="BL1940" s="151" t="n"/>
      <c r="BM1940" s="151" t="n"/>
      <c r="BN1940" s="151" t="n"/>
      <c r="BO1940" s="151" t="n"/>
      <c r="BP1940" s="151" t="n"/>
      <c r="BQ1940" s="151" t="n"/>
      <c r="BR1940" s="151" t="n"/>
      <c r="BS1940" s="151" t="n"/>
      <c r="BT1940" s="151" t="n"/>
    </row>
    <row r="1941">
      <c r="BJ1941" s="151" t="n">
        <v>811010</v>
      </c>
      <c r="BK1941" s="151" t="inlineStr">
        <is>
          <t>SERVICIOS DE LA BANCA CENTRAL</t>
        </is>
      </c>
      <c r="BL1941" s="151" t="n"/>
      <c r="BM1941" s="151" t="n"/>
      <c r="BN1941" s="151" t="n"/>
      <c r="BO1941" s="151" t="n"/>
      <c r="BP1941" s="151" t="n"/>
      <c r="BQ1941" s="151" t="n"/>
      <c r="BR1941" s="151" t="n"/>
      <c r="BS1941" s="151" t="n"/>
      <c r="BT1941" s="151" t="n"/>
    </row>
    <row r="1942">
      <c r="BJ1942" s="151" t="n">
        <v>811021</v>
      </c>
      <c r="BK1942" s="151" t="inlineStr">
        <is>
          <t>SERVICIOS DE LA BANCA NACIONAL DE INVERSION</t>
        </is>
      </c>
      <c r="BL1942" s="151" t="n"/>
      <c r="BM1942" s="151" t="n"/>
      <c r="BN1942" s="151" t="n"/>
      <c r="BO1942" s="151" t="n"/>
      <c r="BP1942" s="151" t="n"/>
      <c r="BQ1942" s="151" t="n"/>
      <c r="BR1942" s="151" t="n"/>
      <c r="BS1942" s="151" t="n"/>
      <c r="BT1942" s="151" t="n"/>
    </row>
    <row r="1943">
      <c r="BJ1943" s="151" t="n">
        <v>811022</v>
      </c>
      <c r="BK1943" s="151" t="inlineStr">
        <is>
          <t>SERVICIOS DE LA BANCA NACIONAL RURAL</t>
        </is>
      </c>
      <c r="BL1943" s="151" t="n"/>
      <c r="BM1943" s="151" t="n"/>
      <c r="BN1943" s="151" t="n"/>
      <c r="BO1943" s="151" t="n"/>
      <c r="BP1943" s="151" t="n"/>
      <c r="BQ1943" s="151" t="n"/>
      <c r="BR1943" s="151" t="n"/>
      <c r="BS1943" s="151" t="n"/>
      <c r="BT1943" s="151" t="n"/>
    </row>
    <row r="1944">
      <c r="BJ1944" s="151" t="n">
        <v>811023</v>
      </c>
      <c r="BK1944" s="151" t="inlineStr">
        <is>
          <t>SERVICIOS DE OTRAS INSTITUCIONES DE CREDITO</t>
        </is>
      </c>
      <c r="BL1944" s="151" t="n"/>
      <c r="BM1944" s="151" t="n"/>
      <c r="BN1944" s="151" t="n"/>
      <c r="BO1944" s="151" t="n"/>
      <c r="BP1944" s="151" t="n"/>
      <c r="BQ1944" s="151" t="n"/>
      <c r="BR1944" s="151" t="n"/>
      <c r="BS1944" s="151" t="n"/>
      <c r="BT1944" s="151" t="n"/>
    </row>
    <row r="1945">
      <c r="BJ1945" s="151" t="n">
        <v>811024</v>
      </c>
      <c r="BK1945" s="151" t="inlineStr">
        <is>
          <t>SERVICIOS DE FONDOS Y FIDEICOMISOS FINANCIEROS</t>
        </is>
      </c>
      <c r="BL1945" s="151" t="n"/>
      <c r="BM1945" s="151" t="n"/>
      <c r="BN1945" s="151" t="n"/>
      <c r="BO1945" s="151" t="n"/>
      <c r="BP1945" s="151" t="n"/>
      <c r="BQ1945" s="151" t="n"/>
      <c r="BR1945" s="151" t="n"/>
      <c r="BS1945" s="151" t="n"/>
      <c r="BT1945" s="151" t="n"/>
    </row>
    <row r="1946">
      <c r="BJ1946" s="151" t="n">
        <v>811031</v>
      </c>
      <c r="BK1946" s="151" t="inlineStr">
        <is>
          <t>SERVICIOS DE BANCA MULTIPLE</t>
        </is>
      </c>
      <c r="BL1946" s="151" t="n"/>
      <c r="BM1946" s="151" t="n"/>
      <c r="BN1946" s="151" t="n"/>
      <c r="BO1946" s="151" t="n"/>
      <c r="BP1946" s="151" t="n"/>
      <c r="BQ1946" s="151" t="n"/>
      <c r="BR1946" s="151" t="n"/>
      <c r="BS1946" s="151" t="n"/>
      <c r="BT1946" s="151" t="n"/>
    </row>
    <row r="1947">
      <c r="BJ1947" s="151" t="n">
        <v>811032</v>
      </c>
      <c r="BK1947" s="151" t="inlineStr">
        <is>
          <t>SERVICIOS DE BANCA ESPECIALIZADA</t>
        </is>
      </c>
      <c r="BL1947" s="151" t="n"/>
      <c r="BM1947" s="151" t="n"/>
      <c r="BN1947" s="151" t="n"/>
      <c r="BO1947" s="151" t="n"/>
      <c r="BP1947" s="151" t="n"/>
      <c r="BQ1947" s="151" t="n"/>
      <c r="BR1947" s="151" t="n"/>
      <c r="BS1947" s="151" t="n"/>
      <c r="BT1947" s="151" t="n"/>
    </row>
    <row r="1948">
      <c r="BJ1948" s="151" t="n">
        <v>811041</v>
      </c>
      <c r="BK1948" s="151" t="inlineStr">
        <is>
          <t>SERVICIOS DE UNIONES DE CREDITO</t>
        </is>
      </c>
      <c r="BL1948" s="151" t="n"/>
      <c r="BM1948" s="151" t="n"/>
      <c r="BN1948" s="151" t="n"/>
      <c r="BO1948" s="151" t="n"/>
      <c r="BP1948" s="151" t="n"/>
      <c r="BQ1948" s="151" t="n"/>
      <c r="BR1948" s="151" t="n"/>
      <c r="BS1948" s="151" t="n"/>
      <c r="BT1948" s="151" t="n"/>
    </row>
    <row r="1949">
      <c r="BJ1949" s="151" t="n">
        <v>811042</v>
      </c>
      <c r="BK1949" s="151" t="inlineStr">
        <is>
          <t>SERVICIOS DE LOS ALMACENES GENERALES DE DEPOSITO</t>
        </is>
      </c>
      <c r="BL1949" s="151" t="n"/>
      <c r="BM1949" s="151" t="n"/>
      <c r="BN1949" s="151" t="n"/>
      <c r="BO1949" s="151" t="n"/>
      <c r="BP1949" s="151" t="n"/>
      <c r="BQ1949" s="151" t="n"/>
      <c r="BR1949" s="151" t="n"/>
      <c r="BS1949" s="151" t="n"/>
      <c r="BT1949" s="151" t="n"/>
    </row>
    <row r="1950">
      <c r="BJ1950" s="151" t="n">
        <v>811043</v>
      </c>
      <c r="BK1950" s="151" t="inlineStr">
        <is>
          <t>SERVICIOS DE SOCIEDADES DE INVERSION</t>
        </is>
      </c>
      <c r="BL1950" s="151" t="n"/>
      <c r="BM1950" s="151" t="n"/>
      <c r="BN1950" s="151" t="n"/>
      <c r="BO1950" s="151" t="n"/>
      <c r="BP1950" s="151" t="n"/>
      <c r="BQ1950" s="151" t="n"/>
      <c r="BR1950" s="151" t="n"/>
      <c r="BS1950" s="151" t="n"/>
      <c r="BT1950" s="151" t="n"/>
    </row>
    <row r="1951">
      <c r="BJ1951" s="151" t="n">
        <v>811044</v>
      </c>
      <c r="BK1951" s="151" t="inlineStr">
        <is>
          <t>OTROS SERVICIOS FINANCIEROS NO BANCARIOS</t>
        </is>
      </c>
      <c r="BL1951" s="151" t="n"/>
      <c r="BM1951" s="151" t="n"/>
      <c r="BN1951" s="151" t="n"/>
      <c r="BO1951" s="151" t="n"/>
      <c r="BP1951" s="151" t="n"/>
      <c r="BQ1951" s="151" t="n"/>
      <c r="BR1951" s="151" t="n"/>
      <c r="BS1951" s="151" t="n"/>
      <c r="BT1951" s="151" t="n"/>
    </row>
    <row r="1952">
      <c r="BJ1952" s="151" t="n">
        <v>812001</v>
      </c>
      <c r="BK1952" s="151" t="inlineStr">
        <is>
          <t>SERVICIO DE BOLSAS DE VALORES</t>
        </is>
      </c>
      <c r="BL1952" s="151" t="n"/>
      <c r="BM1952" s="151" t="n"/>
      <c r="BN1952" s="151" t="n"/>
      <c r="BO1952" s="151" t="n"/>
      <c r="BP1952" s="151" t="n"/>
      <c r="BQ1952" s="151" t="n"/>
      <c r="BR1952" s="151" t="n"/>
      <c r="BS1952" s="151" t="n"/>
      <c r="BT1952" s="151" t="n"/>
    </row>
    <row r="1953">
      <c r="BJ1953" s="151" t="n">
        <v>812002</v>
      </c>
      <c r="BK1953" s="151" t="inlineStr">
        <is>
          <t>SERVICIO DE ASESORIA EN INVERSIONES Y VALORES</t>
        </is>
      </c>
      <c r="BL1953" s="151" t="n"/>
      <c r="BM1953" s="151" t="n"/>
      <c r="BN1953" s="151" t="n"/>
      <c r="BO1953" s="151" t="n"/>
      <c r="BP1953" s="151" t="n"/>
      <c r="BQ1953" s="151" t="n"/>
      <c r="BR1953" s="151" t="n"/>
      <c r="BS1953" s="151" t="n"/>
      <c r="BT1953" s="151" t="n"/>
    </row>
    <row r="1954">
      <c r="BJ1954" s="151" t="n">
        <v>812003</v>
      </c>
      <c r="BK1954" s="151" t="inlineStr">
        <is>
          <t>SERVICIO DE CASAS DE CAMBIO</t>
        </is>
      </c>
      <c r="BL1954" s="151" t="n"/>
      <c r="BM1954" s="151" t="n"/>
      <c r="BN1954" s="151" t="n"/>
      <c r="BO1954" s="151" t="n"/>
      <c r="BP1954" s="151" t="n"/>
      <c r="BQ1954" s="151" t="n"/>
      <c r="BR1954" s="151" t="n"/>
      <c r="BS1954" s="151" t="n"/>
      <c r="BT1954" s="151" t="n"/>
    </row>
    <row r="1955">
      <c r="BJ1955" s="151" t="n">
        <v>812004</v>
      </c>
      <c r="BK1955" s="151" t="inlineStr">
        <is>
          <t>INTERMEDIARIOS DE SEGUROS GESTORES AGENTES</t>
        </is>
      </c>
      <c r="BL1955" s="151" t="n"/>
      <c r="BM1955" s="151" t="n"/>
      <c r="BN1955" s="151" t="n"/>
      <c r="BO1955" s="151" t="n"/>
      <c r="BP1955" s="151" t="n"/>
      <c r="BQ1955" s="151" t="n"/>
      <c r="BR1955" s="151" t="n"/>
      <c r="BS1955" s="151" t="n"/>
      <c r="BT1955" s="151" t="n"/>
    </row>
    <row r="1956">
      <c r="BJ1956" s="151" t="n">
        <v>812005</v>
      </c>
      <c r="BK1956" s="151" t="inlineStr">
        <is>
          <t>SERVICIO DE OTROS INTERMEDIARIOS FINANCIEROS NO MENCIONADOS ANTERIORMENTE</t>
        </is>
      </c>
      <c r="BL1956" s="151" t="n"/>
      <c r="BM1956" s="151" t="n"/>
      <c r="BN1956" s="151" t="n"/>
      <c r="BO1956" s="151" t="n"/>
      <c r="BP1956" s="151" t="n"/>
      <c r="BQ1956" s="151" t="n"/>
      <c r="BR1956" s="151" t="n"/>
      <c r="BS1956" s="151" t="n"/>
      <c r="BT1956" s="151" t="n"/>
    </row>
    <row r="1957">
      <c r="BJ1957" s="151" t="n">
        <v>813001</v>
      </c>
      <c r="BK1957" s="151" t="inlineStr">
        <is>
          <t>SERVICIOS DE INSTITUCIONES DE FIANZAS</t>
        </is>
      </c>
      <c r="BL1957" s="151" t="n"/>
      <c r="BM1957" s="151" t="n"/>
      <c r="BN1957" s="151" t="n"/>
      <c r="BO1957" s="151" t="n"/>
      <c r="BP1957" s="151" t="n"/>
      <c r="BQ1957" s="151" t="n"/>
      <c r="BR1957" s="151" t="n"/>
      <c r="BS1957" s="151" t="n"/>
      <c r="BT1957" s="151" t="n"/>
    </row>
    <row r="1958">
      <c r="BJ1958" s="151" t="n">
        <v>813002</v>
      </c>
      <c r="BK1958" s="151" t="inlineStr">
        <is>
          <t>SERVICIOS DE INSTITUCIONES DE SEGUROS EXCEPTO IMSS E ISSSTE</t>
        </is>
      </c>
      <c r="BL1958" s="151" t="n"/>
      <c r="BM1958" s="151" t="n"/>
      <c r="BN1958" s="151" t="n"/>
      <c r="BO1958" s="151" t="n"/>
      <c r="BP1958" s="151" t="n"/>
      <c r="BQ1958" s="151" t="n"/>
      <c r="BR1958" s="151" t="n"/>
      <c r="BS1958" s="151" t="n"/>
      <c r="BT1958" s="151" t="n"/>
    </row>
    <row r="1959">
      <c r="BJ1959" s="151" t="n">
        <v>813003</v>
      </c>
      <c r="BK1959" s="151" t="inlineStr">
        <is>
          <t>SERVICIOS DE CAJAS DE PENSIONES  INDEPENDIENTES Y  EXEPTO IMSS E ISSSTE</t>
        </is>
      </c>
      <c r="BL1959" s="151" t="n"/>
      <c r="BM1959" s="151" t="n"/>
      <c r="BN1959" s="151" t="n"/>
      <c r="BO1959" s="151" t="n"/>
      <c r="BP1959" s="151" t="n"/>
      <c r="BQ1959" s="151" t="n"/>
      <c r="BR1959" s="151" t="n"/>
      <c r="BS1959" s="151" t="n"/>
      <c r="BT1959" s="151" t="n"/>
    </row>
    <row r="1960">
      <c r="BJ1960" s="151" t="n">
        <v>831101</v>
      </c>
      <c r="BK1960" s="151" t="inlineStr">
        <is>
          <t>SERVICIO DE ALQUILER DE VIVIENDAS</t>
        </is>
      </c>
      <c r="BL1960" s="151" t="n"/>
      <c r="BM1960" s="151" t="n"/>
      <c r="BN1960" s="151" t="n"/>
      <c r="BO1960" s="151" t="n"/>
      <c r="BP1960" s="151" t="n"/>
      <c r="BQ1960" s="151" t="n"/>
      <c r="BR1960" s="151" t="n"/>
      <c r="BS1960" s="151" t="n"/>
      <c r="BT1960" s="151" t="n"/>
    </row>
    <row r="1961">
      <c r="BJ1961" s="151" t="n">
        <v>831102</v>
      </c>
      <c r="BK1961" s="151" t="inlineStr">
        <is>
          <t>SERVICIO DE ALQUILER TERRENOS Y EDIFICIOS NO RESIDENCIALES</t>
        </is>
      </c>
      <c r="BL1961" s="151" t="n"/>
      <c r="BM1961" s="151" t="n"/>
      <c r="BN1961" s="151" t="n"/>
      <c r="BO1961" s="151" t="n"/>
      <c r="BP1961" s="151" t="n"/>
      <c r="BQ1961" s="151" t="n"/>
      <c r="BR1961" s="151" t="n"/>
      <c r="BS1961" s="151" t="n"/>
      <c r="BT1961" s="151" t="n"/>
    </row>
    <row r="1962">
      <c r="BJ1962" s="151" t="n">
        <v>831201</v>
      </c>
      <c r="BK1962" s="151" t="inlineStr">
        <is>
          <t>SERVICIOS DE AGENTES INMOBILIARIOS</t>
        </is>
      </c>
      <c r="BL1962" s="151" t="n"/>
      <c r="BM1962" s="151" t="n"/>
      <c r="BN1962" s="151" t="n"/>
      <c r="BO1962" s="151" t="n"/>
      <c r="BP1962" s="151" t="n"/>
      <c r="BQ1962" s="151" t="n"/>
      <c r="BR1962" s="151" t="n"/>
      <c r="BS1962" s="151" t="n"/>
      <c r="BT1962" s="151" t="n"/>
    </row>
    <row r="1963">
      <c r="BJ1963" s="151" t="n">
        <v>831202</v>
      </c>
      <c r="BK1963" s="151" t="inlineStr">
        <is>
          <t>SERVICIOS DE ADMINISTRACION DE  INMOBILIARIAS Y  EXC ADMON CEMENTERIOS</t>
        </is>
      </c>
      <c r="BL1963" s="151" t="n"/>
      <c r="BM1963" s="151" t="n"/>
      <c r="BN1963" s="151" t="n"/>
      <c r="BO1963" s="151" t="n"/>
      <c r="BP1963" s="151" t="n"/>
      <c r="BQ1963" s="151" t="n"/>
      <c r="BR1963" s="151" t="n"/>
      <c r="BS1963" s="151" t="n"/>
      <c r="BT1963" s="151" t="n"/>
    </row>
    <row r="1964">
      <c r="BJ1964" s="151" t="n">
        <v>831203</v>
      </c>
      <c r="BK1964" s="151" t="inlineStr">
        <is>
          <t>SERVICIOS DE ADMINISTRACION DE CEMENTERIOS</t>
        </is>
      </c>
      <c r="BL1964" s="151" t="n"/>
      <c r="BM1964" s="151" t="n"/>
      <c r="BN1964" s="151" t="n"/>
      <c r="BO1964" s="151" t="n"/>
      <c r="BP1964" s="151" t="n"/>
      <c r="BQ1964" s="151" t="n"/>
      <c r="BR1964" s="151" t="n"/>
      <c r="BS1964" s="151" t="n"/>
      <c r="BT1964" s="151" t="n"/>
    </row>
    <row r="1965">
      <c r="BJ1965" s="151" t="n">
        <v>831205</v>
      </c>
      <c r="BK1965" s="151" t="inlineStr">
        <is>
          <t>SERVICIOS DE PROMOTORES INMOBILIARIOS</t>
        </is>
      </c>
      <c r="BL1965" s="151" t="n"/>
      <c r="BM1965" s="151" t="n"/>
      <c r="BN1965" s="151" t="n"/>
      <c r="BO1965" s="151" t="n"/>
      <c r="BP1965" s="151" t="n"/>
      <c r="BQ1965" s="151" t="n"/>
      <c r="BR1965" s="151" t="n"/>
      <c r="BS1965" s="151" t="n"/>
      <c r="BT1965" s="151" t="n"/>
    </row>
    <row r="1966">
      <c r="BJ1966" s="151" t="n">
        <v>831206</v>
      </c>
      <c r="BK1966" s="151" t="inlineStr">
        <is>
          <t>SERVICIOS DE ASESORES DE CREDITO INMOBILIARIO</t>
        </is>
      </c>
      <c r="BL1966" s="151" t="n"/>
      <c r="BM1966" s="151" t="n"/>
      <c r="BN1966" s="151" t="n"/>
      <c r="BO1966" s="151" t="n"/>
      <c r="BP1966" s="151" t="n"/>
      <c r="BQ1966" s="151" t="n"/>
      <c r="BR1966" s="151" t="n"/>
      <c r="BS1966" s="151" t="n"/>
      <c r="BT1966" s="151" t="n"/>
    </row>
    <row r="1967">
      <c r="BJ1967" s="151" t="n">
        <v>831207</v>
      </c>
      <c r="BK1967" s="151" t="inlineStr">
        <is>
          <t>SERVICIOS DE CONSULTORES INMOBILIARIOS</t>
        </is>
      </c>
      <c r="BL1967" s="151" t="n"/>
      <c r="BM1967" s="151" t="n"/>
      <c r="BN1967" s="151" t="n"/>
      <c r="BO1967" s="151" t="n"/>
      <c r="BP1967" s="151" t="n"/>
      <c r="BQ1967" s="151" t="n"/>
      <c r="BR1967" s="151" t="n"/>
      <c r="BS1967" s="151" t="n"/>
      <c r="BT1967" s="151" t="n"/>
    </row>
    <row r="1968">
      <c r="BJ1968" s="151" t="n">
        <v>831208</v>
      </c>
      <c r="BK1968" s="151" t="inlineStr">
        <is>
          <t>SERVICIOS DE ESTABLECIMIENTOS CON DOS O MAS ACTIVIDADES</t>
        </is>
      </c>
      <c r="BL1968" s="151" t="n"/>
      <c r="BM1968" s="151" t="n"/>
      <c r="BN1968" s="151" t="n"/>
      <c r="BO1968" s="151" t="n"/>
      <c r="BP1968" s="151" t="n"/>
      <c r="BQ1968" s="151" t="n"/>
      <c r="BR1968" s="151" t="n"/>
      <c r="BS1968" s="151" t="n"/>
      <c r="BT1968" s="151" t="n"/>
    </row>
    <row r="1969">
      <c r="BJ1969" s="151" t="n">
        <v>840001</v>
      </c>
      <c r="BK1969" s="151" t="inlineStr">
        <is>
          <t>SERVICIO DE NOTARIAS PUBLICAS</t>
        </is>
      </c>
      <c r="BL1969" s="151" t="n"/>
      <c r="BM1969" s="151" t="n"/>
      <c r="BN1969" s="151" t="n"/>
      <c r="BO1969" s="151" t="n"/>
      <c r="BP1969" s="151" t="n"/>
      <c r="BQ1969" s="151" t="n"/>
      <c r="BR1969" s="151" t="n"/>
      <c r="BS1969" s="151" t="n"/>
      <c r="BT1969" s="151" t="n"/>
    </row>
    <row r="1970">
      <c r="BJ1970" s="151" t="n">
        <v>840002</v>
      </c>
      <c r="BK1970" s="151" t="inlineStr">
        <is>
          <t>SERVICIOS DE BUFETES JURIDICOS</t>
        </is>
      </c>
      <c r="BL1970" s="151" t="n"/>
      <c r="BM1970" s="151" t="n"/>
      <c r="BN1970" s="151" t="n"/>
      <c r="BO1970" s="151" t="n"/>
      <c r="BP1970" s="151" t="n"/>
      <c r="BQ1970" s="151" t="n"/>
      <c r="BR1970" s="151" t="n"/>
      <c r="BS1970" s="151" t="n"/>
      <c r="BT1970" s="151" t="n"/>
    </row>
    <row r="1971">
      <c r="BJ1971" s="151" t="n">
        <v>840003</v>
      </c>
      <c r="BK1971" s="151" t="inlineStr">
        <is>
          <t>SERVICIOS DE CONTADURIA Y AUDITORIA</t>
        </is>
      </c>
      <c r="BL1971" s="151" t="n"/>
      <c r="BM1971" s="151" t="n"/>
      <c r="BN1971" s="151" t="n"/>
      <c r="BO1971" s="151" t="n"/>
      <c r="BP1971" s="151" t="n"/>
      <c r="BQ1971" s="151" t="n"/>
      <c r="BR1971" s="151" t="n"/>
      <c r="BS1971" s="151" t="n"/>
      <c r="BT1971" s="151" t="n"/>
    </row>
    <row r="1972">
      <c r="BJ1972" s="151" t="n">
        <v>840004</v>
      </c>
      <c r="BK1972" s="151" t="inlineStr">
        <is>
          <t>SERVICIOS DE ANALISIS DE SISTEMA DE PROCESO INFORMATICO</t>
        </is>
      </c>
      <c r="BL1972" s="151" t="n"/>
      <c r="BM1972" s="151" t="n"/>
      <c r="BN1972" s="151" t="n"/>
      <c r="BO1972" s="151" t="n"/>
      <c r="BP1972" s="151" t="n"/>
      <c r="BQ1972" s="151" t="n"/>
      <c r="BR1972" s="151" t="n"/>
      <c r="BS1972" s="151" t="n"/>
      <c r="BT1972" s="151" t="n"/>
    </row>
    <row r="1973">
      <c r="BJ1973" s="151" t="n">
        <v>840005</v>
      </c>
      <c r="BK1973" s="151" t="inlineStr">
        <is>
          <t>SERVICIOS DE ASESORIA DE ESTUDIOS TECNICOS  E INGENIERIA Y ARQUITECTURA</t>
        </is>
      </c>
      <c r="BL1973" s="151" t="n"/>
      <c r="BM1973" s="151" t="n"/>
      <c r="BN1973" s="151" t="n"/>
      <c r="BO1973" s="151" t="n"/>
      <c r="BP1973" s="151" t="n"/>
      <c r="BQ1973" s="151" t="n"/>
      <c r="BR1973" s="151" t="n"/>
      <c r="BS1973" s="151" t="n"/>
      <c r="BT1973" s="151" t="n"/>
    </row>
    <row r="1974">
      <c r="BJ1974" s="151" t="n">
        <v>840006</v>
      </c>
      <c r="BK1974" s="151" t="inlineStr">
        <is>
          <t>SERVICIOS DE DISEÑO INDUSTRIAL</t>
        </is>
      </c>
      <c r="BL1974" s="151" t="n"/>
      <c r="BM1974" s="151" t="n"/>
      <c r="BN1974" s="151" t="n"/>
      <c r="BO1974" s="151" t="n"/>
      <c r="BP1974" s="151" t="n"/>
      <c r="BQ1974" s="151" t="n"/>
      <c r="BR1974" s="151" t="n"/>
      <c r="BS1974" s="151" t="n"/>
      <c r="BT1974" s="151" t="n"/>
    </row>
    <row r="1975">
      <c r="BJ1975" s="151" t="n">
        <v>840007</v>
      </c>
      <c r="BK1975" s="151" t="inlineStr">
        <is>
          <t>SERVICIOS DE MERCADOCTENIA</t>
        </is>
      </c>
      <c r="BL1975" s="151" t="n"/>
      <c r="BM1975" s="151" t="n"/>
      <c r="BN1975" s="151" t="n"/>
      <c r="BO1975" s="151" t="n"/>
      <c r="BP1975" s="151" t="n"/>
      <c r="BQ1975" s="151" t="n"/>
      <c r="BR1975" s="151" t="n"/>
      <c r="BS1975" s="151" t="n"/>
      <c r="BT1975" s="151" t="n"/>
    </row>
    <row r="1976">
      <c r="BJ1976" s="151" t="n">
        <v>840008</v>
      </c>
      <c r="BK1976" s="151" t="inlineStr">
        <is>
          <t>SERVICIOS DE PUBLICIDAD Y ACTIVIDADES CONEXAS</t>
        </is>
      </c>
      <c r="BL1976" s="151" t="n"/>
      <c r="BM1976" s="151" t="n"/>
      <c r="BN1976" s="151" t="n"/>
      <c r="BO1976" s="151" t="n"/>
      <c r="BP1976" s="151" t="n"/>
      <c r="BQ1976" s="151" t="n"/>
      <c r="BR1976" s="151" t="n"/>
      <c r="BS1976" s="151" t="n"/>
      <c r="BT1976" s="151" t="n"/>
    </row>
    <row r="1977">
      <c r="BJ1977" s="151" t="n">
        <v>840009</v>
      </c>
      <c r="BK1977" s="151" t="inlineStr">
        <is>
          <t>SERVICIOS DE DISEÑO ARTISTICO</t>
        </is>
      </c>
      <c r="BL1977" s="151" t="n"/>
      <c r="BM1977" s="151" t="n"/>
      <c r="BN1977" s="151" t="n"/>
      <c r="BO1977" s="151" t="n"/>
      <c r="BP1977" s="151" t="n"/>
      <c r="BQ1977" s="151" t="n"/>
      <c r="BR1977" s="151" t="n"/>
      <c r="BS1977" s="151" t="n"/>
      <c r="BT1977" s="151" t="n"/>
    </row>
    <row r="1978">
      <c r="BJ1978" s="151" t="n">
        <v>840010</v>
      </c>
      <c r="BK1978" s="151" t="inlineStr">
        <is>
          <t>SERVICIOS DE ASESORIA DE ADMINISTRACION Y ORGANIZACIÓN DE EMPRESAS</t>
        </is>
      </c>
      <c r="BL1978" s="151" t="n"/>
      <c r="BM1978" s="151" t="n"/>
      <c r="BN1978" s="151" t="n"/>
      <c r="BO1978" s="151" t="n"/>
      <c r="BP1978" s="151" t="n"/>
      <c r="BQ1978" s="151" t="n"/>
      <c r="BR1978" s="151" t="n"/>
      <c r="BS1978" s="151" t="n"/>
      <c r="BT1978" s="151" t="n"/>
    </row>
    <row r="1979">
      <c r="BJ1979" s="151" t="n">
        <v>840011</v>
      </c>
      <c r="BK1979" s="151" t="inlineStr">
        <is>
          <t>SERVICIO DE VALUACION METALES PIEDRAS PRECIOSAS</t>
        </is>
      </c>
      <c r="BL1979" s="151" t="n"/>
      <c r="BM1979" s="151" t="n"/>
      <c r="BN1979" s="151" t="n"/>
      <c r="BO1979" s="151" t="n"/>
      <c r="BP1979" s="151" t="n"/>
      <c r="BQ1979" s="151" t="n"/>
      <c r="BR1979" s="151" t="n"/>
      <c r="BS1979" s="151" t="n"/>
      <c r="BT1979" s="151" t="n"/>
    </row>
    <row r="1980">
      <c r="BJ1980" s="151" t="n">
        <v>840012</v>
      </c>
      <c r="BK1980" s="151" t="inlineStr">
        <is>
          <t>SERVICIO DE INVESTIGACION SOLVENCIA FINANCIERA</t>
        </is>
      </c>
      <c r="BL1980" s="151" t="n"/>
      <c r="BM1980" s="151" t="n"/>
      <c r="BN1980" s="151" t="n"/>
      <c r="BO1980" s="151" t="n"/>
      <c r="BP1980" s="151" t="n"/>
      <c r="BQ1980" s="151" t="n"/>
      <c r="BR1980" s="151" t="n"/>
      <c r="BS1980" s="151" t="n"/>
      <c r="BT1980" s="151" t="n"/>
    </row>
    <row r="1981">
      <c r="BJ1981" s="151" t="n">
        <v>840013</v>
      </c>
      <c r="BK1981" s="151" t="inlineStr">
        <is>
          <t>SERVICIO DE AGENCIAS NOTICIOSAS</t>
        </is>
      </c>
      <c r="BL1981" s="151" t="n"/>
      <c r="BM1981" s="151" t="n"/>
      <c r="BN1981" s="151" t="n"/>
      <c r="BO1981" s="151" t="n"/>
      <c r="BP1981" s="151" t="n"/>
      <c r="BQ1981" s="151" t="n"/>
      <c r="BR1981" s="151" t="n"/>
      <c r="BS1981" s="151" t="n"/>
      <c r="BT1981" s="151" t="n"/>
    </row>
    <row r="1982">
      <c r="BJ1982" s="151" t="n">
        <v>840014</v>
      </c>
      <c r="BK1982" s="151" t="inlineStr">
        <is>
          <t>SERVICIOS ADMINISTRATIVOS DE TRAMITE Y COBRANZA</t>
        </is>
      </c>
      <c r="BL1982" s="151" t="n"/>
      <c r="BM1982" s="151" t="n"/>
      <c r="BN1982" s="151" t="n"/>
      <c r="BO1982" s="151" t="n"/>
      <c r="BP1982" s="151" t="n"/>
      <c r="BQ1982" s="151" t="n"/>
      <c r="BR1982" s="151" t="n"/>
      <c r="BS1982" s="151" t="n"/>
      <c r="BT1982" s="151" t="n"/>
    </row>
    <row r="1983">
      <c r="BJ1983" s="151" t="n">
        <v>840015</v>
      </c>
      <c r="BK1983" s="151" t="inlineStr">
        <is>
          <t>SERVICIO DE FOTOCOPIADO Y SIMILARES</t>
        </is>
      </c>
      <c r="BL1983" s="151" t="n"/>
      <c r="BM1983" s="151" t="n"/>
      <c r="BN1983" s="151" t="n"/>
      <c r="BO1983" s="151" t="n"/>
      <c r="BP1983" s="151" t="n"/>
      <c r="BQ1983" s="151" t="n"/>
      <c r="BR1983" s="151" t="n"/>
      <c r="BS1983" s="151" t="n"/>
      <c r="BT1983" s="151" t="n"/>
    </row>
    <row r="1984">
      <c r="BJ1984" s="151" t="n">
        <v>840016</v>
      </c>
      <c r="BK1984" s="151" t="inlineStr">
        <is>
          <t>SERVICIO DE AGENCIAS DE COLOCACION Y SELECCIÓN DE PERSONAL</t>
        </is>
      </c>
      <c r="BL1984" s="151" t="n"/>
      <c r="BM1984" s="151" t="n"/>
      <c r="BN1984" s="151" t="n"/>
      <c r="BO1984" s="151" t="n"/>
      <c r="BP1984" s="151" t="n"/>
      <c r="BQ1984" s="151" t="n"/>
      <c r="BR1984" s="151" t="n"/>
      <c r="BS1984" s="151" t="n"/>
      <c r="BT1984" s="151" t="n"/>
    </row>
    <row r="1985">
      <c r="BJ1985" s="151" t="n">
        <v>840017</v>
      </c>
      <c r="BK1985" s="151" t="inlineStr">
        <is>
          <t>SERVICIO DE PROTECCION Y DE CUSTODIA</t>
        </is>
      </c>
      <c r="BL1985" s="151" t="n"/>
      <c r="BM1985" s="151" t="n"/>
      <c r="BN1985" s="151" t="n"/>
      <c r="BO1985" s="151" t="n"/>
      <c r="BP1985" s="151" t="n"/>
      <c r="BQ1985" s="151" t="n"/>
      <c r="BR1985" s="151" t="n"/>
      <c r="BS1985" s="151" t="n"/>
      <c r="BT1985" s="151" t="n"/>
    </row>
    <row r="1986">
      <c r="BJ1986" s="151" t="n">
        <v>840018</v>
      </c>
      <c r="BK1986" s="151" t="inlineStr">
        <is>
          <t>SERVICIOS DE DECORACION DE INTERIORES</t>
        </is>
      </c>
      <c r="BL1986" s="151" t="n"/>
      <c r="BM1986" s="151" t="n"/>
      <c r="BN1986" s="151" t="n"/>
      <c r="BO1986" s="151" t="n"/>
      <c r="BP1986" s="151" t="n"/>
      <c r="BQ1986" s="151" t="n"/>
      <c r="BR1986" s="151" t="n"/>
      <c r="BS1986" s="151" t="n"/>
      <c r="BT1986" s="151" t="n"/>
    </row>
    <row r="1987">
      <c r="BJ1987" s="151" t="n">
        <v>840019</v>
      </c>
      <c r="BK1987" s="151" t="inlineStr">
        <is>
          <t>SERVICIOS DE LIMPIEZA DE VENTANAS Y OFICINAS</t>
        </is>
      </c>
      <c r="BL1987" s="151" t="n"/>
      <c r="BM1987" s="151" t="n"/>
      <c r="BN1987" s="151" t="n"/>
      <c r="BO1987" s="151" t="n"/>
      <c r="BP1987" s="151" t="n"/>
      <c r="BQ1987" s="151" t="n"/>
      <c r="BR1987" s="151" t="n"/>
      <c r="BS1987" s="151" t="n"/>
      <c r="BT1987" s="151" t="n"/>
    </row>
    <row r="1988">
      <c r="BJ1988" s="151" t="n">
        <v>840020</v>
      </c>
      <c r="BK1988" s="151" t="inlineStr">
        <is>
          <t>SERVICIOS URBANOS DE FUMIGACION Y DESINFECTACION DE CONTAGIOS Y PLAGAS</t>
        </is>
      </c>
      <c r="BL1988" s="151" t="n"/>
      <c r="BM1988" s="151" t="n"/>
      <c r="BN1988" s="151" t="n"/>
      <c r="BO1988" s="151" t="n"/>
      <c r="BP1988" s="151" t="n"/>
      <c r="BQ1988" s="151" t="n"/>
      <c r="BR1988" s="151" t="n"/>
      <c r="BS1988" s="151" t="n"/>
      <c r="BT1988" s="151" t="n"/>
    </row>
    <row r="1989">
      <c r="BJ1989" s="151" t="n">
        <v>850011</v>
      </c>
      <c r="BK1989" s="151" t="inlineStr">
        <is>
          <t>SERVICIO DE ALQUILER DE MAQUINARIA Y EQUIPO DE AGRICULTURA</t>
        </is>
      </c>
      <c r="BL1989" s="151" t="n"/>
      <c r="BM1989" s="151" t="n"/>
      <c r="BN1989" s="151" t="n"/>
      <c r="BO1989" s="151" t="n"/>
      <c r="BP1989" s="151" t="n"/>
      <c r="BQ1989" s="151" t="n"/>
      <c r="BR1989" s="151" t="n"/>
      <c r="BS1989" s="151" t="n"/>
      <c r="BT1989" s="151" t="n"/>
    </row>
    <row r="1990">
      <c r="BJ1990" s="151" t="n">
        <v>850012</v>
      </c>
      <c r="BK1990" s="151" t="inlineStr">
        <is>
          <t>SERVICIO DE ALQUILER MAQUINARIA EQUIPO INDUSTRIAL</t>
        </is>
      </c>
      <c r="BL1990" s="151" t="n"/>
      <c r="BM1990" s="151" t="n"/>
      <c r="BN1990" s="151" t="n"/>
      <c r="BO1990" s="151" t="n"/>
      <c r="BP1990" s="151" t="n"/>
      <c r="BQ1990" s="151" t="n"/>
      <c r="BR1990" s="151" t="n"/>
      <c r="BS1990" s="151" t="n"/>
      <c r="BT1990" s="151" t="n"/>
    </row>
    <row r="1991">
      <c r="BJ1991" s="151" t="n">
        <v>850013</v>
      </c>
      <c r="BK1991" s="151" t="inlineStr">
        <is>
          <t>SERVICIO DE ALQUILER Y EQUIPO ELECTRICO DE PROCESO INFORMATIVO</t>
        </is>
      </c>
      <c r="BL1991" s="151" t="n"/>
      <c r="BM1991" s="151" t="n"/>
      <c r="BN1991" s="151" t="n"/>
      <c r="BO1991" s="151" t="n"/>
      <c r="BP1991" s="151" t="n"/>
      <c r="BQ1991" s="151" t="n"/>
      <c r="BR1991" s="151" t="n"/>
      <c r="BS1991" s="151" t="n"/>
      <c r="BT1991" s="151" t="n"/>
    </row>
    <row r="1992">
      <c r="BJ1992" s="151" t="n">
        <v>850014</v>
      </c>
      <c r="BK1992" s="151" t="inlineStr">
        <is>
          <t>SERVICIO DE ALQUILER DE  EQUIPO Y MOBILIARIO PARA COMERCIO Y OFICINA</t>
        </is>
      </c>
      <c r="BL1992" s="151" t="n"/>
      <c r="BM1992" s="151" t="n"/>
      <c r="BN1992" s="151" t="n"/>
      <c r="BO1992" s="151" t="n"/>
      <c r="BP1992" s="151" t="n"/>
      <c r="BQ1992" s="151" t="n"/>
      <c r="BR1992" s="151" t="n"/>
      <c r="BS1992" s="151" t="n"/>
      <c r="BT1992" s="151" t="n"/>
    </row>
    <row r="1993">
      <c r="BJ1993" s="151" t="n">
        <v>850021</v>
      </c>
      <c r="BK1993" s="151" t="inlineStr">
        <is>
          <t>SERVICIO DE ALQUILER DE AUTOMOVILES SIN CHOFER</t>
        </is>
      </c>
      <c r="BL1993" s="151" t="n"/>
      <c r="BM1993" s="151" t="n"/>
      <c r="BN1993" s="151" t="n"/>
      <c r="BO1993" s="151" t="n"/>
      <c r="BP1993" s="151" t="n"/>
      <c r="BQ1993" s="151" t="n"/>
      <c r="BR1993" s="151" t="n"/>
      <c r="BS1993" s="151" t="n"/>
      <c r="BT1993" s="151" t="n"/>
    </row>
    <row r="1994">
      <c r="BJ1994" s="151" t="n">
        <v>850031</v>
      </c>
      <c r="BK1994" s="151" t="inlineStr">
        <is>
          <t>SERVICIOS DE ALQUILER DE MUEBLES VAJILLAS Y SIMILARES</t>
        </is>
      </c>
      <c r="BL1994" s="151" t="n"/>
      <c r="BM1994" s="151" t="n"/>
      <c r="BN1994" s="151" t="n"/>
      <c r="BO1994" s="151" t="n"/>
      <c r="BP1994" s="151" t="n"/>
      <c r="BQ1994" s="151" t="n"/>
      <c r="BR1994" s="151" t="n"/>
      <c r="BS1994" s="151" t="n"/>
      <c r="BT1994" s="151" t="n"/>
    </row>
    <row r="1995">
      <c r="BJ1995" s="151" t="n">
        <v>850032</v>
      </c>
      <c r="BK1995" s="151" t="inlineStr">
        <is>
          <t>SERVICIOS DE ALQUILER DE  TELEVISION  EQUIPO DE SONIDO E INSTRUMENTOS  MUSICALES</t>
        </is>
      </c>
      <c r="BL1995" s="151" t="n"/>
      <c r="BM1995" s="151" t="n"/>
      <c r="BN1995" s="151" t="n"/>
      <c r="BO1995" s="151" t="n"/>
      <c r="BP1995" s="151" t="n"/>
      <c r="BQ1995" s="151" t="n"/>
      <c r="BR1995" s="151" t="n"/>
      <c r="BS1995" s="151" t="n"/>
      <c r="BT1995" s="151" t="n"/>
    </row>
    <row r="1996">
      <c r="BJ1996" s="151" t="n">
        <v>850033</v>
      </c>
      <c r="BK1996" s="151" t="inlineStr">
        <is>
          <t>SERVICIOS DE ALQUILER DE EQUIPO FOTOGRAFICO PROFESIONAL Y PROYECTORES</t>
        </is>
      </c>
      <c r="BL1996" s="151" t="n"/>
      <c r="BM1996" s="151" t="n"/>
      <c r="BN1996" s="151" t="n"/>
      <c r="BO1996" s="151" t="n"/>
      <c r="BP1996" s="151" t="n"/>
      <c r="BQ1996" s="151" t="n"/>
      <c r="BR1996" s="151" t="n"/>
      <c r="BS1996" s="151" t="n"/>
      <c r="BT1996" s="151" t="n"/>
    </row>
    <row r="1997">
      <c r="BJ1997" s="151" t="n">
        <v>910001</v>
      </c>
      <c r="BK1997" s="151" t="inlineStr">
        <is>
          <t>SERVICIOS DE ADMINISTRACION CENTRAL FEDERAL Y DEL DISTRITO FEDERAL</t>
        </is>
      </c>
      <c r="BL1997" s="151" t="n"/>
      <c r="BM1997" s="151" t="n"/>
      <c r="BN1997" s="151" t="n"/>
      <c r="BO1997" s="151" t="n"/>
      <c r="BP1997" s="151" t="n"/>
      <c r="BQ1997" s="151" t="n"/>
      <c r="BR1997" s="151" t="n"/>
      <c r="BS1997" s="151" t="n"/>
      <c r="BT1997" s="151" t="n"/>
    </row>
    <row r="1998">
      <c r="BJ1998" s="151" t="n">
        <v>910002</v>
      </c>
      <c r="BK1998" s="151" t="inlineStr">
        <is>
          <t>SERVICIOS DE DELEGACIONES Y  REGISTROS  DEPENDIENTES A LA ADMINISTRACION FEDERAL</t>
        </is>
      </c>
      <c r="BL1998" s="151" t="n"/>
      <c r="BM1998" s="151" t="n"/>
      <c r="BN1998" s="151" t="n"/>
      <c r="BO1998" s="151" t="n"/>
      <c r="BP1998" s="151" t="n"/>
      <c r="BQ1998" s="151" t="n"/>
      <c r="BR1998" s="151" t="n"/>
      <c r="BS1998" s="151" t="n"/>
      <c r="BT1998" s="151" t="n"/>
    </row>
    <row r="1999">
      <c r="BJ1999" s="151" t="n">
        <v>910003</v>
      </c>
      <c r="BK1999" s="151" t="inlineStr">
        <is>
          <t>SERVICIOS ADMINISTRATIVOS ESTATALES</t>
        </is>
      </c>
      <c r="BL1999" s="151" t="n"/>
      <c r="BM1999" s="151" t="n"/>
      <c r="BN1999" s="151" t="n"/>
      <c r="BO1999" s="151" t="n"/>
      <c r="BP1999" s="151" t="n"/>
      <c r="BQ1999" s="151" t="n"/>
      <c r="BR1999" s="151" t="n"/>
      <c r="BS1999" s="151" t="n"/>
      <c r="BT1999" s="151" t="n"/>
    </row>
    <row r="2000">
      <c r="BJ2000" s="151" t="n">
        <v>910004</v>
      </c>
      <c r="BK2000" s="151" t="inlineStr">
        <is>
          <t>SERVICIOS ADMINISTRATIVOS MUNICIPALES</t>
        </is>
      </c>
      <c r="BL2000" s="151" t="n"/>
      <c r="BM2000" s="151" t="n"/>
      <c r="BN2000" s="151" t="n"/>
      <c r="BO2000" s="151" t="n"/>
      <c r="BP2000" s="151" t="n"/>
      <c r="BQ2000" s="151" t="n"/>
      <c r="BR2000" s="151" t="n"/>
      <c r="BS2000" s="151" t="n"/>
      <c r="BT2000" s="151" t="n"/>
    </row>
    <row r="2001">
      <c r="BJ2001" s="151" t="n">
        <v>910005</v>
      </c>
      <c r="BK2001" s="151" t="inlineStr">
        <is>
          <t>SERVICIOS DE DEFENSA NACIONAL</t>
        </is>
      </c>
      <c r="BL2001" s="151" t="n"/>
      <c r="BM2001" s="151" t="n"/>
      <c r="BN2001" s="151" t="n"/>
      <c r="BO2001" s="151" t="n"/>
      <c r="BP2001" s="151" t="n"/>
      <c r="BQ2001" s="151" t="n"/>
      <c r="BR2001" s="151" t="n"/>
      <c r="BS2001" s="151" t="n"/>
      <c r="BT2001" s="151" t="n"/>
    </row>
    <row r="2002">
      <c r="BJ2002" s="151" t="n">
        <v>910006</v>
      </c>
      <c r="BK2002" s="151" t="inlineStr">
        <is>
          <t>SERVICIOS DE POLICIA Y TRANSITO FEDERALES ESTATALES Y MUNICIPALES</t>
        </is>
      </c>
      <c r="BL2002" s="151" t="n"/>
      <c r="BM2002" s="151" t="n"/>
      <c r="BN2002" s="151" t="n"/>
      <c r="BO2002" s="151" t="n"/>
      <c r="BP2002" s="151" t="n"/>
      <c r="BQ2002" s="151" t="n"/>
      <c r="BR2002" s="151" t="n"/>
      <c r="BS2002" s="151" t="n"/>
      <c r="BT2002" s="151" t="n"/>
    </row>
    <row r="2003">
      <c r="BJ2003" s="151" t="n">
        <v>910007</v>
      </c>
      <c r="BK2003" s="151" t="inlineStr">
        <is>
          <t>SERVICIOS DE BOMBEROS Y PREV CIVIL ESTATALES Y MUNICIPALES</t>
        </is>
      </c>
      <c r="BL2003" s="151" t="n"/>
      <c r="BM2003" s="151" t="n"/>
      <c r="BN2003" s="151" t="n"/>
      <c r="BO2003" s="151" t="n"/>
      <c r="BP2003" s="151" t="n"/>
      <c r="BQ2003" s="151" t="n"/>
      <c r="BR2003" s="151" t="n"/>
      <c r="BS2003" s="151" t="n"/>
      <c r="BT2003" s="151" t="n"/>
    </row>
    <row r="2004">
      <c r="BJ2004" s="151" t="n">
        <v>910008</v>
      </c>
      <c r="BK2004" s="151" t="inlineStr">
        <is>
          <t>SERVICIOS DE SANEAMIENTO ESTATALES MUNICIPALES</t>
        </is>
      </c>
      <c r="BL2004" s="151" t="n"/>
      <c r="BM2004" s="151" t="n"/>
      <c r="BN2004" s="151" t="n"/>
      <c r="BO2004" s="151" t="n"/>
      <c r="BP2004" s="151" t="n"/>
      <c r="BQ2004" s="151" t="n"/>
      <c r="BR2004" s="151" t="n"/>
      <c r="BS2004" s="151" t="n"/>
      <c r="BT2004" s="151" t="n"/>
    </row>
    <row r="2005">
      <c r="BJ2005" s="151" t="n">
        <v>910009</v>
      </c>
      <c r="BK2005" s="151" t="inlineStr">
        <is>
          <t>SERVICIOS TECNICOS ESPECIALIZADOS DE GOBIERNOS FEDERALES Y ESTATALES</t>
        </is>
      </c>
      <c r="BL2005" s="151" t="n"/>
      <c r="BM2005" s="151" t="n"/>
      <c r="BN2005" s="151" t="n"/>
      <c r="BO2005" s="151" t="n"/>
      <c r="BP2005" s="151" t="n"/>
      <c r="BQ2005" s="151" t="n"/>
      <c r="BR2005" s="151" t="n"/>
      <c r="BS2005" s="151" t="n"/>
      <c r="BT2005" s="151" t="n"/>
    </row>
    <row r="2006">
      <c r="BJ2006" s="151" t="n">
        <v>910010</v>
      </c>
      <c r="BK2006" s="151" t="inlineStr">
        <is>
          <t>SERVICIOS ADMINISTRATIVOS DE ORGANISMOS DE SEGURIDAD SOCIAL</t>
        </is>
      </c>
      <c r="BL2006" s="151" t="n"/>
      <c r="BM2006" s="151" t="n"/>
      <c r="BN2006" s="151" t="n"/>
      <c r="BO2006" s="151" t="n"/>
      <c r="BP2006" s="151" t="n"/>
      <c r="BQ2006" s="151" t="n"/>
      <c r="BR2006" s="151" t="n"/>
      <c r="BS2006" s="151" t="n"/>
      <c r="BT2006" s="151" t="n"/>
    </row>
    <row r="2007">
      <c r="BJ2007" s="151" t="n">
        <v>931101</v>
      </c>
      <c r="BK2007" s="151" t="inlineStr">
        <is>
          <t>SERVICIOS REMUNERADOS DE EDUCACION PREESCOLAR</t>
        </is>
      </c>
      <c r="BL2007" s="151" t="n"/>
      <c r="BM2007" s="151" t="n"/>
      <c r="BN2007" s="151" t="n"/>
      <c r="BO2007" s="151" t="n"/>
      <c r="BP2007" s="151" t="n"/>
      <c r="BQ2007" s="151" t="n"/>
      <c r="BR2007" s="151" t="n"/>
      <c r="BS2007" s="151" t="n"/>
      <c r="BT2007" s="151" t="n"/>
    </row>
    <row r="2008">
      <c r="BJ2008" s="151" t="n">
        <v>931102</v>
      </c>
      <c r="BK2008" s="151" t="inlineStr">
        <is>
          <t>SERVICIOS REMUNERADOS DE EDUCACION PRIMARIA</t>
        </is>
      </c>
      <c r="BL2008" s="151" t="n"/>
      <c r="BM2008" s="151" t="n"/>
      <c r="BN2008" s="151" t="n"/>
      <c r="BO2008" s="151" t="n"/>
      <c r="BP2008" s="151" t="n"/>
      <c r="BQ2008" s="151" t="n"/>
      <c r="BR2008" s="151" t="n"/>
      <c r="BS2008" s="151" t="n"/>
      <c r="BT2008" s="151" t="n"/>
    </row>
    <row r="2009">
      <c r="BJ2009" s="151" t="n">
        <v>931103</v>
      </c>
      <c r="BK2009" s="151" t="inlineStr">
        <is>
          <t>SERVICIOS REMUNERADOS DE EDUCACION SECUNDARIA</t>
        </is>
      </c>
      <c r="BL2009" s="151" t="n"/>
      <c r="BM2009" s="151" t="n"/>
      <c r="BN2009" s="151" t="n"/>
      <c r="BO2009" s="151" t="n"/>
      <c r="BP2009" s="151" t="n"/>
      <c r="BQ2009" s="151" t="n"/>
      <c r="BR2009" s="151" t="n"/>
      <c r="BS2009" s="151" t="n"/>
      <c r="BT2009" s="151" t="n"/>
    </row>
    <row r="2010">
      <c r="BJ2010" s="151" t="n">
        <v>931104</v>
      </c>
      <c r="BK2010" s="151" t="inlineStr">
        <is>
          <t>SERVICIOS REMUNERADOS DE EDUCACION MEDIA SUPERIOR</t>
        </is>
      </c>
      <c r="BL2010" s="151" t="n"/>
      <c r="BM2010" s="151" t="n"/>
      <c r="BN2010" s="151" t="n"/>
      <c r="BO2010" s="151" t="n"/>
      <c r="BP2010" s="151" t="n"/>
      <c r="BQ2010" s="151" t="n"/>
      <c r="BR2010" s="151" t="n"/>
      <c r="BS2010" s="151" t="n"/>
      <c r="BT2010" s="151" t="n"/>
    </row>
    <row r="2011">
      <c r="BJ2011" s="151" t="n">
        <v>931105</v>
      </c>
      <c r="BK2011" s="151" t="inlineStr">
        <is>
          <t>SERVICIOS REMUNERADOS DE EDUCACION SUPERIOR</t>
        </is>
      </c>
      <c r="BL2011" s="151" t="n"/>
      <c r="BM2011" s="151" t="n"/>
      <c r="BN2011" s="151" t="n"/>
      <c r="BO2011" s="151" t="n"/>
      <c r="BP2011" s="151" t="n"/>
      <c r="BQ2011" s="151" t="n"/>
      <c r="BR2011" s="151" t="n"/>
      <c r="BS2011" s="151" t="n"/>
      <c r="BT2011" s="151" t="n"/>
    </row>
    <row r="2012">
      <c r="BJ2012" s="151" t="n">
        <v>931106</v>
      </c>
      <c r="BK2012" s="151" t="inlineStr">
        <is>
          <t>SERVICIOS REMUNERADOS DE EDUCACION DIFERENTE AL  NIVEL DE  ENSEÑANZA</t>
        </is>
      </c>
      <c r="BL2012" s="151" t="n"/>
      <c r="BM2012" s="151" t="n"/>
      <c r="BN2012" s="151" t="n"/>
      <c r="BO2012" s="151" t="n"/>
      <c r="BP2012" s="151" t="n"/>
      <c r="BQ2012" s="151" t="n"/>
      <c r="BR2012" s="151" t="n"/>
      <c r="BS2012" s="151" t="n"/>
      <c r="BT2012" s="151" t="n"/>
    </row>
    <row r="2013">
      <c r="BJ2013" s="151" t="n">
        <v>931107</v>
      </c>
      <c r="BK2013" s="151" t="inlineStr">
        <is>
          <t>SERVICIOS REMUNERADOS DE EDUCACION ELEMENTAL TERMINAL</t>
        </is>
      </c>
      <c r="BL2013" s="151" t="n"/>
      <c r="BM2013" s="151" t="n"/>
      <c r="BN2013" s="151" t="n"/>
      <c r="BO2013" s="151" t="n"/>
      <c r="BP2013" s="151" t="n"/>
      <c r="BQ2013" s="151" t="n"/>
      <c r="BR2013" s="151" t="n"/>
      <c r="BS2013" s="151" t="n"/>
      <c r="BT2013" s="151" t="n"/>
    </row>
    <row r="2014">
      <c r="BJ2014" s="151" t="n">
        <v>931108</v>
      </c>
      <c r="BK2014" s="151" t="inlineStr">
        <is>
          <t>SERVICIOS REMUNERADOS DE EDUCACION MEDIA TERMINAL</t>
        </is>
      </c>
      <c r="BL2014" s="151" t="n"/>
      <c r="BM2014" s="151" t="n"/>
      <c r="BN2014" s="151" t="n"/>
      <c r="BO2014" s="151" t="n"/>
      <c r="BP2014" s="151" t="n"/>
      <c r="BQ2014" s="151" t="n"/>
      <c r="BR2014" s="151" t="n"/>
      <c r="BS2014" s="151" t="n"/>
      <c r="BT2014" s="151" t="n"/>
    </row>
    <row r="2015">
      <c r="BJ2015" s="151" t="n">
        <v>931109</v>
      </c>
      <c r="BK2015" s="151" t="inlineStr">
        <is>
          <t>SERVICIOS DE EDUCACION POR PARTE DE PROFESORES PARTICULARES</t>
        </is>
      </c>
      <c r="BL2015" s="151" t="n"/>
      <c r="BM2015" s="151" t="n"/>
      <c r="BN2015" s="151" t="n"/>
      <c r="BO2015" s="151" t="n"/>
      <c r="BP2015" s="151" t="n"/>
      <c r="BQ2015" s="151" t="n"/>
      <c r="BR2015" s="151" t="n"/>
      <c r="BS2015" s="151" t="n"/>
      <c r="BT2015" s="151" t="n"/>
    </row>
    <row r="2016">
      <c r="BJ2016" s="151" t="n">
        <v>931201</v>
      </c>
      <c r="BK2016" s="151" t="inlineStr">
        <is>
          <t>SERVICIOS NO REMUNERADOS DE EDUCION PREESCOLAR</t>
        </is>
      </c>
      <c r="BL2016" s="151" t="n"/>
      <c r="BM2016" s="151" t="n"/>
      <c r="BN2016" s="151" t="n"/>
      <c r="BO2016" s="151" t="n"/>
      <c r="BP2016" s="151" t="n"/>
      <c r="BQ2016" s="151" t="n"/>
      <c r="BR2016" s="151" t="n"/>
      <c r="BS2016" s="151" t="n"/>
      <c r="BT2016" s="151" t="n"/>
    </row>
    <row r="2017">
      <c r="BJ2017" s="151" t="n">
        <v>931202</v>
      </c>
      <c r="BK2017" s="151" t="inlineStr">
        <is>
          <t>SERVICIOS NO REMUNERADOS DE EDUCACION PRIMARIA</t>
        </is>
      </c>
      <c r="BL2017" s="151" t="n"/>
      <c r="BM2017" s="151" t="n"/>
      <c r="BN2017" s="151" t="n"/>
      <c r="BO2017" s="151" t="n"/>
      <c r="BP2017" s="151" t="n"/>
      <c r="BQ2017" s="151" t="n"/>
      <c r="BR2017" s="151" t="n"/>
      <c r="BS2017" s="151" t="n"/>
      <c r="BT2017" s="151" t="n"/>
    </row>
    <row r="2018">
      <c r="BJ2018" s="151" t="n">
        <v>931203</v>
      </c>
      <c r="BK2018" s="151" t="inlineStr">
        <is>
          <t>SERVICIOS NO REMUNERADOS DE EDUCACION SECUNDARIA</t>
        </is>
      </c>
      <c r="BL2018" s="151" t="n"/>
      <c r="BM2018" s="151" t="n"/>
      <c r="BN2018" s="151" t="n"/>
      <c r="BO2018" s="151" t="n"/>
      <c r="BP2018" s="151" t="n"/>
      <c r="BQ2018" s="151" t="n"/>
      <c r="BR2018" s="151" t="n"/>
      <c r="BS2018" s="151" t="n"/>
      <c r="BT2018" s="151" t="n"/>
    </row>
    <row r="2019">
      <c r="BJ2019" s="151" t="n">
        <v>931204</v>
      </c>
      <c r="BK2019" s="151" t="inlineStr">
        <is>
          <t>SERVICIOS NO REMUNERADOS DE EDUCACION MEDIA SUPERIOR</t>
        </is>
      </c>
      <c r="BL2019" s="151" t="n"/>
      <c r="BM2019" s="151" t="n"/>
      <c r="BN2019" s="151" t="n"/>
      <c r="BO2019" s="151" t="n"/>
      <c r="BP2019" s="151" t="n"/>
      <c r="BQ2019" s="151" t="n"/>
      <c r="BR2019" s="151" t="n"/>
      <c r="BS2019" s="151" t="n"/>
      <c r="BT2019" s="151" t="n"/>
    </row>
    <row r="2020">
      <c r="BJ2020" s="151" t="n">
        <v>931205</v>
      </c>
      <c r="BK2020" s="151" t="inlineStr">
        <is>
          <t>SERVICIOS NO REMUNERADOS DE EDUCACION SUPERIOR</t>
        </is>
      </c>
      <c r="BL2020" s="151" t="n"/>
      <c r="BM2020" s="151" t="n"/>
      <c r="BN2020" s="151" t="n"/>
      <c r="BO2020" s="151" t="n"/>
      <c r="BP2020" s="151" t="n"/>
      <c r="BQ2020" s="151" t="n"/>
      <c r="BR2020" s="151" t="n"/>
      <c r="BS2020" s="151" t="n"/>
      <c r="BT2020" s="151" t="n"/>
    </row>
    <row r="2021">
      <c r="BJ2021" s="151" t="n">
        <v>931206</v>
      </c>
      <c r="BK2021" s="151" t="inlineStr">
        <is>
          <t>SERVICIOS NO REMUNERADOS DE EDUCACION QUE COMBINA DIFERENTES  NIVELES DE ENSEÑANZA</t>
        </is>
      </c>
      <c r="BL2021" s="151" t="n"/>
      <c r="BM2021" s="151" t="n"/>
      <c r="BN2021" s="151" t="n"/>
      <c r="BO2021" s="151" t="n"/>
      <c r="BP2021" s="151" t="n"/>
      <c r="BQ2021" s="151" t="n"/>
      <c r="BR2021" s="151" t="n"/>
      <c r="BS2021" s="151" t="n"/>
      <c r="BT2021" s="151" t="n"/>
    </row>
    <row r="2022">
      <c r="BJ2022" s="151" t="n">
        <v>931207</v>
      </c>
      <c r="BK2022" s="151" t="inlineStr">
        <is>
          <t>SERVICIOS NO REMUNERADOS DE EDUCACION ELEMENTAL TERMINAL</t>
        </is>
      </c>
      <c r="BL2022" s="151" t="n"/>
      <c r="BM2022" s="151" t="n"/>
      <c r="BN2022" s="151" t="n"/>
      <c r="BO2022" s="151" t="n"/>
      <c r="BP2022" s="151" t="n"/>
      <c r="BQ2022" s="151" t="n"/>
      <c r="BR2022" s="151" t="n"/>
      <c r="BS2022" s="151" t="n"/>
      <c r="BT2022" s="151" t="n"/>
    </row>
    <row r="2023">
      <c r="BJ2023" s="151" t="n">
        <v>931208</v>
      </c>
      <c r="BK2023" s="151" t="inlineStr">
        <is>
          <t>SERVICIOS DE EDUCACION MEDIA TERMINAL</t>
        </is>
      </c>
      <c r="BL2023" s="151" t="n"/>
      <c r="BM2023" s="151" t="n"/>
      <c r="BN2023" s="151" t="n"/>
      <c r="BO2023" s="151" t="n"/>
      <c r="BP2023" s="151" t="n"/>
      <c r="BQ2023" s="151" t="n"/>
      <c r="BR2023" s="151" t="n"/>
      <c r="BS2023" s="151" t="n"/>
      <c r="BT2023" s="151" t="n"/>
    </row>
    <row r="2024">
      <c r="BJ2024" s="151" t="n">
        <v>932100</v>
      </c>
      <c r="BK2024" s="151" t="inlineStr">
        <is>
          <t>SERVICIOS REMUNERADOS EN INVESTIGACION Y DESARROLLO CIENTIFICO</t>
        </is>
      </c>
      <c r="BL2024" s="151" t="n"/>
      <c r="BM2024" s="151" t="n"/>
      <c r="BN2024" s="151" t="n"/>
      <c r="BO2024" s="151" t="n"/>
      <c r="BP2024" s="151" t="n"/>
      <c r="BQ2024" s="151" t="n"/>
      <c r="BR2024" s="151" t="n"/>
      <c r="BS2024" s="151" t="n"/>
      <c r="BT2024" s="151" t="n"/>
    </row>
    <row r="2025">
      <c r="BJ2025" s="151" t="n">
        <v>932200</v>
      </c>
      <c r="BK2025" s="151" t="inlineStr">
        <is>
          <t>SERVICIOS NO REMUNERADOS DE INVESTIGACION Y DESARROLLO CIENTIFICO</t>
        </is>
      </c>
      <c r="BL2025" s="151" t="n"/>
      <c r="BM2025" s="151" t="n"/>
      <c r="BN2025" s="151" t="n"/>
      <c r="BO2025" s="151" t="n"/>
      <c r="BP2025" s="151" t="n"/>
      <c r="BQ2025" s="151" t="n"/>
      <c r="BR2025" s="151" t="n"/>
      <c r="BS2025" s="151" t="n"/>
      <c r="BT2025" s="151" t="n"/>
    </row>
    <row r="2026">
      <c r="BJ2026" s="151" t="n">
        <v>933111</v>
      </c>
      <c r="BK2026" s="151" t="inlineStr">
        <is>
          <t>SERVICIOS REMUNERADOS DE HOSPITALIZACION</t>
        </is>
      </c>
      <c r="BL2026" s="151" t="n"/>
      <c r="BM2026" s="151" t="n"/>
      <c r="BN2026" s="151" t="n"/>
      <c r="BO2026" s="151" t="n"/>
      <c r="BP2026" s="151" t="n"/>
      <c r="BQ2026" s="151" t="n"/>
      <c r="BR2026" s="151" t="n"/>
      <c r="BS2026" s="151" t="n"/>
      <c r="BT2026" s="151" t="n"/>
    </row>
    <row r="2027">
      <c r="BJ2027" s="151" t="n">
        <v>933112</v>
      </c>
      <c r="BK2027" s="151" t="inlineStr">
        <is>
          <t>SERVICIOS REMUNERADOS DE CONSULTA EXTERNA</t>
        </is>
      </c>
      <c r="BL2027" s="151" t="n"/>
      <c r="BM2027" s="151" t="n"/>
      <c r="BN2027" s="151" t="n"/>
      <c r="BO2027" s="151" t="n"/>
      <c r="BP2027" s="151" t="n"/>
      <c r="BQ2027" s="151" t="n"/>
      <c r="BR2027" s="151" t="n"/>
      <c r="BS2027" s="151" t="n"/>
      <c r="BT2027" s="151" t="n"/>
    </row>
    <row r="2028">
      <c r="BJ2028" s="151" t="n">
        <v>933113</v>
      </c>
      <c r="BK2028" s="151" t="inlineStr">
        <is>
          <t>SERVICIOS REMUNERADOS EN CONSULTORIOS Y CLINICAS DENTALES</t>
        </is>
      </c>
      <c r="BL2028" s="151" t="n"/>
      <c r="BM2028" s="151" t="n"/>
      <c r="BN2028" s="151" t="n"/>
      <c r="BO2028" s="151" t="n"/>
      <c r="BP2028" s="151" t="n"/>
      <c r="BQ2028" s="151" t="n"/>
      <c r="BR2028" s="151" t="n"/>
      <c r="BS2028" s="151" t="n"/>
      <c r="BT2028" s="151" t="n"/>
    </row>
    <row r="2029">
      <c r="BJ2029" s="151" t="n">
        <v>933114</v>
      </c>
      <c r="BK2029" s="151" t="inlineStr">
        <is>
          <t>SERVICIOS REMUNERADOS DE LABORATORIO ANALISIS CLINICO</t>
        </is>
      </c>
      <c r="BL2029" s="151" t="n"/>
      <c r="BM2029" s="151" t="n"/>
      <c r="BN2029" s="151" t="n"/>
      <c r="BO2029" s="151" t="n"/>
      <c r="BP2029" s="151" t="n"/>
      <c r="BQ2029" s="151" t="n"/>
      <c r="BR2029" s="151" t="n"/>
      <c r="BS2029" s="151" t="n"/>
      <c r="BT2029" s="151" t="n"/>
    </row>
    <row r="2030">
      <c r="BJ2030" s="151" t="n">
        <v>933115</v>
      </c>
      <c r="BK2030" s="151" t="inlineStr">
        <is>
          <t>OTROS SERVICIOS REMUNERADOS AUXILIARES AL DIAGNOSTICO MEDICO</t>
        </is>
      </c>
      <c r="BL2030" s="151" t="n"/>
      <c r="BM2030" s="151" t="n"/>
      <c r="BN2030" s="151" t="n"/>
      <c r="BO2030" s="151" t="n"/>
      <c r="BP2030" s="151" t="n"/>
      <c r="BQ2030" s="151" t="n"/>
      <c r="BR2030" s="151" t="n"/>
      <c r="BS2030" s="151" t="n"/>
      <c r="BT2030" s="151" t="n"/>
    </row>
    <row r="2031">
      <c r="BJ2031" s="151" t="n">
        <v>933116</v>
      </c>
      <c r="BK2031" s="151" t="inlineStr">
        <is>
          <t>SERVICIOS REMUNERADOS DE  BANCOS AUXILIARES  AL TRATAMIENTO MEDICO</t>
        </is>
      </c>
      <c r="BL2031" s="151" t="n"/>
      <c r="BM2031" s="151" t="n"/>
      <c r="BN2031" s="151" t="n"/>
      <c r="BO2031" s="151" t="n"/>
      <c r="BP2031" s="151" t="n"/>
      <c r="BQ2031" s="151" t="n"/>
      <c r="BR2031" s="151" t="n"/>
      <c r="BS2031" s="151" t="n"/>
      <c r="BT2031" s="151" t="n"/>
    </row>
    <row r="2032">
      <c r="BJ2032" s="151" t="n">
        <v>933117</v>
      </c>
      <c r="BK2032" s="151" t="inlineStr">
        <is>
          <t>OTROS SERVICIOS REMUNERADOS AUXILIARES AL TRATAMIENTO MEDICO</t>
        </is>
      </c>
      <c r="BL2032" s="151" t="n"/>
      <c r="BM2032" s="151" t="n"/>
      <c r="BN2032" s="151" t="n"/>
      <c r="BO2032" s="151" t="n"/>
      <c r="BP2032" s="151" t="n"/>
      <c r="BQ2032" s="151" t="n"/>
      <c r="BR2032" s="151" t="n"/>
      <c r="BS2032" s="151" t="n"/>
      <c r="BT2032" s="151" t="n"/>
    </row>
    <row r="2033">
      <c r="BJ2033" s="151" t="n">
        <v>933118</v>
      </c>
      <c r="BK2033" s="151" t="inlineStr">
        <is>
          <t>SERVICIOS DE LABORATORIOS DE PROTESIS DENTAL</t>
        </is>
      </c>
      <c r="BL2033" s="151" t="n"/>
      <c r="BM2033" s="151" t="n"/>
      <c r="BN2033" s="151" t="n"/>
      <c r="BO2033" s="151" t="n"/>
      <c r="BP2033" s="151" t="n"/>
      <c r="BQ2033" s="151" t="n"/>
      <c r="BR2033" s="151" t="n"/>
      <c r="BS2033" s="151" t="n"/>
      <c r="BT2033" s="151" t="n"/>
    </row>
    <row r="2034">
      <c r="BJ2034" s="151" t="n">
        <v>933121</v>
      </c>
      <c r="BK2034" s="151" t="inlineStr">
        <is>
          <t>SERVICIOS VETERINARIOS REMUNERADOS A LA GANADERIA</t>
        </is>
      </c>
      <c r="BL2034" s="151" t="n"/>
      <c r="BM2034" s="151" t="n"/>
      <c r="BN2034" s="151" t="n"/>
      <c r="BO2034" s="151" t="n"/>
      <c r="BP2034" s="151" t="n"/>
      <c r="BQ2034" s="151" t="n"/>
      <c r="BR2034" s="151" t="n"/>
      <c r="BS2034" s="151" t="n"/>
      <c r="BT2034" s="151" t="n"/>
    </row>
    <row r="2035">
      <c r="BJ2035" s="151" t="n">
        <v>933122</v>
      </c>
      <c r="BK2035" s="151" t="inlineStr">
        <is>
          <t>OTROS SERVICIOS VETERINARIOS RENUMERADOS</t>
        </is>
      </c>
      <c r="BL2035" s="151" t="n"/>
      <c r="BM2035" s="151" t="n"/>
      <c r="BN2035" s="151" t="n"/>
      <c r="BO2035" s="151" t="n"/>
      <c r="BP2035" s="151" t="n"/>
      <c r="BQ2035" s="151" t="n"/>
      <c r="BR2035" s="151" t="n"/>
      <c r="BS2035" s="151" t="n"/>
      <c r="BT2035" s="151" t="n"/>
    </row>
    <row r="2036">
      <c r="BJ2036" s="151" t="n">
        <v>933211</v>
      </c>
      <c r="BK2036" s="151" t="inlineStr">
        <is>
          <t>SERVICIOS NO REMUNERADOS DE HOSPITALIZACION</t>
        </is>
      </c>
      <c r="BL2036" s="151" t="n"/>
      <c r="BM2036" s="151" t="n"/>
      <c r="BN2036" s="151" t="n"/>
      <c r="BO2036" s="151" t="n"/>
      <c r="BP2036" s="151" t="n"/>
      <c r="BQ2036" s="151" t="n"/>
      <c r="BR2036" s="151" t="n"/>
      <c r="BS2036" s="151" t="n"/>
      <c r="BT2036" s="151" t="n"/>
    </row>
    <row r="2037">
      <c r="BJ2037" s="151" t="n">
        <v>933212</v>
      </c>
      <c r="BK2037" s="151" t="inlineStr">
        <is>
          <t>SERVICIOS NO REMUNERADOS DE CONSULTA EXTERNA</t>
        </is>
      </c>
      <c r="BL2037" s="151" t="n"/>
      <c r="BM2037" s="151" t="n"/>
      <c r="BN2037" s="151" t="n"/>
      <c r="BO2037" s="151" t="n"/>
      <c r="BP2037" s="151" t="n"/>
      <c r="BQ2037" s="151" t="n"/>
      <c r="BR2037" s="151" t="n"/>
      <c r="BS2037" s="151" t="n"/>
      <c r="BT2037" s="151" t="n"/>
    </row>
    <row r="2038">
      <c r="BJ2038" s="151" t="n">
        <v>933213</v>
      </c>
      <c r="BK2038" s="151" t="inlineStr">
        <is>
          <t>SERVICIOS NO REMUNERADOS EN CONSULTORIOS Y CLINICAS DENTALES</t>
        </is>
      </c>
      <c r="BL2038" s="151" t="n"/>
      <c r="BM2038" s="151" t="n"/>
      <c r="BN2038" s="151" t="n"/>
      <c r="BO2038" s="151" t="n"/>
      <c r="BP2038" s="151" t="n"/>
      <c r="BQ2038" s="151" t="n"/>
      <c r="BR2038" s="151" t="n"/>
      <c r="BS2038" s="151" t="n"/>
      <c r="BT2038" s="151" t="n"/>
    </row>
    <row r="2039">
      <c r="BJ2039" s="151" t="n">
        <v>933214</v>
      </c>
      <c r="BK2039" s="151" t="inlineStr">
        <is>
          <t>SERVICIOS NO REMUNERADOS DE LABORATORIOS DE ANALISIS CLINICO</t>
        </is>
      </c>
      <c r="BL2039" s="151" t="n"/>
      <c r="BM2039" s="151" t="n"/>
      <c r="BN2039" s="151" t="n"/>
      <c r="BO2039" s="151" t="n"/>
      <c r="BP2039" s="151" t="n"/>
      <c r="BQ2039" s="151" t="n"/>
      <c r="BR2039" s="151" t="n"/>
      <c r="BS2039" s="151" t="n"/>
      <c r="BT2039" s="151" t="n"/>
    </row>
    <row r="2040">
      <c r="BJ2040" s="151" t="n">
        <v>933215</v>
      </c>
      <c r="BK2040" s="151" t="inlineStr">
        <is>
          <t>OTROS SERVICIOS NO REMUNERADOS AUXILIARES AL DIAGNOSTICO MEDICO</t>
        </is>
      </c>
      <c r="BL2040" s="151" t="n"/>
      <c r="BM2040" s="151" t="n"/>
      <c r="BN2040" s="151" t="n"/>
      <c r="BO2040" s="151" t="n"/>
      <c r="BP2040" s="151" t="n"/>
      <c r="BQ2040" s="151" t="n"/>
      <c r="BR2040" s="151" t="n"/>
      <c r="BS2040" s="151" t="n"/>
      <c r="BT2040" s="151" t="n"/>
    </row>
    <row r="2041">
      <c r="BJ2041" s="151" t="n">
        <v>933216</v>
      </c>
      <c r="BK2041" s="151" t="inlineStr">
        <is>
          <t>SERVICIOS NO REMUNERADOS A BANCOS AUXILIARES AL TRATAMIENTO MEDICO</t>
        </is>
      </c>
      <c r="BL2041" s="151" t="n"/>
      <c r="BM2041" s="151" t="n"/>
      <c r="BN2041" s="151" t="n"/>
      <c r="BO2041" s="151" t="n"/>
      <c r="BP2041" s="151" t="n"/>
      <c r="BQ2041" s="151" t="n"/>
      <c r="BR2041" s="151" t="n"/>
      <c r="BS2041" s="151" t="n"/>
      <c r="BT2041" s="151" t="n"/>
    </row>
    <row r="2042">
      <c r="BJ2042" s="151" t="n">
        <v>933217</v>
      </c>
      <c r="BK2042" s="151" t="inlineStr">
        <is>
          <t>OTROS SERVICIOS NO REMUNERADOS AUXILIARES AL TRATAMIENTO MEDICO</t>
        </is>
      </c>
      <c r="BL2042" s="151" t="n"/>
      <c r="BM2042" s="151" t="n"/>
      <c r="BN2042" s="151" t="n"/>
      <c r="BO2042" s="151" t="n"/>
      <c r="BP2042" s="151" t="n"/>
      <c r="BQ2042" s="151" t="n"/>
      <c r="BR2042" s="151" t="n"/>
      <c r="BS2042" s="151" t="n"/>
      <c r="BT2042" s="151" t="n"/>
    </row>
    <row r="2043">
      <c r="BJ2043" s="151" t="n">
        <v>933221</v>
      </c>
      <c r="BK2043" s="151" t="inlineStr">
        <is>
          <t>SERVICIOS VETERINARIOS NO REMUNERADOS A LA GANADERIA</t>
        </is>
      </c>
      <c r="BL2043" s="151" t="n"/>
      <c r="BM2043" s="151" t="n"/>
      <c r="BN2043" s="151" t="n"/>
      <c r="BO2043" s="151" t="n"/>
      <c r="BP2043" s="151" t="n"/>
      <c r="BQ2043" s="151" t="n"/>
      <c r="BR2043" s="151" t="n"/>
      <c r="BS2043" s="151" t="n"/>
      <c r="BT2043" s="151" t="n"/>
    </row>
    <row r="2044">
      <c r="BJ2044" s="151" t="n">
        <v>933222</v>
      </c>
      <c r="BK2044" s="151" t="inlineStr">
        <is>
          <t>OTROS SERVICIOS VETERINARIOS NO REMUNERADOS</t>
        </is>
      </c>
      <c r="BL2044" s="151" t="n"/>
      <c r="BM2044" s="151" t="n"/>
      <c r="BN2044" s="151" t="n"/>
      <c r="BO2044" s="151" t="n"/>
      <c r="BP2044" s="151" t="n"/>
      <c r="BQ2044" s="151" t="n"/>
      <c r="BR2044" s="151" t="n"/>
      <c r="BS2044" s="151" t="n"/>
      <c r="BT2044" s="151" t="n"/>
    </row>
    <row r="2045">
      <c r="BJ2045" s="151" t="n">
        <v>934100</v>
      </c>
      <c r="BK2045" s="151" t="inlineStr">
        <is>
          <t>SERVICIOS REMUNERADOS DE ASISTENCIA SOCIAL</t>
        </is>
      </c>
      <c r="BL2045" s="151" t="n"/>
      <c r="BM2045" s="151" t="n"/>
      <c r="BN2045" s="151" t="n"/>
      <c r="BO2045" s="151" t="n"/>
      <c r="BP2045" s="151" t="n"/>
      <c r="BQ2045" s="151" t="n"/>
      <c r="BR2045" s="151" t="n"/>
      <c r="BS2045" s="151" t="n"/>
      <c r="BT2045" s="151" t="n"/>
    </row>
    <row r="2046">
      <c r="BJ2046" s="151" t="n">
        <v>934200</v>
      </c>
      <c r="BK2046" s="151" t="inlineStr">
        <is>
          <t>SERVICIOS NO REMUNERADOS DE ASISTENCIA SOCIAL</t>
        </is>
      </c>
      <c r="BL2046" s="151" t="n"/>
      <c r="BM2046" s="151" t="n"/>
      <c r="BN2046" s="151" t="n"/>
      <c r="BO2046" s="151" t="n"/>
      <c r="BP2046" s="151" t="n"/>
      <c r="BQ2046" s="151" t="n"/>
      <c r="BR2046" s="151" t="n"/>
      <c r="BS2046" s="151" t="n"/>
      <c r="BT2046" s="151" t="n"/>
    </row>
    <row r="2047">
      <c r="BJ2047" s="151" t="n">
        <v>935001</v>
      </c>
      <c r="BK2047" s="151" t="inlineStr">
        <is>
          <t>SERVICIOS DE CAMARAS  ASOCIACIONES Y AGRUPACIONES DE PRODUCTORES Y  COMERCIANTES</t>
        </is>
      </c>
      <c r="BL2047" s="151" t="n"/>
      <c r="BM2047" s="151" t="n"/>
      <c r="BN2047" s="151" t="n"/>
      <c r="BO2047" s="151" t="n"/>
      <c r="BP2047" s="151" t="n"/>
      <c r="BQ2047" s="151" t="n"/>
      <c r="BR2047" s="151" t="n"/>
      <c r="BS2047" s="151" t="n"/>
      <c r="BT2047" s="151" t="n"/>
    </row>
    <row r="2048">
      <c r="BJ2048" s="151" t="n">
        <v>935002</v>
      </c>
      <c r="BK2048" s="151" t="inlineStr">
        <is>
          <t>SERVICIOS DE ORGANIZACIONES LABORALES Y SINDICALES</t>
        </is>
      </c>
      <c r="BL2048" s="151" t="n"/>
      <c r="BM2048" s="151" t="n"/>
      <c r="BN2048" s="151" t="n"/>
      <c r="BO2048" s="151" t="n"/>
      <c r="BP2048" s="151" t="n"/>
      <c r="BQ2048" s="151" t="n"/>
      <c r="BR2048" s="151" t="n"/>
      <c r="BS2048" s="151" t="n"/>
      <c r="BT2048" s="151" t="n"/>
    </row>
    <row r="2049">
      <c r="BJ2049" s="151" t="n">
        <v>935003</v>
      </c>
      <c r="BK2049" s="151" t="inlineStr">
        <is>
          <t>SERVICIOS DE ASOCIACIONES DE PROFESIONALES</t>
        </is>
      </c>
      <c r="BL2049" s="151" t="n"/>
      <c r="BM2049" s="151" t="n"/>
      <c r="BN2049" s="151" t="n"/>
      <c r="BO2049" s="151" t="n"/>
      <c r="BP2049" s="151" t="n"/>
      <c r="BQ2049" s="151" t="n"/>
      <c r="BR2049" s="151" t="n"/>
      <c r="BS2049" s="151" t="n"/>
      <c r="BT2049" s="151" t="n"/>
    </row>
    <row r="2050">
      <c r="BJ2050" s="151" t="n">
        <v>939001</v>
      </c>
      <c r="BK2050" s="151" t="inlineStr">
        <is>
          <t>SERVICIOS DE ORGANIZACIONES RELIGIOSAS</t>
        </is>
      </c>
      <c r="BL2050" s="151" t="n"/>
      <c r="BM2050" s="151" t="n"/>
      <c r="BN2050" s="151" t="n"/>
      <c r="BO2050" s="151" t="n"/>
      <c r="BP2050" s="151" t="n"/>
      <c r="BQ2050" s="151" t="n"/>
      <c r="BR2050" s="151" t="n"/>
      <c r="BS2050" s="151" t="n"/>
      <c r="BT2050" s="151" t="n"/>
    </row>
    <row r="2051">
      <c r="BJ2051" s="151" t="n">
        <v>939002</v>
      </c>
      <c r="BK2051" s="151" t="inlineStr">
        <is>
          <t>SERVICIOS DE ORGANIZACIONES POLITICAS</t>
        </is>
      </c>
      <c r="BL2051" s="151" t="n"/>
      <c r="BM2051" s="151" t="n"/>
      <c r="BN2051" s="151" t="n"/>
      <c r="BO2051" s="151" t="n"/>
      <c r="BP2051" s="151" t="n"/>
      <c r="BQ2051" s="151" t="n"/>
      <c r="BR2051" s="151" t="n"/>
      <c r="BS2051" s="151" t="n"/>
      <c r="BT2051" s="151" t="n"/>
    </row>
    <row r="2052">
      <c r="BJ2052" s="151" t="n">
        <v>939003</v>
      </c>
      <c r="BK2052" s="151" t="inlineStr">
        <is>
          <t>SERVICIOS ORGANIZACIONES CIVICAS Y CLUBES LITERARIOS</t>
        </is>
      </c>
      <c r="BL2052" s="151" t="n"/>
      <c r="BM2052" s="151" t="n"/>
      <c r="BN2052" s="151" t="n"/>
      <c r="BO2052" s="151" t="n"/>
      <c r="BP2052" s="151" t="n"/>
      <c r="BQ2052" s="151" t="n"/>
      <c r="BR2052" s="151" t="n"/>
      <c r="BS2052" s="151" t="n"/>
      <c r="BT2052" s="151" t="n"/>
    </row>
    <row r="2053">
      <c r="BJ2053" s="151" t="n">
        <v>941101</v>
      </c>
      <c r="BK2053" s="151" t="inlineStr">
        <is>
          <t>PRODUCTOS REMUNERADOS DE PELICULAS CINEMATOGRAFICAS Y  REVELADO</t>
        </is>
      </c>
      <c r="BL2053" s="151" t="n"/>
      <c r="BM2053" s="151" t="n"/>
      <c r="BN2053" s="151" t="n"/>
      <c r="BO2053" s="151" t="n"/>
      <c r="BP2053" s="151" t="n"/>
      <c r="BQ2053" s="151" t="n"/>
      <c r="BR2053" s="151" t="n"/>
      <c r="BS2053" s="151" t="n"/>
      <c r="BT2053" s="151" t="n"/>
    </row>
    <row r="2054">
      <c r="BJ2054" s="151" t="n">
        <v>941102</v>
      </c>
      <c r="BK2054" s="151" t="inlineStr">
        <is>
          <t>DISTRIBUCION Y ALQUILER DE PELICULAS CINEMATOGRAFICAS</t>
        </is>
      </c>
      <c r="BL2054" s="151" t="n"/>
      <c r="BM2054" s="151" t="n"/>
      <c r="BN2054" s="151" t="n"/>
      <c r="BO2054" s="151" t="n"/>
      <c r="BP2054" s="151" t="n"/>
      <c r="BQ2054" s="151" t="n"/>
      <c r="BR2054" s="151" t="n"/>
      <c r="BS2054" s="151" t="n"/>
      <c r="BT2054" s="151" t="n"/>
    </row>
    <row r="2055">
      <c r="BJ2055" s="151" t="n">
        <v>941103</v>
      </c>
      <c r="BK2055" s="151" t="inlineStr">
        <is>
          <t>EXHIBICION REMUNERADA DE PELICULAS CINEMATOGRAFICAS</t>
        </is>
      </c>
      <c r="BL2055" s="151" t="n"/>
      <c r="BM2055" s="151" t="n"/>
      <c r="BN2055" s="151" t="n"/>
      <c r="BO2055" s="151" t="n"/>
      <c r="BP2055" s="151" t="n"/>
      <c r="BQ2055" s="151" t="n"/>
      <c r="BR2055" s="151" t="n"/>
      <c r="BS2055" s="151" t="n"/>
      <c r="BT2055" s="151" t="n"/>
    </row>
    <row r="2056">
      <c r="BJ2056" s="151" t="n">
        <v>941104</v>
      </c>
      <c r="BK2056" s="151" t="inlineStr">
        <is>
          <t>PRODUCCION Y TRANSMICION REMUNERADA DE PROGRAMAS DE RADIO</t>
        </is>
      </c>
      <c r="BL2056" s="151" t="n"/>
      <c r="BM2056" s="151" t="n"/>
      <c r="BN2056" s="151" t="n"/>
      <c r="BO2056" s="151" t="n"/>
      <c r="BP2056" s="151" t="n"/>
      <c r="BQ2056" s="151" t="n"/>
      <c r="BR2056" s="151" t="n"/>
      <c r="BS2056" s="151" t="n"/>
      <c r="BT2056" s="151" t="n"/>
    </row>
    <row r="2057">
      <c r="BJ2057" s="151" t="n">
        <v>941105</v>
      </c>
      <c r="BK2057" s="151" t="inlineStr">
        <is>
          <t>PRODUCTOS DE  TRANSMISION Y REPETICION DE  PROGRAMAS TELEVISIVOS Y SERVICIOS REMUNERADOS</t>
        </is>
      </c>
      <c r="BL2057" s="151" t="n"/>
      <c r="BM2057" s="151" t="n"/>
      <c r="BN2057" s="151" t="n"/>
      <c r="BO2057" s="151" t="n"/>
      <c r="BP2057" s="151" t="n"/>
      <c r="BQ2057" s="151" t="n"/>
      <c r="BR2057" s="151" t="n"/>
      <c r="BS2057" s="151" t="n"/>
      <c r="BT2057" s="151" t="n"/>
    </row>
    <row r="2058">
      <c r="BJ2058" s="151" t="n">
        <v>941106</v>
      </c>
      <c r="BK2058" s="151" t="inlineStr">
        <is>
          <t>SERVICIOS REMUNERADOS DE PROMOCION Y MONTAJE DE REPRESENTACIONES DE ESPECTACULOS</t>
        </is>
      </c>
      <c r="BL2058" s="151" t="n"/>
      <c r="BM2058" s="151" t="n"/>
      <c r="BN2058" s="151" t="n"/>
      <c r="BO2058" s="151" t="n"/>
      <c r="BP2058" s="151" t="n"/>
      <c r="BQ2058" s="151" t="n"/>
      <c r="BR2058" s="151" t="n"/>
      <c r="BS2058" s="151" t="n"/>
      <c r="BT2058" s="151" t="n"/>
    </row>
    <row r="2059">
      <c r="BJ2059" s="151" t="n">
        <v>941107</v>
      </c>
      <c r="BK2059" s="151" t="inlineStr">
        <is>
          <t>SERVICIOS DE AUTORES COMPOSITORES Y OTROS ARTISTAS INDEPENDIENTES</t>
        </is>
      </c>
      <c r="BL2059" s="151" t="n"/>
      <c r="BM2059" s="151" t="n"/>
      <c r="BN2059" s="151" t="n"/>
      <c r="BO2059" s="151" t="n"/>
      <c r="BP2059" s="151" t="n"/>
      <c r="BQ2059" s="151" t="n"/>
      <c r="BR2059" s="151" t="n"/>
      <c r="BS2059" s="151" t="n"/>
      <c r="BT2059" s="151" t="n"/>
    </row>
    <row r="2060">
      <c r="BJ2060" s="151" t="n">
        <v>941201</v>
      </c>
      <c r="BK2060" s="151" t="inlineStr">
        <is>
          <t>PRODUCTOS NO REMUNERADOS DE PELICULAS CINEMATOGRAFICAS</t>
        </is>
      </c>
      <c r="BL2060" s="151" t="n"/>
      <c r="BM2060" s="151" t="n"/>
      <c r="BN2060" s="151" t="n"/>
      <c r="BO2060" s="151" t="n"/>
      <c r="BP2060" s="151" t="n"/>
      <c r="BQ2060" s="151" t="n"/>
      <c r="BR2060" s="151" t="n"/>
      <c r="BS2060" s="151" t="n"/>
      <c r="BT2060" s="151" t="n"/>
    </row>
    <row r="2061">
      <c r="BJ2061" s="151" t="n">
        <v>941202</v>
      </c>
      <c r="BK2061" s="151" t="inlineStr">
        <is>
          <t>EXHIBICION NO REMUNERADA DE PELICULAS CINEMATOGRAFICAS</t>
        </is>
      </c>
      <c r="BL2061" s="151" t="n"/>
      <c r="BM2061" s="151" t="n"/>
      <c r="BN2061" s="151" t="n"/>
      <c r="BO2061" s="151" t="n"/>
      <c r="BP2061" s="151" t="n"/>
      <c r="BQ2061" s="151" t="n"/>
      <c r="BR2061" s="151" t="n"/>
      <c r="BS2061" s="151" t="n"/>
      <c r="BT2061" s="151" t="n"/>
    </row>
    <row r="2062">
      <c r="BJ2062" s="151" t="n">
        <v>941203</v>
      </c>
      <c r="BK2062" s="151" t="inlineStr">
        <is>
          <t>EMISIONES NO REMUNERADAS  DE RADIO Y TELEVISION</t>
        </is>
      </c>
      <c r="BL2062" s="151" t="n"/>
      <c r="BM2062" s="151" t="n"/>
      <c r="BN2062" s="151" t="n"/>
      <c r="BO2062" s="151" t="n"/>
      <c r="BP2062" s="151" t="n"/>
      <c r="BQ2062" s="151" t="n"/>
      <c r="BR2062" s="151" t="n"/>
      <c r="BS2062" s="151" t="n"/>
      <c r="BT2062" s="151" t="n"/>
    </row>
    <row r="2063">
      <c r="BJ2063" s="151" t="n">
        <v>941204</v>
      </c>
      <c r="BK2063" s="151" t="inlineStr">
        <is>
          <t>SERVICIOS NO REMUNERADOS DE PROMOCION Y  MONTAJE DE REPRESTACIONES</t>
        </is>
      </c>
      <c r="BL2063" s="151" t="n"/>
      <c r="BM2063" s="151" t="n"/>
      <c r="BN2063" s="151" t="n"/>
      <c r="BO2063" s="151" t="n"/>
      <c r="BP2063" s="151" t="n"/>
      <c r="BQ2063" s="151" t="n"/>
      <c r="BR2063" s="151" t="n"/>
      <c r="BS2063" s="151" t="n"/>
      <c r="BT2063" s="151" t="n"/>
    </row>
    <row r="2064">
      <c r="BJ2064" s="151" t="n">
        <v>942101</v>
      </c>
      <c r="BK2064" s="151" t="inlineStr">
        <is>
          <t>SERVICIOS DE BIBLIOTECAS MUSEOS Y JARDINES BOTANICOS</t>
        </is>
      </c>
      <c r="BL2064" s="151" t="n"/>
      <c r="BM2064" s="151" t="n"/>
      <c r="BN2064" s="151" t="n"/>
      <c r="BO2064" s="151" t="n"/>
      <c r="BP2064" s="151" t="n"/>
      <c r="BQ2064" s="151" t="n"/>
      <c r="BR2064" s="151" t="n"/>
      <c r="BS2064" s="151" t="n"/>
      <c r="BT2064" s="151" t="n"/>
    </row>
    <row r="2065">
      <c r="BJ2065" s="151" t="n">
        <v>942102</v>
      </c>
      <c r="BK2065" s="151" t="inlineStr">
        <is>
          <t>SERVICIOS DE PROMOCION Y MONTAJE DE EXPOSICIONES DE PINTURAS Y ESCULTURAS</t>
        </is>
      </c>
      <c r="BL2065" s="151" t="n"/>
      <c r="BM2065" s="151" t="n"/>
      <c r="BN2065" s="151" t="n"/>
      <c r="BO2065" s="151" t="n"/>
      <c r="BP2065" s="151" t="n"/>
      <c r="BQ2065" s="151" t="n"/>
      <c r="BR2065" s="151" t="n"/>
      <c r="BS2065" s="151" t="n"/>
      <c r="BT2065" s="151" t="n"/>
    </row>
    <row r="2066">
      <c r="BJ2066" s="151" t="n">
        <v>942201</v>
      </c>
      <c r="BK2066" s="151" t="inlineStr">
        <is>
          <t>SERVICIOS NO REMUNERADOS DE PROMOTORES DE  MONTAJE PARA EXPOSICION DE PINTURA</t>
        </is>
      </c>
      <c r="BL2066" s="151" t="n"/>
      <c r="BM2066" s="151" t="n"/>
      <c r="BN2066" s="151" t="n"/>
      <c r="BO2066" s="151" t="n"/>
      <c r="BP2066" s="151" t="n"/>
      <c r="BQ2066" s="151" t="n"/>
      <c r="BR2066" s="151" t="n"/>
      <c r="BS2066" s="151" t="n"/>
      <c r="BT2066" s="151" t="n"/>
    </row>
    <row r="2067">
      <c r="BJ2067" s="151" t="n">
        <v>942202</v>
      </c>
      <c r="BK2067" s="151" t="inlineStr">
        <is>
          <t>SERVICIOS NO REMUNERADOS DE BIBLIOTECAS MUSEOS Y JARDIN BOTANICO</t>
        </is>
      </c>
      <c r="BL2067" s="151" t="n"/>
      <c r="BM2067" s="151" t="n"/>
      <c r="BN2067" s="151" t="n"/>
      <c r="BO2067" s="151" t="n"/>
      <c r="BP2067" s="151" t="n"/>
      <c r="BQ2067" s="151" t="n"/>
      <c r="BR2067" s="151" t="n"/>
      <c r="BS2067" s="151" t="n"/>
      <c r="BT2067" s="151" t="n"/>
    </row>
    <row r="2068">
      <c r="BJ2068" s="151" t="n">
        <v>949101</v>
      </c>
      <c r="BK2068" s="151" t="inlineStr">
        <is>
          <t>SERVICIOS REMUNERADOS DE CENTROS SOCIALES  RECREATIVOS Y DEPORTIVOS</t>
        </is>
      </c>
      <c r="BL2068" s="151" t="n"/>
      <c r="BM2068" s="151" t="n"/>
      <c r="BN2068" s="151" t="n"/>
      <c r="BO2068" s="151" t="n"/>
      <c r="BP2068" s="151" t="n"/>
      <c r="BQ2068" s="151" t="n"/>
      <c r="BR2068" s="151" t="n"/>
      <c r="BS2068" s="151" t="n"/>
      <c r="BT2068" s="151" t="n"/>
    </row>
    <row r="2069">
      <c r="BJ2069" s="151" t="n">
        <v>949102</v>
      </c>
      <c r="BK2069" s="151" t="inlineStr">
        <is>
          <t>SERVICIOS REMUNERADOS DE PROMOCIONES Y  PRESENTACIONES DE  EXPECTACULOS  DEPORTIVOS</t>
        </is>
      </c>
      <c r="BL2069" s="151" t="n"/>
      <c r="BM2069" s="151" t="n"/>
      <c r="BN2069" s="151" t="n"/>
      <c r="BO2069" s="151" t="n"/>
      <c r="BP2069" s="151" t="n"/>
      <c r="BQ2069" s="151" t="n"/>
      <c r="BR2069" s="151" t="n"/>
      <c r="BS2069" s="151" t="n"/>
      <c r="BT2069" s="151" t="n"/>
    </row>
    <row r="2070">
      <c r="BJ2070" s="151" t="n">
        <v>949103</v>
      </c>
      <c r="BK2070" s="151" t="inlineStr">
        <is>
          <t>SERVICIOS REMUNERADOS DE ENSEÑANZA DE GIMNASIA  Y ARTES MARCIALES</t>
        </is>
      </c>
      <c r="BL2070" s="151" t="n"/>
      <c r="BM2070" s="151" t="n"/>
      <c r="BN2070" s="151" t="n"/>
      <c r="BO2070" s="151" t="n"/>
      <c r="BP2070" s="151" t="n"/>
      <c r="BQ2070" s="151" t="n"/>
      <c r="BR2070" s="151" t="n"/>
      <c r="BS2070" s="151" t="n"/>
      <c r="BT2070" s="151" t="n"/>
    </row>
    <row r="2071">
      <c r="BJ2071" s="151" t="n">
        <v>949104</v>
      </c>
      <c r="BK2071" s="151" t="inlineStr">
        <is>
          <t>SERVICIOS DE FEDERACIONES Y ASOCIACIONES DEPORTIVAS Y OTRAS</t>
        </is>
      </c>
      <c r="BL2071" s="151" t="n"/>
      <c r="BM2071" s="151" t="n"/>
      <c r="BN2071" s="151" t="n"/>
      <c r="BO2071" s="151" t="n"/>
      <c r="BP2071" s="151" t="n"/>
      <c r="BQ2071" s="151" t="n"/>
      <c r="BR2071" s="151" t="n"/>
      <c r="BS2071" s="151" t="n"/>
      <c r="BT2071" s="151" t="n"/>
    </row>
    <row r="2072">
      <c r="BJ2072" s="151" t="n">
        <v>949105</v>
      </c>
      <c r="BK2072" s="151" t="inlineStr">
        <is>
          <t>OTROS SERVICIOS RECREATIVOS Y DE ESPARCIMIENTO REMUNERDO</t>
        </is>
      </c>
      <c r="BL2072" s="151" t="n"/>
      <c r="BM2072" s="151" t="n"/>
      <c r="BN2072" s="151" t="n"/>
      <c r="BO2072" s="151" t="n"/>
      <c r="BP2072" s="151" t="n"/>
      <c r="BQ2072" s="151" t="n"/>
      <c r="BR2072" s="151" t="n"/>
      <c r="BS2072" s="151" t="n"/>
      <c r="BT2072" s="151" t="n"/>
    </row>
    <row r="2073">
      <c r="BJ2073" s="151" t="n">
        <v>949106</v>
      </c>
      <c r="BK2073" s="151" t="inlineStr">
        <is>
          <t>SERVICIOS DE LOTERIAS PRONOSTICOS DEPORTIVOS Y DISTRIBUIDORES</t>
        </is>
      </c>
      <c r="BL2073" s="151" t="n"/>
      <c r="BM2073" s="151" t="n"/>
      <c r="BN2073" s="151" t="n"/>
      <c r="BO2073" s="151" t="n"/>
      <c r="BP2073" s="151" t="n"/>
      <c r="BQ2073" s="151" t="n"/>
      <c r="BR2073" s="151" t="n"/>
      <c r="BS2073" s="151" t="n"/>
      <c r="BT2073" s="151" t="n"/>
    </row>
    <row r="2074">
      <c r="BJ2074" s="151" t="n">
        <v>949201</v>
      </c>
      <c r="BK2074" s="151" t="inlineStr">
        <is>
          <t>SERVICIOS NO REMUNERADOS DE CENTROS SOCIALES  RECREATIVOS Y DEPORTIVOS</t>
        </is>
      </c>
      <c r="BL2074" s="151" t="n"/>
      <c r="BM2074" s="151" t="n"/>
      <c r="BN2074" s="151" t="n"/>
      <c r="BO2074" s="151" t="n"/>
      <c r="BP2074" s="151" t="n"/>
      <c r="BQ2074" s="151" t="n"/>
      <c r="BR2074" s="151" t="n"/>
      <c r="BS2074" s="151" t="n"/>
      <c r="BT2074" s="151" t="n"/>
    </row>
    <row r="2075">
      <c r="BJ2075" s="151" t="n">
        <v>949202</v>
      </c>
      <c r="BK2075" s="151" t="inlineStr">
        <is>
          <t>SERVICIOS NO REMUNERADOS DE PROMOCION Y REPRESENTACION DE ESPECTACULOS</t>
        </is>
      </c>
      <c r="BL2075" s="151" t="n"/>
      <c r="BM2075" s="151" t="n"/>
      <c r="BN2075" s="151" t="n"/>
      <c r="BO2075" s="151" t="n"/>
      <c r="BP2075" s="151" t="n"/>
      <c r="BQ2075" s="151" t="n"/>
      <c r="BR2075" s="151" t="n"/>
      <c r="BS2075" s="151" t="n"/>
      <c r="BT2075" s="151" t="n"/>
    </row>
    <row r="2076">
      <c r="BJ2076" s="151" t="n">
        <v>949203</v>
      </c>
      <c r="BK2076" s="151" t="inlineStr">
        <is>
          <t>SERVICIOS NO REMUNERADOS DE ENSEÑANZA DE GIMNASIA Y ARTES</t>
        </is>
      </c>
      <c r="BL2076" s="151" t="n"/>
      <c r="BM2076" s="151" t="n"/>
      <c r="BN2076" s="151" t="n"/>
      <c r="BO2076" s="151" t="n"/>
      <c r="BP2076" s="151" t="n"/>
      <c r="BQ2076" s="151" t="n"/>
      <c r="BR2076" s="151" t="n"/>
      <c r="BS2076" s="151" t="n"/>
      <c r="BT2076" s="151" t="n"/>
    </row>
    <row r="2077">
      <c r="BJ2077" s="151" t="n">
        <v>949204</v>
      </c>
      <c r="BK2077" s="151" t="inlineStr">
        <is>
          <t>OTROS SERVICIOS RECREATIVOS Y DE  ESPARCIMIENTO NO REMUNERADO</t>
        </is>
      </c>
      <c r="BL2077" s="151" t="n"/>
      <c r="BM2077" s="151" t="n"/>
      <c r="BN2077" s="151" t="n"/>
      <c r="BO2077" s="151" t="n"/>
      <c r="BP2077" s="151" t="n"/>
      <c r="BQ2077" s="151" t="n"/>
      <c r="BR2077" s="151" t="n"/>
      <c r="BS2077" s="151" t="n"/>
      <c r="BT2077" s="151" t="n"/>
    </row>
    <row r="2078">
      <c r="BJ2078" s="151" t="n">
        <v>951101</v>
      </c>
      <c r="BK2078" s="151" t="inlineStr">
        <is>
          <t>SERVICIOS DE REPARACION DE AUTOMOVILES Y CAMIONES</t>
        </is>
      </c>
      <c r="BL2078" s="151" t="n"/>
      <c r="BM2078" s="151" t="n"/>
      <c r="BN2078" s="151" t="n"/>
      <c r="BO2078" s="151" t="n"/>
      <c r="BP2078" s="151" t="n"/>
      <c r="BQ2078" s="151" t="n"/>
      <c r="BR2078" s="151" t="n"/>
      <c r="BS2078" s="151" t="n"/>
      <c r="BT2078" s="151" t="n"/>
    </row>
    <row r="2079">
      <c r="BJ2079" s="151" t="n">
        <v>951102</v>
      </c>
      <c r="BK2079" s="151" t="inlineStr">
        <is>
          <t>SERVICIOS DE REPARACION DE PARTES  DE  AUTOMOVILES CAMIONES</t>
        </is>
      </c>
      <c r="BL2079" s="151" t="n"/>
      <c r="BM2079" s="151" t="n"/>
      <c r="BN2079" s="151" t="n"/>
      <c r="BO2079" s="151" t="n"/>
      <c r="BP2079" s="151" t="n"/>
      <c r="BQ2079" s="151" t="n"/>
      <c r="BR2079" s="151" t="n"/>
      <c r="BS2079" s="151" t="n"/>
      <c r="BT2079" s="151" t="n"/>
    </row>
    <row r="2080">
      <c r="BJ2080" s="151" t="n">
        <v>951103</v>
      </c>
      <c r="BK2080" s="151" t="inlineStr">
        <is>
          <t>SERVICIO DE REPARACION DE CARROCERIAS</t>
        </is>
      </c>
      <c r="BL2080" s="151" t="n"/>
      <c r="BM2080" s="151" t="n"/>
      <c r="BN2080" s="151" t="n"/>
      <c r="BO2080" s="151" t="n"/>
      <c r="BP2080" s="151" t="n"/>
      <c r="BQ2080" s="151" t="n"/>
      <c r="BR2080" s="151" t="n"/>
      <c r="BS2080" s="151" t="n"/>
      <c r="BT2080" s="151" t="n"/>
    </row>
    <row r="2081">
      <c r="BJ2081" s="151" t="n">
        <v>951104</v>
      </c>
      <c r="BK2081" s="151" t="inlineStr">
        <is>
          <t>SERVICIO DE LAVADO Y LUBRICACION DE AUTOMOVILES</t>
        </is>
      </c>
      <c r="BL2081" s="151" t="n"/>
      <c r="BM2081" s="151" t="n"/>
      <c r="BN2081" s="151" t="n"/>
      <c r="BO2081" s="151" t="n"/>
      <c r="BP2081" s="151" t="n"/>
      <c r="BQ2081" s="151" t="n"/>
      <c r="BR2081" s="151" t="n"/>
      <c r="BS2081" s="151" t="n"/>
      <c r="BT2081" s="151" t="n"/>
    </row>
    <row r="2082">
      <c r="BJ2082" s="151" t="n">
        <v>951105</v>
      </c>
      <c r="BK2082" s="151" t="inlineStr">
        <is>
          <t>SERVICIO DE REPARACION MENOR DE LLANTAS Y CAMARAS</t>
        </is>
      </c>
      <c r="BL2082" s="151" t="n"/>
      <c r="BM2082" s="151" t="n"/>
      <c r="BN2082" s="151" t="n"/>
      <c r="BO2082" s="151" t="n"/>
      <c r="BP2082" s="151" t="n"/>
      <c r="BQ2082" s="151" t="n"/>
      <c r="BR2082" s="151" t="n"/>
      <c r="BS2082" s="151" t="n"/>
      <c r="BT2082" s="151" t="n"/>
    </row>
    <row r="2083">
      <c r="BJ2083" s="151" t="n">
        <v>951201</v>
      </c>
      <c r="BK2083" s="151" t="inlineStr">
        <is>
          <t>SERVICIO DE REPARACION DE  CALZADO Y OTROS ARTICULOS DE CUERO Y PIEL</t>
        </is>
      </c>
      <c r="BL2083" s="151" t="n"/>
      <c r="BM2083" s="151" t="n"/>
      <c r="BN2083" s="151" t="n"/>
      <c r="BO2083" s="151" t="n"/>
      <c r="BP2083" s="151" t="n"/>
      <c r="BQ2083" s="151" t="n"/>
      <c r="BR2083" s="151" t="n"/>
      <c r="BS2083" s="151" t="n"/>
      <c r="BT2083" s="151" t="n"/>
    </row>
    <row r="2084">
      <c r="BJ2084" s="151" t="n">
        <v>951202</v>
      </c>
      <c r="BK2084" s="151" t="inlineStr">
        <is>
          <t>SERVICIO DE REPARACION DE  APARATOS ELECTRICOS Y ELECTRONICOS DE USO</t>
        </is>
      </c>
      <c r="BL2084" s="151" t="n"/>
      <c r="BM2084" s="151" t="n"/>
      <c r="BN2084" s="151" t="n"/>
      <c r="BO2084" s="151" t="n"/>
      <c r="BP2084" s="151" t="n"/>
      <c r="BQ2084" s="151" t="n"/>
      <c r="BR2084" s="151" t="n"/>
      <c r="BS2084" s="151" t="n"/>
      <c r="BT2084" s="151" t="n"/>
    </row>
    <row r="2085">
      <c r="BJ2085" s="151" t="n">
        <v>951203</v>
      </c>
      <c r="BK2085" s="151" t="inlineStr">
        <is>
          <t>SERVICIO DE REPARACION DE MOTOCICLETAS</t>
        </is>
      </c>
      <c r="BL2085" s="151" t="n"/>
      <c r="BM2085" s="151" t="n"/>
      <c r="BN2085" s="151" t="n"/>
      <c r="BO2085" s="151" t="n"/>
      <c r="BP2085" s="151" t="n"/>
      <c r="BQ2085" s="151" t="n"/>
      <c r="BR2085" s="151" t="n"/>
      <c r="BS2085" s="151" t="n"/>
      <c r="BT2085" s="151" t="n"/>
    </row>
    <row r="2086">
      <c r="BJ2086" s="151" t="n">
        <v>951204</v>
      </c>
      <c r="BK2086" s="151" t="inlineStr">
        <is>
          <t>SERVICIO DE REPARACION DE RELOJES Y JOYAS</t>
        </is>
      </c>
      <c r="BL2086" s="151" t="n"/>
      <c r="BM2086" s="151" t="n"/>
      <c r="BN2086" s="151" t="n"/>
      <c r="BO2086" s="151" t="n"/>
      <c r="BP2086" s="151" t="n"/>
      <c r="BQ2086" s="151" t="n"/>
      <c r="BR2086" s="151" t="n"/>
      <c r="BS2086" s="151" t="n"/>
      <c r="BT2086" s="151" t="n"/>
    </row>
    <row r="2087">
      <c r="BJ2087" s="151" t="n">
        <v>951205</v>
      </c>
      <c r="BK2087" s="151" t="inlineStr">
        <is>
          <t>SERVICIO DE CERRAJERIAS</t>
        </is>
      </c>
      <c r="BL2087" s="151" t="n"/>
      <c r="BM2087" s="151" t="n"/>
      <c r="BN2087" s="151" t="n"/>
      <c r="BO2087" s="151" t="n"/>
      <c r="BP2087" s="151" t="n"/>
      <c r="BQ2087" s="151" t="n"/>
      <c r="BR2087" s="151" t="n"/>
      <c r="BS2087" s="151" t="n"/>
      <c r="BT2087" s="151" t="n"/>
    </row>
    <row r="2088">
      <c r="BJ2088" s="151" t="n">
        <v>951206</v>
      </c>
      <c r="BK2088" s="151" t="inlineStr">
        <is>
          <t>SERVICIO DE REPARACION DE BICICLETAS</t>
        </is>
      </c>
      <c r="BL2088" s="151" t="n"/>
      <c r="BM2088" s="151" t="n"/>
      <c r="BN2088" s="151" t="n"/>
      <c r="BO2088" s="151" t="n"/>
      <c r="BP2088" s="151" t="n"/>
      <c r="BQ2088" s="151" t="n"/>
      <c r="BR2088" s="151" t="n"/>
      <c r="BS2088" s="151" t="n"/>
      <c r="BT2088" s="151" t="n"/>
    </row>
    <row r="2089">
      <c r="BJ2089" s="151" t="n">
        <v>951207</v>
      </c>
      <c r="BK2089" s="151" t="inlineStr">
        <is>
          <t>SERVICIO DE REPARACION DE  JUGUETES PARAGUAS Y OTROS ARTICULOS</t>
        </is>
      </c>
      <c r="BL2089" s="151" t="n"/>
      <c r="BM2089" s="151" t="n"/>
      <c r="BN2089" s="151" t="n"/>
      <c r="BO2089" s="151" t="n"/>
      <c r="BP2089" s="151" t="n"/>
      <c r="BQ2089" s="151" t="n"/>
      <c r="BR2089" s="151" t="n"/>
      <c r="BS2089" s="151" t="n"/>
      <c r="BT2089" s="151" t="n"/>
    </row>
    <row r="2090">
      <c r="BJ2090" s="151" t="n">
        <v>951208</v>
      </c>
      <c r="BK2090" s="151" t="inlineStr">
        <is>
          <t>SERVICIO DE REPARACION DE OTROS ARTICULOS Y APARATOS</t>
        </is>
      </c>
      <c r="BL2090" s="151" t="n"/>
      <c r="BM2090" s="151" t="n"/>
      <c r="BN2090" s="151" t="n"/>
      <c r="BO2090" s="151" t="n"/>
      <c r="BP2090" s="151" t="n"/>
      <c r="BQ2090" s="151" t="n"/>
      <c r="BR2090" s="151" t="n"/>
      <c r="BS2090" s="151" t="n"/>
      <c r="BT2090" s="151" t="n"/>
    </row>
    <row r="2091">
      <c r="BJ2091" s="151" t="n">
        <v>952001</v>
      </c>
      <c r="BK2091" s="151" t="inlineStr">
        <is>
          <t>SERVICIO DE LAVANDERIA Y TINTORERIA DE ROPA</t>
        </is>
      </c>
      <c r="BL2091" s="151" t="n"/>
      <c r="BM2091" s="151" t="n"/>
      <c r="BN2091" s="151" t="n"/>
      <c r="BO2091" s="151" t="n"/>
      <c r="BP2091" s="151" t="n"/>
      <c r="BQ2091" s="151" t="n"/>
      <c r="BR2091" s="151" t="n"/>
      <c r="BS2091" s="151" t="n"/>
      <c r="BT2091" s="151" t="n"/>
    </row>
    <row r="2092">
      <c r="BJ2092" s="151" t="n">
        <v>952002</v>
      </c>
      <c r="BK2092" s="151" t="inlineStr">
        <is>
          <t>SERVICIO DE LAVADO Y TEÑIDO DE ALFOMBRAS Y CORTINAS</t>
        </is>
      </c>
      <c r="BL2092" s="151" t="n"/>
      <c r="BM2092" s="151" t="n"/>
      <c r="BN2092" s="151" t="n"/>
      <c r="BO2092" s="151" t="n"/>
      <c r="BP2092" s="151" t="n"/>
      <c r="BQ2092" s="151" t="n"/>
      <c r="BR2092" s="151" t="n"/>
      <c r="BS2092" s="151" t="n"/>
      <c r="BT2092" s="151" t="n"/>
    </row>
    <row r="2093">
      <c r="BJ2093" s="151" t="n">
        <v>952003</v>
      </c>
      <c r="BK2093" s="151" t="inlineStr">
        <is>
          <t>SERVICIO DE ALQUILER DE ROPA BLANCA</t>
        </is>
      </c>
      <c r="BL2093" s="151" t="n"/>
      <c r="BM2093" s="151" t="n"/>
      <c r="BN2093" s="151" t="n"/>
      <c r="BO2093" s="151" t="n"/>
      <c r="BP2093" s="151" t="n"/>
      <c r="BQ2093" s="151" t="n"/>
      <c r="BR2093" s="151" t="n"/>
      <c r="BS2093" s="151" t="n"/>
      <c r="BT2093" s="151" t="n"/>
    </row>
    <row r="2094">
      <c r="BJ2094" s="151" t="n">
        <v>952004</v>
      </c>
      <c r="BK2094" s="151" t="inlineStr">
        <is>
          <t>SERVICIO DE REPARACION DE LIMPIEZA DE SOMBREROS</t>
        </is>
      </c>
      <c r="BL2094" s="151" t="n"/>
      <c r="BM2094" s="151" t="n"/>
      <c r="BN2094" s="151" t="n"/>
      <c r="BO2094" s="151" t="n"/>
      <c r="BP2094" s="151" t="n"/>
      <c r="BQ2094" s="151" t="n"/>
      <c r="BR2094" s="151" t="n"/>
      <c r="BS2094" s="151" t="n"/>
      <c r="BT2094" s="151" t="n"/>
    </row>
    <row r="2095">
      <c r="BJ2095" s="151" t="n">
        <v>952005</v>
      </c>
      <c r="BK2095" s="151" t="inlineStr">
        <is>
          <t>SERVICIO Y ALQUILER DE ROPA DE ETIQUETA Y FANTASIA</t>
        </is>
      </c>
      <c r="BL2095" s="151" t="n"/>
      <c r="BM2095" s="151" t="n"/>
      <c r="BN2095" s="151" t="n"/>
      <c r="BO2095" s="151" t="n"/>
      <c r="BP2095" s="151" t="n"/>
      <c r="BQ2095" s="151" t="n"/>
      <c r="BR2095" s="151" t="n"/>
      <c r="BS2095" s="151" t="n"/>
      <c r="BT2095" s="151" t="n"/>
    </row>
    <row r="2096">
      <c r="BJ2096" s="151" t="n">
        <v>953001</v>
      </c>
      <c r="BK2096" s="151" t="inlineStr">
        <is>
          <t>SERVICIOS DOMESTICOS</t>
        </is>
      </c>
      <c r="BL2096" s="151" t="n"/>
      <c r="BM2096" s="151" t="n"/>
      <c r="BN2096" s="151" t="n"/>
      <c r="BO2096" s="151" t="n"/>
      <c r="BP2096" s="151" t="n"/>
      <c r="BQ2096" s="151" t="n"/>
      <c r="BR2096" s="151" t="n"/>
      <c r="BS2096" s="151" t="n"/>
      <c r="BT2096" s="151" t="n"/>
    </row>
    <row r="2097">
      <c r="BJ2097" s="151" t="n">
        <v>953002</v>
      </c>
      <c r="BK2097" s="151" t="inlineStr">
        <is>
          <t>SERVICIO DE JARDINERIA DOMESTICA</t>
        </is>
      </c>
      <c r="BL2097" s="151" t="n"/>
      <c r="BM2097" s="151" t="n"/>
      <c r="BN2097" s="151" t="n"/>
      <c r="BO2097" s="151" t="n"/>
      <c r="BP2097" s="151" t="n"/>
      <c r="BQ2097" s="151" t="n"/>
      <c r="BR2097" s="151" t="n"/>
      <c r="BS2097" s="151" t="n"/>
      <c r="BT2097" s="151" t="n"/>
    </row>
    <row r="2098">
      <c r="BJ2098" s="151" t="n">
        <v>959001</v>
      </c>
      <c r="BK2098" s="151" t="inlineStr">
        <is>
          <t>SERVICIO DE SALONES DE BELLEZA Y PELUQUERIA</t>
        </is>
      </c>
      <c r="BL2098" s="151" t="n"/>
      <c r="BM2098" s="151" t="n"/>
      <c r="BN2098" s="151" t="n"/>
      <c r="BO2098" s="151" t="n"/>
      <c r="BP2098" s="151" t="n"/>
      <c r="BQ2098" s="151" t="n"/>
      <c r="BR2098" s="151" t="n"/>
      <c r="BS2098" s="151" t="n"/>
      <c r="BT2098" s="151" t="n"/>
    </row>
    <row r="2099">
      <c r="BJ2099" s="151" t="n">
        <v>959002</v>
      </c>
      <c r="BK2099" s="151" t="inlineStr">
        <is>
          <t>SERVICIO DE FOTOGRAFIA</t>
        </is>
      </c>
      <c r="BL2099" s="151" t="n"/>
      <c r="BM2099" s="151" t="n"/>
      <c r="BN2099" s="151" t="n"/>
      <c r="BO2099" s="151" t="n"/>
      <c r="BP2099" s="151" t="n"/>
      <c r="BQ2099" s="151" t="n"/>
      <c r="BR2099" s="151" t="n"/>
      <c r="BS2099" s="151" t="n"/>
      <c r="BT2099" s="151" t="n"/>
    </row>
    <row r="2100">
      <c r="BJ2100" s="151" t="n">
        <v>959003</v>
      </c>
      <c r="BK2100" s="151" t="inlineStr">
        <is>
          <t>SERVICIO DE REVELADO FOTOGRAFIAS Y PELICULAS</t>
        </is>
      </c>
      <c r="BL2100" s="151" t="n"/>
      <c r="BM2100" s="151" t="n"/>
      <c r="BN2100" s="151" t="n"/>
      <c r="BO2100" s="151" t="n"/>
      <c r="BP2100" s="151" t="n"/>
      <c r="BQ2100" s="151" t="n"/>
      <c r="BR2100" s="151" t="n"/>
      <c r="BS2100" s="151" t="n"/>
      <c r="BT2100" s="151" t="n"/>
    </row>
    <row r="2101">
      <c r="BJ2101" s="151" t="n">
        <v>959004</v>
      </c>
      <c r="BK2101" s="151" t="inlineStr">
        <is>
          <t>SERVICIO DE BAÑOS PUBLICOS</t>
        </is>
      </c>
      <c r="BL2101" s="151" t="n"/>
      <c r="BM2101" s="151" t="n"/>
      <c r="BN2101" s="151" t="n"/>
      <c r="BO2101" s="151" t="n"/>
      <c r="BP2101" s="151" t="n"/>
      <c r="BQ2101" s="151" t="n"/>
      <c r="BR2101" s="151" t="n"/>
      <c r="BS2101" s="151" t="n"/>
      <c r="BT2101" s="151" t="n"/>
    </row>
    <row r="2102">
      <c r="BJ2102" s="151" t="n">
        <v>959005</v>
      </c>
      <c r="BK2102" s="151" t="inlineStr">
        <is>
          <t>SERVICIO DE MASAJISTA BOLERIAS Y SANITARIOS PUBLICOS</t>
        </is>
      </c>
      <c r="BL2102" s="151" t="n"/>
      <c r="BM2102" s="151" t="n"/>
      <c r="BN2102" s="151" t="n"/>
      <c r="BO2102" s="151" t="n"/>
      <c r="BP2102" s="151" t="n"/>
      <c r="BQ2102" s="151" t="n"/>
      <c r="BR2102" s="151" t="n"/>
      <c r="BS2102" s="151" t="n"/>
      <c r="BT2102" s="151" t="n"/>
    </row>
    <row r="2103">
      <c r="BJ2103" s="151" t="n">
        <v>959006</v>
      </c>
      <c r="BK2103" s="151" t="inlineStr">
        <is>
          <t>SERVICIOS DE AGENCIAS FUNERARIAS</t>
        </is>
      </c>
      <c r="BL2103" s="151" t="n"/>
      <c r="BM2103" s="151" t="n"/>
      <c r="BN2103" s="151" t="n"/>
      <c r="BO2103" s="151" t="n"/>
      <c r="BP2103" s="151" t="n"/>
      <c r="BQ2103" s="151" t="n"/>
      <c r="BR2103" s="151" t="n"/>
      <c r="BS2103" s="151" t="n"/>
      <c r="BT2103" s="151" t="n"/>
    </row>
    <row r="2104">
      <c r="BJ2104" s="151" t="n">
        <v>959007</v>
      </c>
      <c r="BK2104" s="151" t="inlineStr">
        <is>
          <t>SERVICIO DE GUIAS DE TURISMO POR CUENTA PROPIA</t>
        </is>
      </c>
      <c r="BL2104" s="151" t="n"/>
      <c r="BM2104" s="151" t="n"/>
      <c r="BN2104" s="151" t="n"/>
      <c r="BO2104" s="151" t="n"/>
      <c r="BP2104" s="151" t="n"/>
      <c r="BQ2104" s="151" t="n"/>
      <c r="BR2104" s="151" t="n"/>
      <c r="BS2104" s="151" t="n"/>
      <c r="BT2104" s="151" t="n"/>
    </row>
    <row r="2105">
      <c r="BJ2105" s="151" t="n">
        <v>959008</v>
      </c>
      <c r="BK2105" s="151" t="inlineStr">
        <is>
          <t>SERVICIOS DE PREDICCION DEL FUTURO</t>
        </is>
      </c>
      <c r="BL2105" s="151" t="n"/>
      <c r="BM2105" s="151" t="n"/>
      <c r="BN2105" s="151" t="n"/>
      <c r="BO2105" s="151" t="n"/>
      <c r="BP2105" s="151" t="n"/>
      <c r="BQ2105" s="151" t="n"/>
      <c r="BR2105" s="151" t="n"/>
      <c r="BS2105" s="151" t="n"/>
      <c r="BT2105" s="151" t="n"/>
    </row>
    <row r="2106">
      <c r="BJ2106" s="151" t="n">
        <v>959009</v>
      </c>
      <c r="BK2106" s="151" t="inlineStr">
        <is>
          <t>OTROS SERVICIOS PERSONALES NO CLASIFICADOS</t>
        </is>
      </c>
      <c r="BL2106" s="151" t="n"/>
      <c r="BM2106" s="151" t="n"/>
      <c r="BN2106" s="151" t="n"/>
      <c r="BO2106" s="151" t="n"/>
      <c r="BP2106" s="151" t="n"/>
      <c r="BQ2106" s="151" t="n"/>
      <c r="BR2106" s="151" t="n"/>
      <c r="BS2106" s="151" t="n"/>
      <c r="BT2106" s="151" t="n"/>
    </row>
    <row r="2107">
      <c r="BJ2107" s="151" t="n">
        <v>999999</v>
      </c>
      <c r="BK2107" s="151" t="inlineStr">
        <is>
          <t>ACTIVIDAD DESCONOCIDA</t>
        </is>
      </c>
      <c r="BL2107" s="151" t="n"/>
      <c r="BM2107" s="151" t="n"/>
      <c r="BN2107" s="151" t="n"/>
      <c r="BO2107" s="151" t="n"/>
      <c r="BP2107" s="151" t="n"/>
      <c r="BQ2107" s="151" t="n"/>
      <c r="BR2107" s="151" t="n"/>
      <c r="BS2107" s="151" t="n"/>
      <c r="BT2107" s="151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D78"/>
  <mergeCells count="617">
    <mergeCell ref="Y37:AG38"/>
    <mergeCell ref="AT37:AW38"/>
    <mergeCell ref="AQ46:AS46"/>
    <mergeCell ref="W25:AA25"/>
    <mergeCell ref="CD40:CF40"/>
    <mergeCell ref="BI53:BK53"/>
    <mergeCell ref="V74:X74"/>
    <mergeCell ref="AQ61:AS61"/>
    <mergeCell ref="CG58:CL58"/>
    <mergeCell ref="AN60:AP60"/>
    <mergeCell ref="Y59:AG59"/>
    <mergeCell ref="BV54:BZ54"/>
    <mergeCell ref="BI55:BK55"/>
    <mergeCell ref="BV41:BZ41"/>
    <mergeCell ref="AX63:BA63"/>
    <mergeCell ref="CG60:CL60"/>
    <mergeCell ref="AX50:BA50"/>
    <mergeCell ref="Y49:AG49"/>
    <mergeCell ref="K29:AA29"/>
    <mergeCell ref="BT50:BU50"/>
    <mergeCell ref="BL53:BN53"/>
    <mergeCell ref="B37:B38"/>
    <mergeCell ref="F70:P70"/>
    <mergeCell ref="BT55:BU55"/>
    <mergeCell ref="AV27:AY27"/>
    <mergeCell ref="D52:J52"/>
    <mergeCell ref="BL61:BN61"/>
    <mergeCell ref="BO53:BS53"/>
    <mergeCell ref="AT48:AW48"/>
    <mergeCell ref="BN2:CK2"/>
    <mergeCell ref="CD45:CF45"/>
    <mergeCell ref="BI58:BK58"/>
    <mergeCell ref="AX52:BA52"/>
    <mergeCell ref="S37:X38"/>
    <mergeCell ref="CD55:CF55"/>
    <mergeCell ref="M37:R38"/>
    <mergeCell ref="B6:O6"/>
    <mergeCell ref="D53:J53"/>
    <mergeCell ref="Y62:AG62"/>
    <mergeCell ref="D47:J47"/>
    <mergeCell ref="AQ51:AS51"/>
    <mergeCell ref="CA58:CC58"/>
    <mergeCell ref="Y54:AG54"/>
    <mergeCell ref="CA39:CC39"/>
    <mergeCell ref="CD42:CF42"/>
    <mergeCell ref="AX53:BA53"/>
    <mergeCell ref="CG46:CL46"/>
    <mergeCell ref="AX47:BA47"/>
    <mergeCell ref="Y51:AG51"/>
    <mergeCell ref="BV42:BZ42"/>
    <mergeCell ref="AO33:AT33"/>
    <mergeCell ref="BT45:BU45"/>
    <mergeCell ref="AX55:BA55"/>
    <mergeCell ref="V15:AA15"/>
    <mergeCell ref="CD58:CF58"/>
    <mergeCell ref="N35:Q35"/>
    <mergeCell ref="K41:L41"/>
    <mergeCell ref="BL51:BN51"/>
    <mergeCell ref="BN3:CK11"/>
    <mergeCell ref="K56:L56"/>
    <mergeCell ref="BV56:BZ56"/>
    <mergeCell ref="K43:L43"/>
    <mergeCell ref="BE54:BH54"/>
    <mergeCell ref="V33:AA33"/>
    <mergeCell ref="BV57:BZ57"/>
    <mergeCell ref="CA54:CC54"/>
    <mergeCell ref="CA41:CC41"/>
    <mergeCell ref="Y39:AG39"/>
    <mergeCell ref="CA56:CC56"/>
    <mergeCell ref="CG61:CL61"/>
    <mergeCell ref="AT62:AW62"/>
    <mergeCell ref="AX43:BA43"/>
    <mergeCell ref="Z72:AK72"/>
    <mergeCell ref="CD59:CF59"/>
    <mergeCell ref="CD46:CF46"/>
    <mergeCell ref="D55:J55"/>
    <mergeCell ref="K54:L54"/>
    <mergeCell ref="S40:X40"/>
    <mergeCell ref="CD61:CF61"/>
    <mergeCell ref="CA60:CC60"/>
    <mergeCell ref="BB40:BD40"/>
    <mergeCell ref="F74:P74"/>
    <mergeCell ref="K44:L44"/>
    <mergeCell ref="BR65:CL81"/>
    <mergeCell ref="BV50:BZ50"/>
    <mergeCell ref="AI49:AM49"/>
    <mergeCell ref="BV44:BZ44"/>
    <mergeCell ref="BE49:BH49"/>
    <mergeCell ref="Y57:AG57"/>
    <mergeCell ref="BV52:BZ52"/>
    <mergeCell ref="BT46:BU46"/>
    <mergeCell ref="AQ44:AS44"/>
    <mergeCell ref="AQ15:AY15"/>
    <mergeCell ref="BV39:BZ39"/>
    <mergeCell ref="BI15:BJ15"/>
    <mergeCell ref="AX48:BA48"/>
    <mergeCell ref="AV68:BC68"/>
    <mergeCell ref="CA42:CC42"/>
    <mergeCell ref="S47:X47"/>
    <mergeCell ref="CG51:CL51"/>
    <mergeCell ref="BE50:BH50"/>
    <mergeCell ref="AT57:AW57"/>
    <mergeCell ref="BE44:BH44"/>
    <mergeCell ref="AX41:BA41"/>
    <mergeCell ref="CA50:CC50"/>
    <mergeCell ref="AN49:AP49"/>
    <mergeCell ref="BY15:CA15"/>
    <mergeCell ref="CA44:CC44"/>
    <mergeCell ref="AX56:BA56"/>
    <mergeCell ref="K57:L57"/>
    <mergeCell ref="BB43:BD43"/>
    <mergeCell ref="CB17:CE17"/>
    <mergeCell ref="CD51:CF51"/>
    <mergeCell ref="AT39:AW39"/>
    <mergeCell ref="CA45:CC45"/>
    <mergeCell ref="AN44:AP44"/>
    <mergeCell ref="BC4:BF4"/>
    <mergeCell ref="BO55:BS55"/>
    <mergeCell ref="Y60:AG60"/>
    <mergeCell ref="BV63:BZ63"/>
    <mergeCell ref="T6:AF6"/>
    <mergeCell ref="AO29:AT29"/>
    <mergeCell ref="BB59:BD59"/>
    <mergeCell ref="BI49:BK49"/>
    <mergeCell ref="BB46:BD46"/>
    <mergeCell ref="AQ63:AS63"/>
    <mergeCell ref="AO31:AT31"/>
    <mergeCell ref="BB61:BD61"/>
    <mergeCell ref="BB48:BD48"/>
    <mergeCell ref="AI50:AM50"/>
    <mergeCell ref="S54:X54"/>
    <mergeCell ref="S41:X41"/>
    <mergeCell ref="CD62:CF62"/>
    <mergeCell ref="AT42:AW42"/>
    <mergeCell ref="K39:L39"/>
    <mergeCell ref="S56:X56"/>
    <mergeCell ref="BT57:BU57"/>
    <mergeCell ref="AV29:AY29"/>
    <mergeCell ref="S43:X43"/>
    <mergeCell ref="CD64:CF64"/>
    <mergeCell ref="M52:R52"/>
    <mergeCell ref="Y58:AG58"/>
    <mergeCell ref="AT58:AW58"/>
    <mergeCell ref="M39:R39"/>
    <mergeCell ref="AT54:AW54"/>
    <mergeCell ref="AI52:AM52"/>
    <mergeCell ref="AI39:AM39"/>
    <mergeCell ref="T11:AL11"/>
    <mergeCell ref="BE58:BH58"/>
    <mergeCell ref="BE52:BH52"/>
    <mergeCell ref="BE39:BH39"/>
    <mergeCell ref="BV55:BZ55"/>
    <mergeCell ref="CA52:CC52"/>
    <mergeCell ref="AX64:BA64"/>
    <mergeCell ref="BO50:BS50"/>
    <mergeCell ref="BQ15:BR15"/>
    <mergeCell ref="AI53:AM53"/>
    <mergeCell ref="CG42:CL42"/>
    <mergeCell ref="BE53:BH53"/>
    <mergeCell ref="AN42:AP42"/>
    <mergeCell ref="AT60:AW60"/>
    <mergeCell ref="CH33:CI33"/>
    <mergeCell ref="K50:L50"/>
    <mergeCell ref="BB49:BD49"/>
    <mergeCell ref="AI37:AM38"/>
    <mergeCell ref="AN52:AP52"/>
    <mergeCell ref="CA47:CC47"/>
    <mergeCell ref="CG44:CL44"/>
    <mergeCell ref="M57:R57"/>
    <mergeCell ref="AN39:AP39"/>
    <mergeCell ref="AQ40:AS40"/>
    <mergeCell ref="K58:L58"/>
    <mergeCell ref="K52:L52"/>
    <mergeCell ref="F72:P72"/>
    <mergeCell ref="AI63:AM63"/>
    <mergeCell ref="AV19:AZ19"/>
    <mergeCell ref="CB15:CJ15"/>
    <mergeCell ref="BT42:BU42"/>
    <mergeCell ref="BE63:BH63"/>
    <mergeCell ref="K53:L53"/>
    <mergeCell ref="BT47:BU47"/>
    <mergeCell ref="AI58:AM58"/>
    <mergeCell ref="CA63:CC63"/>
    <mergeCell ref="S62:X62"/>
    <mergeCell ref="BI42:BK42"/>
    <mergeCell ref="BB62:BD62"/>
    <mergeCell ref="AX21:AZ21"/>
    <mergeCell ref="AT50:AW50"/>
    <mergeCell ref="BL40:BN40"/>
    <mergeCell ref="AT44:AW44"/>
    <mergeCell ref="BB64:BD64"/>
    <mergeCell ref="CD47:CF47"/>
    <mergeCell ref="AN63:AP63"/>
    <mergeCell ref="BB51:BD51"/>
    <mergeCell ref="S57:X57"/>
    <mergeCell ref="AN50:AP50"/>
    <mergeCell ref="AQ43:AS43"/>
    <mergeCell ref="AN47:AP47"/>
    <mergeCell ref="I21:K21"/>
    <mergeCell ref="K55:L55"/>
    <mergeCell ref="BO40:BS40"/>
    <mergeCell ref="AI60:AM60"/>
    <mergeCell ref="AT45:AW45"/>
    <mergeCell ref="BT60:BU60"/>
    <mergeCell ref="M45:R45"/>
    <mergeCell ref="I23:K23"/>
    <mergeCell ref="M42:R42"/>
    <mergeCell ref="D63:J63"/>
    <mergeCell ref="M47:R47"/>
    <mergeCell ref="AI55:AM55"/>
    <mergeCell ref="AQ59:AS59"/>
    <mergeCell ref="AX40:BA40"/>
    <mergeCell ref="BE55:BH55"/>
    <mergeCell ref="BL43:BN43"/>
    <mergeCell ref="BI47:BK47"/>
    <mergeCell ref="AI46:AM46"/>
    <mergeCell ref="BE59:BH59"/>
    <mergeCell ref="AT63:AW63"/>
    <mergeCell ref="BE46:BH46"/>
    <mergeCell ref="BB13:BS13"/>
    <mergeCell ref="M44:R44"/>
    <mergeCell ref="AN53:AP53"/>
    <mergeCell ref="AQ54:AS54"/>
    <mergeCell ref="BI40:BK40"/>
    <mergeCell ref="AQ41:AS41"/>
    <mergeCell ref="AN45:AP45"/>
    <mergeCell ref="V72:X72"/>
    <mergeCell ref="BI48:BK48"/>
    <mergeCell ref="BT44:BU44"/>
    <mergeCell ref="BB39:BD39"/>
    <mergeCell ref="AN55:AP55"/>
    <mergeCell ref="AQ56:AS56"/>
    <mergeCell ref="CG47:CL47"/>
    <mergeCell ref="M60:R60"/>
    <mergeCell ref="BI27:BJ27"/>
    <mergeCell ref="BL59:BN59"/>
    <mergeCell ref="K17:N17"/>
    <mergeCell ref="BN66:BQ80"/>
    <mergeCell ref="CG38:CL38"/>
    <mergeCell ref="BO51:BS51"/>
    <mergeCell ref="BY25:CI25"/>
    <mergeCell ref="BF19:BJ19"/>
    <mergeCell ref="BL54:BN54"/>
    <mergeCell ref="BB37:BD38"/>
    <mergeCell ref="AC33:AG33"/>
    <mergeCell ref="CD38:CF38"/>
    <mergeCell ref="BL41:BN41"/>
    <mergeCell ref="BI45:BK45"/>
    <mergeCell ref="AN58:AP58"/>
    <mergeCell ref="B13:AZ13"/>
    <mergeCell ref="BO48:BS48"/>
    <mergeCell ref="BL56:BN56"/>
    <mergeCell ref="AC35:AG35"/>
    <mergeCell ref="AO25:AT25"/>
    <mergeCell ref="AI51:AM51"/>
    <mergeCell ref="D46:J46"/>
    <mergeCell ref="D40:J40"/>
    <mergeCell ref="M63:R63"/>
    <mergeCell ref="CG40:CL40"/>
    <mergeCell ref="BI59:BK59"/>
    <mergeCell ref="BO41:BS41"/>
    <mergeCell ref="BE51:BH51"/>
    <mergeCell ref="M50:R50"/>
    <mergeCell ref="CH31:CI31"/>
    <mergeCell ref="BI46:BK46"/>
    <mergeCell ref="S60:X60"/>
    <mergeCell ref="BK33:BR33"/>
    <mergeCell ref="BT63:BU63"/>
    <mergeCell ref="AV66:BM66"/>
    <mergeCell ref="BO43:BS43"/>
    <mergeCell ref="BC25:BR25"/>
    <mergeCell ref="M55:R55"/>
    <mergeCell ref="CE27:CI27"/>
    <mergeCell ref="D41:J41"/>
    <mergeCell ref="M48:R48"/>
    <mergeCell ref="D43:J43"/>
    <mergeCell ref="BT40:BU40"/>
    <mergeCell ref="AI48:AM48"/>
    <mergeCell ref="BN27:BR27"/>
    <mergeCell ref="AV33:AY33"/>
    <mergeCell ref="BV25:BX25"/>
    <mergeCell ref="Y44:AG44"/>
    <mergeCell ref="BB58:BD58"/>
    <mergeCell ref="AQ62:AS62"/>
    <mergeCell ref="BO59:BS59"/>
    <mergeCell ref="BV49:BZ49"/>
    <mergeCell ref="BO46:BS46"/>
    <mergeCell ref="BB60:BD60"/>
    <mergeCell ref="AN59:AP59"/>
    <mergeCell ref="AN46:AP46"/>
    <mergeCell ref="BE62:BH62"/>
    <mergeCell ref="BO61:BS61"/>
    <mergeCell ref="D59:J59"/>
    <mergeCell ref="CH29:CI29"/>
    <mergeCell ref="CA62:CC62"/>
    <mergeCell ref="AN61:AP61"/>
    <mergeCell ref="CG59:CL59"/>
    <mergeCell ref="BI41:BK41"/>
    <mergeCell ref="B11:R11"/>
    <mergeCell ref="AN48:AP48"/>
    <mergeCell ref="BE64:BH64"/>
    <mergeCell ref="BI51:BK51"/>
    <mergeCell ref="AX59:BA59"/>
    <mergeCell ref="AX46:BA46"/>
    <mergeCell ref="BO56:BS56"/>
    <mergeCell ref="BL62:BN62"/>
    <mergeCell ref="AX61:BA61"/>
    <mergeCell ref="CG54:CL54"/>
    <mergeCell ref="BT38:BU38"/>
    <mergeCell ref="AI23:AZ23"/>
    <mergeCell ref="CG41:CL41"/>
    <mergeCell ref="Y47:AG47"/>
    <mergeCell ref="N31:R31"/>
    <mergeCell ref="BL64:BN64"/>
    <mergeCell ref="D61:J61"/>
    <mergeCell ref="D48:J48"/>
    <mergeCell ref="CD54:CF54"/>
    <mergeCell ref="BL57:BN57"/>
    <mergeCell ref="BI61:BK61"/>
    <mergeCell ref="CD41:CF41"/>
    <mergeCell ref="K49:L49"/>
    <mergeCell ref="D62:J62"/>
    <mergeCell ref="CA55:CC55"/>
    <mergeCell ref="CD56:CF56"/>
    <mergeCell ref="D56:J56"/>
    <mergeCell ref="AN51:AP51"/>
    <mergeCell ref="Y50:AG50"/>
    <mergeCell ref="BI62:BK62"/>
    <mergeCell ref="AQ39:AS39"/>
    <mergeCell ref="V8:Z8"/>
    <mergeCell ref="BV45:BZ45"/>
    <mergeCell ref="D51:J51"/>
    <mergeCell ref="AX54:BA54"/>
    <mergeCell ref="Y52:AG52"/>
    <mergeCell ref="BI64:BK64"/>
    <mergeCell ref="BT41:BU41"/>
    <mergeCell ref="AX51:BA51"/>
    <mergeCell ref="Y45:AG45"/>
    <mergeCell ref="BL50:BN50"/>
    <mergeCell ref="BV40:BZ40"/>
    <mergeCell ref="AX49:BA49"/>
    <mergeCell ref="AQ37:AS38"/>
    <mergeCell ref="AC29:AG31"/>
    <mergeCell ref="BL58:BN58"/>
    <mergeCell ref="K42:L42"/>
    <mergeCell ref="BL52:BN52"/>
    <mergeCell ref="BL39:BN39"/>
    <mergeCell ref="AS11:BL11"/>
    <mergeCell ref="BO62:BS62"/>
    <mergeCell ref="V17:AA17"/>
    <mergeCell ref="Y42:AG42"/>
    <mergeCell ref="CA38:CC38"/>
    <mergeCell ref="BO64:BS64"/>
    <mergeCell ref="AT47:AW47"/>
    <mergeCell ref="Z70:AK70"/>
    <mergeCell ref="BT59:BU59"/>
    <mergeCell ref="BI57:BK57"/>
    <mergeCell ref="AI42:AM42"/>
    <mergeCell ref="CG62:CL62"/>
    <mergeCell ref="CG56:CL56"/>
    <mergeCell ref="BF68:BL68"/>
    <mergeCell ref="BE42:BH42"/>
    <mergeCell ref="M54:R54"/>
    <mergeCell ref="BT61:BU61"/>
    <mergeCell ref="AX62:BA62"/>
    <mergeCell ref="BL37:BN38"/>
    <mergeCell ref="AI44:AM44"/>
    <mergeCell ref="D39:J39"/>
    <mergeCell ref="BB54:BD54"/>
    <mergeCell ref="V31:AA31"/>
    <mergeCell ref="BT54:BU54"/>
    <mergeCell ref="BB41:BD41"/>
    <mergeCell ref="CG57:CL57"/>
    <mergeCell ref="BT56:BU56"/>
    <mergeCell ref="K63:L63"/>
    <mergeCell ref="CD57:CF57"/>
    <mergeCell ref="AT52:AW52"/>
    <mergeCell ref="BV51:BZ51"/>
    <mergeCell ref="BV47:BZ47"/>
    <mergeCell ref="BV46:BZ46"/>
    <mergeCell ref="BI37:BK38"/>
    <mergeCell ref="D57:J57"/>
    <mergeCell ref="S44:X44"/>
    <mergeCell ref="AQ55:AS55"/>
    <mergeCell ref="Y53:AG53"/>
    <mergeCell ref="BO52:BS52"/>
    <mergeCell ref="AI47:AM47"/>
    <mergeCell ref="AX57:BA57"/>
    <mergeCell ref="Y55:AG55"/>
    <mergeCell ref="BE47:BH47"/>
    <mergeCell ref="CE21:CI21"/>
    <mergeCell ref="BL60:BN60"/>
    <mergeCell ref="BE40:BH40"/>
    <mergeCell ref="BB42:BD42"/>
    <mergeCell ref="V19:AA19"/>
    <mergeCell ref="CG39:CL39"/>
    <mergeCell ref="CA46:CC46"/>
    <mergeCell ref="CA40:CC40"/>
    <mergeCell ref="AX39:BA39"/>
    <mergeCell ref="K45:L45"/>
    <mergeCell ref="BO37:BS38"/>
    <mergeCell ref="BL55:BN55"/>
    <mergeCell ref="S49:X49"/>
    <mergeCell ref="CG64:CL64"/>
    <mergeCell ref="AN37:AP38"/>
    <mergeCell ref="K47:L47"/>
    <mergeCell ref="CE1:CJ1"/>
    <mergeCell ref="K46:L46"/>
    <mergeCell ref="BB56:BD56"/>
    <mergeCell ref="BV59:BZ59"/>
    <mergeCell ref="K40:L40"/>
    <mergeCell ref="BT62:BU62"/>
    <mergeCell ref="BI60:BK60"/>
    <mergeCell ref="AI45:AM45"/>
    <mergeCell ref="AX37:BA38"/>
    <mergeCell ref="BE45:BH45"/>
    <mergeCell ref="BV61:BZ61"/>
    <mergeCell ref="Y41:AG41"/>
    <mergeCell ref="D37:J38"/>
    <mergeCell ref="AO27:AT27"/>
    <mergeCell ref="CG63:CL63"/>
    <mergeCell ref="BO17:BR17"/>
    <mergeCell ref="BB57:BD57"/>
    <mergeCell ref="Z74:AK74"/>
    <mergeCell ref="AH8:BL8"/>
    <mergeCell ref="Y43:AG43"/>
    <mergeCell ref="Y63:AG63"/>
    <mergeCell ref="S42:X42"/>
    <mergeCell ref="AT53:AW53"/>
    <mergeCell ref="CA59:CC59"/>
    <mergeCell ref="S52:X52"/>
    <mergeCell ref="P2:BL2"/>
    <mergeCell ref="S39:X39"/>
    <mergeCell ref="CD60:CF60"/>
    <mergeCell ref="AQ21:AS21"/>
    <mergeCell ref="CA64:CC64"/>
    <mergeCell ref="AT55:AW55"/>
    <mergeCell ref="D58:J58"/>
    <mergeCell ref="CA51:CC51"/>
    <mergeCell ref="M40:R40"/>
    <mergeCell ref="AQ17:AY17"/>
    <mergeCell ref="AX58:BA58"/>
    <mergeCell ref="BN19:BR19"/>
    <mergeCell ref="AI40:AM40"/>
    <mergeCell ref="BI17:BJ17"/>
    <mergeCell ref="BE48:BH48"/>
    <mergeCell ref="BB44:BD44"/>
    <mergeCell ref="AX60:BA60"/>
    <mergeCell ref="M41:R41"/>
    <mergeCell ref="BB52:BD52"/>
    <mergeCell ref="BE33:BH33"/>
    <mergeCell ref="AI41:AM41"/>
    <mergeCell ref="K59:L59"/>
    <mergeCell ref="CG55:CL55"/>
    <mergeCell ref="BB45:BD45"/>
    <mergeCell ref="BE41:BH41"/>
    <mergeCell ref="S63:X63"/>
    <mergeCell ref="T4:AF4"/>
    <mergeCell ref="AQ49:AS49"/>
    <mergeCell ref="S50:X50"/>
    <mergeCell ref="M53:R53"/>
    <mergeCell ref="K61:L61"/>
    <mergeCell ref="AN40:AP40"/>
    <mergeCell ref="K48:L48"/>
    <mergeCell ref="BB47:BD47"/>
    <mergeCell ref="C66:AR66"/>
    <mergeCell ref="AT43:AW43"/>
    <mergeCell ref="K62:L62"/>
    <mergeCell ref="BV62:BZ62"/>
    <mergeCell ref="AI61:AM61"/>
    <mergeCell ref="BE61:BH61"/>
    <mergeCell ref="BB63:BD63"/>
    <mergeCell ref="BO39:BS39"/>
    <mergeCell ref="BV64:BZ64"/>
    <mergeCell ref="BL49:BN49"/>
    <mergeCell ref="BB50:BD50"/>
    <mergeCell ref="CA61:CC61"/>
    <mergeCell ref="AT40:AW40"/>
    <mergeCell ref="M23:P23"/>
    <mergeCell ref="M46:R46"/>
    <mergeCell ref="S53:X53"/>
    <mergeCell ref="B27:AG27"/>
    <mergeCell ref="M61:R61"/>
    <mergeCell ref="S45:X45"/>
    <mergeCell ref="AT41:AW41"/>
    <mergeCell ref="S55:X55"/>
    <mergeCell ref="AI54:AM54"/>
    <mergeCell ref="BT48:CL48"/>
    <mergeCell ref="I33:M33"/>
    <mergeCell ref="M56:R56"/>
    <mergeCell ref="M43:R43"/>
    <mergeCell ref="AI62:AM62"/>
    <mergeCell ref="B64:AW64"/>
    <mergeCell ref="AI56:AM56"/>
    <mergeCell ref="G35:K35"/>
    <mergeCell ref="AI43:AM43"/>
    <mergeCell ref="BE56:BH56"/>
    <mergeCell ref="BB53:BD53"/>
    <mergeCell ref="BE43:BH43"/>
    <mergeCell ref="BL44:BN44"/>
    <mergeCell ref="AQ57:AS57"/>
    <mergeCell ref="S58:X58"/>
    <mergeCell ref="AH37:AH38"/>
    <mergeCell ref="BO54:BS54"/>
    <mergeCell ref="AT59:AW59"/>
    <mergeCell ref="BT37:CL37"/>
    <mergeCell ref="BB55:BD55"/>
    <mergeCell ref="AI57:AM57"/>
    <mergeCell ref="AQ50:AS50"/>
    <mergeCell ref="AT46:AW46"/>
    <mergeCell ref="AN54:AP54"/>
    <mergeCell ref="CA49:CC49"/>
    <mergeCell ref="AQ42:AS42"/>
    <mergeCell ref="BE57:BH57"/>
    <mergeCell ref="AN41:AP41"/>
    <mergeCell ref="AT51:AW51"/>
    <mergeCell ref="AQ52:AS52"/>
    <mergeCell ref="AI59:AM59"/>
    <mergeCell ref="CA57:CC57"/>
    <mergeCell ref="AN56:AP56"/>
    <mergeCell ref="BT53:CL53"/>
    <mergeCell ref="BO49:BS49"/>
    <mergeCell ref="AN43:AP43"/>
    <mergeCell ref="K51:L51"/>
    <mergeCell ref="BO60:BS60"/>
    <mergeCell ref="K15:N15"/>
    <mergeCell ref="M62:R62"/>
    <mergeCell ref="BI54:BK54"/>
    <mergeCell ref="BL42:BN42"/>
    <mergeCell ref="CD49:CF49"/>
    <mergeCell ref="D49:J49"/>
    <mergeCell ref="BI56:BK56"/>
    <mergeCell ref="S59:X59"/>
    <mergeCell ref="BI43:BK43"/>
    <mergeCell ref="AQ45:AS45"/>
    <mergeCell ref="S46:X46"/>
    <mergeCell ref="M59:R59"/>
    <mergeCell ref="BO42:BS42"/>
    <mergeCell ref="S61:X61"/>
    <mergeCell ref="AQ47:AS47"/>
    <mergeCell ref="BU13:CJ13"/>
    <mergeCell ref="S48:X48"/>
    <mergeCell ref="CD44:CF44"/>
    <mergeCell ref="M51:R51"/>
    <mergeCell ref="I25:K25"/>
    <mergeCell ref="BO44:BS44"/>
    <mergeCell ref="AN4:AY4"/>
    <mergeCell ref="AT49:AW49"/>
    <mergeCell ref="BK31:BR31"/>
    <mergeCell ref="BT64:BU64"/>
    <mergeCell ref="BT51:BU51"/>
    <mergeCell ref="BV58:BZ58"/>
    <mergeCell ref="AX42:BA42"/>
    <mergeCell ref="BT43:CL43"/>
    <mergeCell ref="K60:L60"/>
    <mergeCell ref="Y40:AG40"/>
    <mergeCell ref="D54:J54"/>
    <mergeCell ref="BV60:BZ60"/>
    <mergeCell ref="BL45:BN45"/>
    <mergeCell ref="W35:AA35"/>
    <mergeCell ref="AQ58:AS58"/>
    <mergeCell ref="AN62:AP62"/>
    <mergeCell ref="AT61:AW61"/>
    <mergeCell ref="V70:X70"/>
    <mergeCell ref="AV31:AY31"/>
    <mergeCell ref="Q23:AA23"/>
    <mergeCell ref="AQ60:AS60"/>
    <mergeCell ref="BL47:BN47"/>
    <mergeCell ref="BO57:BS57"/>
    <mergeCell ref="BL46:BN46"/>
    <mergeCell ref="K37:L38"/>
    <mergeCell ref="AT56:AW56"/>
    <mergeCell ref="BI50:BK50"/>
    <mergeCell ref="AN6:BL6"/>
    <mergeCell ref="AN57:AP57"/>
    <mergeCell ref="BI44:BK44"/>
    <mergeCell ref="CG49:CL49"/>
    <mergeCell ref="S51:X51"/>
    <mergeCell ref="BE60:BH60"/>
    <mergeCell ref="BV38:BZ38"/>
    <mergeCell ref="M49:R49"/>
    <mergeCell ref="BL63:BN63"/>
    <mergeCell ref="CG50:CL50"/>
    <mergeCell ref="BE37:BH38"/>
    <mergeCell ref="BT52:BU52"/>
    <mergeCell ref="BT49:BU49"/>
    <mergeCell ref="BT39:BU39"/>
    <mergeCell ref="CG52:CL52"/>
    <mergeCell ref="CD50:CF50"/>
    <mergeCell ref="D42:J42"/>
    <mergeCell ref="CD52:CF52"/>
    <mergeCell ref="CD39:CF39"/>
    <mergeCell ref="D50:J50"/>
    <mergeCell ref="D44:J44"/>
    <mergeCell ref="AQ48:AS48"/>
    <mergeCell ref="Y46:AG46"/>
    <mergeCell ref="D60:J60"/>
    <mergeCell ref="BI63:BK63"/>
    <mergeCell ref="BO45:BS45"/>
    <mergeCell ref="Y61:AG61"/>
    <mergeCell ref="AX44:BA44"/>
    <mergeCell ref="Y48:AG48"/>
    <mergeCell ref="BO47:BS47"/>
    <mergeCell ref="D45:J45"/>
    <mergeCell ref="CG45:CL45"/>
    <mergeCell ref="M58:R58"/>
    <mergeCell ref="AX45:BA45"/>
    <mergeCell ref="Y56:AG56"/>
    <mergeCell ref="BT58:BU58"/>
    <mergeCell ref="BL48:BN48"/>
    <mergeCell ref="BI52:BK52"/>
    <mergeCell ref="C37:C38"/>
    <mergeCell ref="BO58:BS58"/>
    <mergeCell ref="AQ53:AS53"/>
    <mergeCell ref="CD63:CF63"/>
    <mergeCell ref="BO63:BS63"/>
    <mergeCell ref="BI39:BK39"/>
  </mergeCells>
  <dataValidations xWindow="274" yWindow="464" count="25">
    <dataValidation sqref="BC4:BF4" showDropDown="0" showInputMessage="1" showErrorMessage="1" allowBlank="1" errorTitle="Error" error="Elija una de las Opciones" promptTitle="Regimen" prompt="PMRGL    PM Reg Gral de Ley_x000a_PMRS      PM Reg Simplificado_x000a_PMCFNL  PM Fines No Lucrativos_x000a_PFAEPP  PF Act Emp y Profes._x000a_PFRI       PF Reg Intermedio_x000a_PF RIF     PF Reg Incorporación Fiscal_x000a_PFA        PF Arrend_x000a_PFEB      PF Enaj Bienes_x000a_PFAB     PF Adq Bienes" type="list">
      <formula1>$C$98:$C$111</formula1>
    </dataValidation>
    <dataValidation sqref="AH6" showDropDown="0" showInputMessage="0" showErrorMessage="0" allowBlank="1" errorTitle="Error Alt1" error="Solo las Opciones"/>
    <dataValidation sqref="T4" showDropDown="0" showInputMessage="1" showErrorMessage="1" allowBlank="1" promptTitle="Captura" prompt="Sin espacios, sin guiones, sin diagonales"/>
    <dataValidation sqref="T6" showDropDown="0" showInputMessage="1" showErrorMessage="1" allowBlank="1" errorTitle="Error" error="Verificar Captura" promptTitle="Seleccione" prompt="Opcion Correcta" type="list">
      <formula1>$AH$98:$AH$100</formula1>
    </dataValidation>
    <dataValidation sqref="K15" showDropDown="0" showInputMessage="1" showErrorMessage="1" allowBlank="1" promptTitle="Seleccione" prompt="Documento" type="list">
      <formula1>$C$115:$C$122</formula1>
    </dataValidation>
    <dataValidation sqref="K17" showDropDown="0" showInputMessage="1" showErrorMessage="1" allowBlank="1" type="list">
      <formula1>$AH$104:$AH$105</formula1>
    </dataValidation>
    <dataValidation sqref="AQ15" showDropDown="0" showInputMessage="1" showErrorMessage="1" allowBlank="1" promptTitle="Seleccione" prompt="Opcion Correcta" type="list">
      <formula1>$CY$98:$CY$125</formula1>
    </dataValidation>
    <dataValidation sqref="AQ17" showDropDown="0" showInputMessage="1" showErrorMessage="1" allowBlank="1" promptTitle="Seleccione" prompt="Opcion que corresponda a la Principal Irregularidad" type="list">
      <formula1>$DB$98:$DB$136</formula1>
    </dataValidation>
    <dataValidation sqref="AS11" showDropDown="0" showInputMessage="1" showErrorMessage="1" allowBlank="1" promptTitle="Seleccione" prompt="Causa" type="list">
      <formula1>$Q$119:$Q$136</formula1>
    </dataValidation>
    <dataValidation sqref="T11" showDropDown="0" showInputMessage="1" showErrorMessage="1" allowBlank="1" type="list">
      <formula1>$C$88:$C$94</formula1>
    </dataValidation>
    <dataValidation sqref="BN19:BR19" showDropDown="0" showInputMessage="1" showErrorMessage="1" allowBlank="1" type="list">
      <formula1>$Q$88:$Q$91</formula1>
    </dataValidation>
    <dataValidation sqref="D39:D63" showDropDown="0" showInputMessage="1" showErrorMessage="1" allowBlank="1" type="list">
      <formula1>$Q$191:$Q$227</formula1>
    </dataValidation>
    <dataValidation sqref="BT59:BU63" showDropDown="0" showInputMessage="1" showErrorMessage="1" allowBlank="1" type="list">
      <formula1>$C$177:$C$189</formula1>
    </dataValidation>
    <dataValidation sqref="C39:C63" showDropDown="0" showInputMessage="1" showErrorMessage="1" allowBlank="1" type="list">
      <formula1>$AH$88:$AH$90</formula1>
    </dataValidation>
    <dataValidation sqref="K39:L63" showDropDown="0" showInputMessage="1" showErrorMessage="1" allowBlank="1" type="list">
      <formula1>$AS$88:$AS$89</formula1>
    </dataValidation>
    <dataValidation sqref="AI39:AM63" showDropDown="0" showInputMessage="1" showErrorMessage="1" allowBlank="1" type="list">
      <formula1>$Q$140:$Q$183</formula1>
    </dataValidation>
    <dataValidation sqref="AN39:AP63" showDropDown="0" showInputMessage="1" showErrorMessage="1" allowBlank="1" type="list">
      <formula1>$BD$88:$BD$94</formula1>
    </dataValidation>
    <dataValidation sqref="F70:P70" showDropDown="0" showInputMessage="1" showErrorMessage="1" allowBlank="1" errorTitle="Error" error="Verificar Captura" promptTitle="Seleccione" prompt="Direción" type="list">
      <formula1>$C$128:$C$134</formula1>
    </dataValidation>
    <dataValidation sqref="F74" showDropDown="0" showInputMessage="1" showErrorMessage="1" allowBlank="1" errorTitle="Error" error="Verificar Captura" promptTitle="Seleccione" prompt="Delegación" type="list">
      <formula1>$Y$98:$Y$101</formula1>
    </dataValidation>
    <dataValidation sqref="F72" showDropDown="0" showInputMessage="1" showErrorMessage="1" allowBlank="1" errorTitle="Error" error="Verificar Captura" promptTitle="Seleccione" prompt="Area" type="list">
      <formula1>$Q$98:$Q$116</formula1>
    </dataValidation>
    <dataValidation sqref="DC31:DC32 DL31:DL32" showDropDown="0" showInputMessage="1" showErrorMessage="1" allowBlank="1" promptTitle="Seleccione" prompt="Tipo" type="list">
      <formula1>$BY$107:$BY$109</formula1>
    </dataValidation>
    <dataValidation sqref="BK33:BR33" showDropDown="0" showInputMessage="1" showErrorMessage="1" allowBlank="1" type="list">
      <formula1>$BY$107:$BY$109</formula1>
    </dataValidation>
    <dataValidation sqref="BC25:BR25" showDropDown="0" showInputMessage="1" showErrorMessage="1" allowBlank="1" type="list">
      <formula1>$BY$98:$BY$102</formula1>
    </dataValidation>
    <dataValidation sqref="AN4:AY4" showDropDown="0" showInputMessage="1" showErrorMessage="1" allowBlank="1" promptTitle="Captura" prompt="Iniciales del Tipo de Revisión VD, RG, DI y CI, un GUION y el No. de la Orden (con diagonal solo antes del año), ejemplo:_x000a__x000a_Visita Domiciliaria_x000a_VD-IPF1400056/08"/>
    <dataValidation sqref="V70:X70 V72:X72 V74:X74" showDropDown="0" showInputMessage="1" showErrorMessage="1" allowBlank="1" type="list">
      <formula1>$CU$98:$CU$217</formula1>
    </dataValidation>
  </dataValidations>
  <printOptions horizontalCentered="1"/>
  <pageMargins left="0.3937007874015748" right="0" top="0.1968503937007874" bottom="0.1968503937007874" header="0.1968503937007874" footer="0.1968503937007874"/>
  <pageSetup orientation="landscape" paperSize="305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sergio_bautista</dc:creator>
  <dcterms:created xmlns:dcterms="http://purl.org/dc/terms/" xmlns:xsi="http://www.w3.org/2001/XMLSchema-instance" xsi:type="dcterms:W3CDTF">2013-03-19T14:46:57Z</dcterms:created>
  <dcterms:modified xmlns:dcterms="http://purl.org/dc/terms/" xmlns:xsi="http://www.w3.org/2001/XMLSchema-instance" xsi:type="dcterms:W3CDTF">2026-08-13T18:51:22Z</dcterms:modified>
  <cp:lastModifiedBy>Aldo Adrian Lupian Ibarra</cp:lastModifiedBy>
  <cp:lastPrinted>2026-08-11T20:11:03Z</cp:lastPrinted>
</cp:coreProperties>
</file>